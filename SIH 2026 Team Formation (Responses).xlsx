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Consolidated" sheetId="2" r:id="rId6"/>
    <sheet state="visible" name="Team Details" sheetId="3" r:id="rId7"/>
    <sheet state="hidden" name="Sheet5" sheetId="4" r:id="rId8"/>
    <sheet state="hidden" name="Invalid Teams" sheetId="5" r:id="rId9"/>
    <sheet state="hidden" name="Duplicates" sheetId="6" r:id="rId10"/>
  </sheets>
  <definedNames/>
  <calcPr/>
</workbook>
</file>

<file path=xl/sharedStrings.xml><?xml version="1.0" encoding="utf-8"?>
<sst xmlns="http://schemas.openxmlformats.org/spreadsheetml/2006/main" count="10179" uniqueCount="4085">
  <si>
    <t>Department</t>
  </si>
  <si>
    <t>Students Count</t>
  </si>
  <si>
    <t>II Year</t>
  </si>
  <si>
    <t>III Year</t>
  </si>
  <si>
    <t>IV Year</t>
  </si>
  <si>
    <t>Dept Total</t>
  </si>
  <si>
    <t>AIDS</t>
  </si>
  <si>
    <t>Timestamp</t>
  </si>
  <si>
    <t>Team Name</t>
  </si>
  <si>
    <t>Lead Name</t>
  </si>
  <si>
    <t>Dept</t>
  </si>
  <si>
    <t>Number</t>
  </si>
  <si>
    <t>Year of Study</t>
  </si>
  <si>
    <t>Email Address</t>
  </si>
  <si>
    <t>Reason &amp; Details</t>
  </si>
  <si>
    <t>SIH Interested Category</t>
  </si>
  <si>
    <t>Team Leader Roll Number (Member 1)</t>
  </si>
  <si>
    <t>Team Leader Name (Member 1)</t>
  </si>
  <si>
    <t>Team Leader Year of Study (Member 1)</t>
  </si>
  <si>
    <t>HexaMinds</t>
  </si>
  <si>
    <t>Team Leader Department (Member 1)</t>
  </si>
  <si>
    <t>Midhuna R</t>
  </si>
  <si>
    <t>AI &amp; DS</t>
  </si>
  <si>
    <t>III</t>
  </si>
  <si>
    <t>Team Leader Contact Number (Member 1)</t>
  </si>
  <si>
    <t>Registered twice or more | Has members that belong to more than 1 team / duplicated: Team name appears 2 times | 24EE059</t>
  </si>
  <si>
    <t>Team Leader College Mail ID (Member 1)</t>
  </si>
  <si>
    <t>Roll Number (Member 2)</t>
  </si>
  <si>
    <t>HexaCore</t>
  </si>
  <si>
    <t xml:space="preserve">LIBISHA S </t>
  </si>
  <si>
    <t>Student Name (Member 2)</t>
  </si>
  <si>
    <t>II</t>
  </si>
  <si>
    <t>Registered twice or more: Team name appears 2 times</t>
  </si>
  <si>
    <t>Year of Study (Member 2)</t>
  </si>
  <si>
    <t>Department (Member 2)</t>
  </si>
  <si>
    <t>Roll Number (Member 3)</t>
  </si>
  <si>
    <t>Student Name (Member 3)</t>
  </si>
  <si>
    <t>Anova</t>
  </si>
  <si>
    <t>PRAJAN P.S</t>
  </si>
  <si>
    <t>Year of Study (Member 3)</t>
  </si>
  <si>
    <t>Has members that belong to more than 1 team / duplicated: 25EC144</t>
  </si>
  <si>
    <t>Department (Member 3)</t>
  </si>
  <si>
    <t>Roll Number (Member 4)</t>
  </si>
  <si>
    <t>GENVERSE</t>
  </si>
  <si>
    <t xml:space="preserve">ABI NANDHANA S </t>
  </si>
  <si>
    <t>Has members that belong to more than 1 team / duplicated: 25AD014</t>
  </si>
  <si>
    <t>Student Name (Member 4)</t>
  </si>
  <si>
    <t>HEXACORE</t>
  </si>
  <si>
    <t>Year of Study (Member 4)</t>
  </si>
  <si>
    <t>Department (Member 4)</t>
  </si>
  <si>
    <t xml:space="preserve">TEAM ENIGMA </t>
  </si>
  <si>
    <t xml:space="preserve">JAYAASRI MUNILAKSHMI S </t>
  </si>
  <si>
    <t>Roll Number (Member 5)</t>
  </si>
  <si>
    <t>Student Name (Member 5)</t>
  </si>
  <si>
    <t>Year of Study (Member 5)</t>
  </si>
  <si>
    <t xml:space="preserve">ZYNTRICS </t>
  </si>
  <si>
    <t>NEYAA U</t>
  </si>
  <si>
    <t>Has members that belong to more than 1 team / duplicated: IC26BEL0056</t>
  </si>
  <si>
    <t>Department (Member 5)</t>
  </si>
  <si>
    <t>Roll Number (Member 6)</t>
  </si>
  <si>
    <t>Student Name (Member 6)</t>
  </si>
  <si>
    <t>HEXFORGE</t>
  </si>
  <si>
    <t>JEETHESH M</t>
  </si>
  <si>
    <t>Year of Study (Member 6)</t>
  </si>
  <si>
    <t>Has members that belong to more than 1 team / duplicated: 25SY044, 25SY057</t>
  </si>
  <si>
    <t>Department (Member 6)</t>
  </si>
  <si>
    <t>Quantables</t>
  </si>
  <si>
    <t xml:space="preserve"> Acknowledgment  </t>
  </si>
  <si>
    <t>MEI HARISH GOKUL S</t>
  </si>
  <si>
    <t>CCE</t>
  </si>
  <si>
    <t>Has members that belong to more than 1 team / duplicated: 24CB007</t>
  </si>
  <si>
    <t>AIML</t>
  </si>
  <si>
    <t>IgniteX</t>
  </si>
  <si>
    <t>Poonthalir K</t>
  </si>
  <si>
    <t>Has members that belong to more than 1 team / duplicated: 25EE019</t>
  </si>
  <si>
    <t>manishraghul.sj2023cse@sece.ac.in</t>
  </si>
  <si>
    <t>Code Crackers</t>
  </si>
  <si>
    <t xml:space="preserve">Mithra M </t>
  </si>
  <si>
    <t>CSBS</t>
  </si>
  <si>
    <t>+91 96882 04949</t>
  </si>
  <si>
    <t>AUTOM SQUAD</t>
  </si>
  <si>
    <t>Has members that belong to more than 1 team / duplicated: 24CB023, 25EC126</t>
  </si>
  <si>
    <t>Hardware</t>
  </si>
  <si>
    <t>Unity Minds</t>
  </si>
  <si>
    <t>Dharanidharan T</t>
  </si>
  <si>
    <t>Not having 6 members: Has 5 valid members</t>
  </si>
  <si>
    <t>23CS083</t>
  </si>
  <si>
    <t>MANISH RAGHUL S J</t>
  </si>
  <si>
    <t>HackHolics</t>
  </si>
  <si>
    <t>IV</t>
  </si>
  <si>
    <t>SRIRAMPRANAV N</t>
  </si>
  <si>
    <t>70921 15337</t>
  </si>
  <si>
    <t>S.No</t>
  </si>
  <si>
    <t>Has members that belong to more than 1 team / duplicated: 25CB055</t>
  </si>
  <si>
    <t>CSE</t>
  </si>
  <si>
    <t>#FUTURE TECH</t>
  </si>
  <si>
    <t>Azhagar S</t>
  </si>
  <si>
    <t>Has members that belong to more than 1 team / duplicated: 25EC046</t>
  </si>
  <si>
    <t>24CC005</t>
  </si>
  <si>
    <t>ANGELIN SHARMELL E</t>
  </si>
  <si>
    <t>Sparking stars</t>
  </si>
  <si>
    <t>Ram Karthik T</t>
  </si>
  <si>
    <t>COOL CREW</t>
  </si>
  <si>
    <t>25CS147</t>
  </si>
  <si>
    <t>KEERTHI V R</t>
  </si>
  <si>
    <t>Has members that belong to more than 1 team / duplicated: 24CB023</t>
  </si>
  <si>
    <t>NETHRA V D</t>
  </si>
  <si>
    <t>Members</t>
  </si>
  <si>
    <t>CodeNova</t>
  </si>
  <si>
    <t>Roll Number</t>
  </si>
  <si>
    <t xml:space="preserve">DHANYA T K </t>
  </si>
  <si>
    <t>Name of the Student</t>
  </si>
  <si>
    <t xml:space="preserve"> </t>
  </si>
  <si>
    <t>25CS150</t>
  </si>
  <si>
    <t>Contact Number</t>
  </si>
  <si>
    <t>Email ID</t>
  </si>
  <si>
    <t>Category</t>
  </si>
  <si>
    <t>NIRMAL S R</t>
  </si>
  <si>
    <t>CODE TITANS</t>
  </si>
  <si>
    <t>SHAFEEN ASMI.S</t>
  </si>
  <si>
    <t>Has members that belong to more than 1 team / duplicated: 25CB015, 25CB038, 25SY019</t>
  </si>
  <si>
    <t>25EC033</t>
  </si>
  <si>
    <t>DarkElixir</t>
  </si>
  <si>
    <t>Dharani Vasan V</t>
  </si>
  <si>
    <t>DEVANAND I</t>
  </si>
  <si>
    <t>Has members that belong to more than 1 team / duplicated: 24CB010, 24CB024, 24CB047, 24CB034, 24EC101</t>
  </si>
  <si>
    <t>ECE</t>
  </si>
  <si>
    <t>LUMINEX</t>
  </si>
  <si>
    <t>MAHESWARA PANDIYAN A</t>
  </si>
  <si>
    <t>25CS030</t>
  </si>
  <si>
    <t>Has members that belong to more than 1 team / duplicated: 24CB024, 24CB010, 24CB047, 24CB034, 24EC101</t>
  </si>
  <si>
    <t>DEEPIKA K</t>
  </si>
  <si>
    <t>IDEAFORGE</t>
  </si>
  <si>
    <t>AKSHAY SRINIVASAN</t>
  </si>
  <si>
    <t>I acknowledge that all the team details provided in this form are correct and accurate to the best of my knowledge. I understand that I am responsible for ensuring the accuracy of the information submitted and accept responsibility for any errors or omissions.</t>
  </si>
  <si>
    <t>Has members that belong to more than 1 team / duplicated: 25CS065</t>
  </si>
  <si>
    <t>Tech Vortex</t>
  </si>
  <si>
    <t>PRAVEEN.G</t>
  </si>
  <si>
    <t>anas.f2024csbs@sece.ac.in</t>
  </si>
  <si>
    <t>Has members that belong to more than 1 team / duplicated: 25EC056</t>
  </si>
  <si>
    <t>Team Leader</t>
  </si>
  <si>
    <t>TEAM JARVIS</t>
  </si>
  <si>
    <t>HACKMATES</t>
  </si>
  <si>
    <t>Mathanghi RR</t>
  </si>
  <si>
    <t>Has members that belong to more than 1 team / duplicated: 25CS076, 25CS097</t>
  </si>
  <si>
    <t>25AD030</t>
  </si>
  <si>
    <t>SMASHERS</t>
  </si>
  <si>
    <t>SIDDHESH.L</t>
  </si>
  <si>
    <t>DEEPAK M S</t>
  </si>
  <si>
    <t>Has members that belong to more than 1 team / duplicated: 25CS245</t>
  </si>
  <si>
    <t xml:space="preserve"> QUANTUMGUARDS</t>
  </si>
  <si>
    <t xml:space="preserve">ABINESH M </t>
  </si>
  <si>
    <t>deepak.ms2025aids@sece.ac.in</t>
  </si>
  <si>
    <t>24CB002</t>
  </si>
  <si>
    <t>HELIX</t>
  </si>
  <si>
    <t>VITHULL M</t>
  </si>
  <si>
    <t>ANAS F</t>
  </si>
  <si>
    <t>NEXVORA</t>
  </si>
  <si>
    <t>SHALINI B</t>
  </si>
  <si>
    <t>Has members that belong to more than 1 team / duplicated: 25IT031</t>
  </si>
  <si>
    <t>25AD019</t>
  </si>
  <si>
    <t>Starblazers</t>
  </si>
  <si>
    <t>NAVIN S</t>
  </si>
  <si>
    <t>+91 77085 66849</t>
  </si>
  <si>
    <t>ATCHAYA E</t>
  </si>
  <si>
    <t>Has members that belong to more than 1 team / duplicated: 24CS153, 24CS156, 24CS082, 24CS032, 24AM068, 24EC013</t>
  </si>
  <si>
    <t>SCAR FACE</t>
  </si>
  <si>
    <t xml:space="preserve">ABHISHEIK RAJA ST </t>
  </si>
  <si>
    <t>25AD031</t>
  </si>
  <si>
    <t>DEEPALAKSHMI S</t>
  </si>
  <si>
    <t>VICHAKASHANA AI</t>
  </si>
  <si>
    <t>MANO BALAN M</t>
  </si>
  <si>
    <t>+91 85250 10809</t>
  </si>
  <si>
    <t>Not having 6 members | Has members that belong to more than 1 team / duplicated: Has 3 valid members | 23CS084, 24IT004, 24IT008</t>
  </si>
  <si>
    <t>25EE059</t>
  </si>
  <si>
    <t>EndureX</t>
  </si>
  <si>
    <t>DAKSHITHA S</t>
  </si>
  <si>
    <t>VIJAY KARUPPUSAMY S</t>
  </si>
  <si>
    <t>EEE</t>
  </si>
  <si>
    <t>HACKEX</t>
  </si>
  <si>
    <t>MADHU MITHRAN S</t>
  </si>
  <si>
    <t>25EE033</t>
  </si>
  <si>
    <t>Has members that belong to more than 1 team / duplicated: 25CS076</t>
  </si>
  <si>
    <t>NESA RAJAN R</t>
  </si>
  <si>
    <t>Infonix</t>
  </si>
  <si>
    <t xml:space="preserve">Veerarajeswari K </t>
  </si>
  <si>
    <t>Code Thrusters</t>
  </si>
  <si>
    <t>Raagasudhan MJ</t>
  </si>
  <si>
    <t>nithish.s2024aids@sece.ac.in</t>
  </si>
  <si>
    <t>TECHBLOOMS</t>
  </si>
  <si>
    <t>Syntax Squad</t>
  </si>
  <si>
    <t>PAVITHRA M</t>
  </si>
  <si>
    <t>Has members that belong to more than 1 team / duplicated: 24AM102</t>
  </si>
  <si>
    <t>Software</t>
  </si>
  <si>
    <t>24AD147</t>
  </si>
  <si>
    <t>Nithish S</t>
  </si>
  <si>
    <t>TECH TITANS</t>
  </si>
  <si>
    <t>SARANEESH G</t>
  </si>
  <si>
    <t>Registered twice or more | Has members that belong to more than 1 team / duplicated: Team name appears 2 times | 25CS203, 25CS202, 25IT013, 25BEADMEC302, 25BEADMEC306, 25EC027</t>
  </si>
  <si>
    <t>VICHAKSHANA AI</t>
  </si>
  <si>
    <t>MANOBALAN M</t>
  </si>
  <si>
    <t>Has members that belong to more than 1 team / duplicated: 23CS084, 24IT004, 24IT008</t>
  </si>
  <si>
    <t>24AD163</t>
  </si>
  <si>
    <t>NovaHive</t>
  </si>
  <si>
    <t>Lavanya R</t>
  </si>
  <si>
    <t>PREM NARAYN N L</t>
  </si>
  <si>
    <t>CYS</t>
  </si>
  <si>
    <t>ByteForge</t>
  </si>
  <si>
    <t xml:space="preserve">MOHIT KUMAR KS </t>
  </si>
  <si>
    <t>24AD134</t>
  </si>
  <si>
    <t>80567 00244</t>
  </si>
  <si>
    <t>Has members that belong to more than 1 team / duplicated: 24AM123</t>
  </si>
  <si>
    <t>MUKESH KANNAN T</t>
  </si>
  <si>
    <t>Agventures</t>
  </si>
  <si>
    <t>Navin S</t>
  </si>
  <si>
    <t>7708 566 849</t>
  </si>
  <si>
    <t>24AD168</t>
  </si>
  <si>
    <t xml:space="preserve">SyncverseX </t>
  </si>
  <si>
    <t>JAYASRI.B</t>
  </si>
  <si>
    <t>CSE (AIML)</t>
  </si>
  <si>
    <t>RAGHAV V</t>
  </si>
  <si>
    <t>Has members that belong to more than 1 team / duplicated:  IC26BTecL0081</t>
  </si>
  <si>
    <t>SCARFACE</t>
  </si>
  <si>
    <t>RAJESH R</t>
  </si>
  <si>
    <t>24CS171</t>
  </si>
  <si>
    <t>Has members that belong to more than 1 team / duplicated: 25SY022, 25SY033, 25SY031</t>
  </si>
  <si>
    <t>POOJA P</t>
  </si>
  <si>
    <t>SPACE X</t>
  </si>
  <si>
    <t>Gokul.PN</t>
  </si>
  <si>
    <t>Has members that belong to more than 1 team / duplicated: 25AM032</t>
  </si>
  <si>
    <t>24CS275</t>
  </si>
  <si>
    <t>ZERA SHAHADIYA S</t>
  </si>
  <si>
    <t>ALGOS</t>
  </si>
  <si>
    <t>VISHNU D</t>
  </si>
  <si>
    <t>NEXORA</t>
  </si>
  <si>
    <t>HARIHARAN V S</t>
  </si>
  <si>
    <t>Has members that belong to more than 1 team / duplicated: 24AM006</t>
  </si>
  <si>
    <t>TEAM NOVA</t>
  </si>
  <si>
    <t>DHARUNKUMAR S</t>
  </si>
  <si>
    <t>vasanthraj.sm2024csbs@sece.ac.in</t>
  </si>
  <si>
    <t>Code Catalyst</t>
  </si>
  <si>
    <t>BINARY BREAKERS</t>
  </si>
  <si>
    <t>LEKSHME BALAJE R</t>
  </si>
  <si>
    <t>CSE (CYS)</t>
  </si>
  <si>
    <t>Registered twice or more | Has members that belong to more than 1 team / duplicated: Team name appears 2 times | 25SY035, 25SY005, 25SY062, 25SY048, 25SY059</t>
  </si>
  <si>
    <t>24CB061</t>
  </si>
  <si>
    <t>Vasanthraj S M</t>
  </si>
  <si>
    <t xml:space="preserve">Code Catalyst </t>
  </si>
  <si>
    <t>JEEVADHARANI M</t>
  </si>
  <si>
    <t>Not having 6 members | Has members that belong to more than 1 team / duplicated: Has 5 valid members | 25SY023, 25SY060, 25SY037, 25SY064</t>
  </si>
  <si>
    <t xml:space="preserve">DHANABALAN R </t>
  </si>
  <si>
    <t>Has members that belong to more than 1 team / duplicated: 25SY001, 25SY002, 25SY004, 25SY020, 25SY014</t>
  </si>
  <si>
    <t>24CB028</t>
  </si>
  <si>
    <t>Nitin K</t>
  </si>
  <si>
    <t>CASINO</t>
  </si>
  <si>
    <t>JOSHUA FRANCIS J</t>
  </si>
  <si>
    <t>24CB053</t>
  </si>
  <si>
    <t>Consortium</t>
  </si>
  <si>
    <t>SHREE NIDHI RL</t>
  </si>
  <si>
    <t>Has members that belong to more than 1 team / duplicated: 24SY059, 24SY047</t>
  </si>
  <si>
    <t>SriSuthan V P R</t>
  </si>
  <si>
    <t>LOG</t>
  </si>
  <si>
    <t>MOWLISHWAR T</t>
  </si>
  <si>
    <t>Registered twice or more | Has members that belong to more than 1 team / duplicated: Team name appears 2 times | 25SY040, 25SY039, 25SY063, 25EC156, 25EC144, 25EC135</t>
  </si>
  <si>
    <t>24CB016</t>
  </si>
  <si>
    <t>Ilakiya K</t>
  </si>
  <si>
    <t>CryptX</t>
  </si>
  <si>
    <t xml:space="preserve">Thennarasu N </t>
  </si>
  <si>
    <t>Registered twice or more | Has members that belong to more than 1 team / duplicated: Team name appears 2 times | 25SY059, 25SY005, 25SY035, 25CS093, 25CS113, 25CS096</t>
  </si>
  <si>
    <t>Registered twice or more | Has members that belong to more than 1 team / duplicated: Team name appears 2 times | 25SY062, 25SY048</t>
  </si>
  <si>
    <t>24CB041</t>
  </si>
  <si>
    <t xml:space="preserve">Sandhya S </t>
  </si>
  <si>
    <t>BruteX</t>
  </si>
  <si>
    <t>AJAY PRAVIN N E</t>
  </si>
  <si>
    <t>Has members that belong to more than 1 team / duplicated: 25SY004, 25SY001, 25SY002, 25SY020</t>
  </si>
  <si>
    <t>24AD225</t>
  </si>
  <si>
    <t>Sujitha P</t>
  </si>
  <si>
    <t>CodePulse</t>
  </si>
  <si>
    <t>Jeevadharani M</t>
  </si>
  <si>
    <t>Has members that belong to more than 1 team / duplicated: 25SY023, 25SY060, 25SY064, 25SY037, 25CS149, 25EC126</t>
  </si>
  <si>
    <t>IT</t>
  </si>
  <si>
    <t>Registered twice or more | Has members that belong to more than 1 team / duplicated: Team name appears 2 times | 25SY040, 25SY039, 25SY063, 25EC156, 25EC135</t>
  </si>
  <si>
    <t>Member 2</t>
  </si>
  <si>
    <t>vishwahari.m2025ece@sece.ac.in</t>
  </si>
  <si>
    <t>PHEONIX CREW</t>
  </si>
  <si>
    <t xml:space="preserve">REAL MADRID </t>
  </si>
  <si>
    <t>ELANGOVAN S</t>
  </si>
  <si>
    <t>25CC060</t>
  </si>
  <si>
    <t>Has members that belong to more than 1 team / duplicated: 24SY047</t>
  </si>
  <si>
    <t>THIVYA SRIEE S M</t>
  </si>
  <si>
    <t>Pavin P</t>
  </si>
  <si>
    <t>Niranjan R</t>
  </si>
  <si>
    <t>Has members that belong to more than 1 team / duplicated: 25CS149, 25EC126, 25sy023, 25EC056, 25CS097, 25SY060</t>
  </si>
  <si>
    <t>VISION VORTEX</t>
  </si>
  <si>
    <t xml:space="preserve">NIKETHA M </t>
  </si>
  <si>
    <t>thivyasriee.sm2025cce@sece.ac.in</t>
  </si>
  <si>
    <t>25EC152</t>
  </si>
  <si>
    <t>SHREE AKILA R</t>
  </si>
  <si>
    <t>25EC161</t>
  </si>
  <si>
    <t>Vision X</t>
  </si>
  <si>
    <t xml:space="preserve">Dakshinya sree .S </t>
  </si>
  <si>
    <t>SRINITHI M</t>
  </si>
  <si>
    <t>HEXANOVA</t>
  </si>
  <si>
    <t>LOGESHWARAN S</t>
  </si>
  <si>
    <t>25EC184</t>
  </si>
  <si>
    <t>VISHWA HARI M</t>
  </si>
  <si>
    <t>HexaNova</t>
  </si>
  <si>
    <t>25ME012</t>
  </si>
  <si>
    <t>ELECTROCORE</t>
  </si>
  <si>
    <t>JANANI A</t>
  </si>
  <si>
    <t>Has members that belong to more than 1 team / duplicated: 25EE013</t>
  </si>
  <si>
    <t>JEEVANIGA S B</t>
  </si>
  <si>
    <t>ElectroNova</t>
  </si>
  <si>
    <t>MECH</t>
  </si>
  <si>
    <t xml:space="preserve">ADHISHESAGAN ADHITHAN.S </t>
  </si>
  <si>
    <t>Has members that belong to more than 1 team / duplicated: 25CC040</t>
  </si>
  <si>
    <t>25CS201</t>
  </si>
  <si>
    <t>SANTHISH N</t>
  </si>
  <si>
    <t xml:space="preserve">Vyugam </t>
  </si>
  <si>
    <t xml:space="preserve">ARAVINDHA RAVICHANDRAN </t>
  </si>
  <si>
    <t>Has members that belong to more than 1 team / duplicated: 25IT056</t>
  </si>
  <si>
    <t>saumyajitpurakayastha.2024cse@sece.ac.in</t>
  </si>
  <si>
    <t>SPARKMATRIX</t>
  </si>
  <si>
    <t>SHANJHENA.V</t>
  </si>
  <si>
    <t>Team RBC</t>
  </si>
  <si>
    <t>Has members that belong to more than 1 team / duplicated: 25EC149</t>
  </si>
  <si>
    <t>24CS218</t>
  </si>
  <si>
    <t>TEAM - ZENITH</t>
  </si>
  <si>
    <t>KRISHNA KAND S</t>
  </si>
  <si>
    <t>SAUMYAJIT PURAKAYASTHA</t>
  </si>
  <si>
    <t>Has members that belong to more than 1 team / duplicated: 24EE059</t>
  </si>
  <si>
    <t>NETHERGRID</t>
  </si>
  <si>
    <t>ROHITH SARAVANA S</t>
  </si>
  <si>
    <t>Has members that belong to more than 1 team / duplicated: 24EC310, 24EC184, 24EC127, 24AM303, 24EC059, 24AM301</t>
  </si>
  <si>
    <t>24CS223</t>
  </si>
  <si>
    <t>VISION X</t>
  </si>
  <si>
    <t>SHANKAR L</t>
  </si>
  <si>
    <t>Not having 6 members | Registered twice or more | Has members that belong to more than 1 team / duplicated: Has 5 valid members | Team name appears 2 times | 25SY014</t>
  </si>
  <si>
    <t>Solution Squad</t>
  </si>
  <si>
    <t>24CS270</t>
  </si>
  <si>
    <t>PAKIYALAKSHMI M</t>
  </si>
  <si>
    <t>Has members that belong to more than 1 team / duplicated: 25EE013, 25CS006</t>
  </si>
  <si>
    <t>YAAZHVENDHAN M</t>
  </si>
  <si>
    <t>Yogapriya.S</t>
  </si>
  <si>
    <t>YOGAPRIYA.S</t>
  </si>
  <si>
    <t>Has members that belong to more than 1 team / duplicated: 25IT063, 25IT051, 25IT040, 25IT033, 25IT031</t>
  </si>
  <si>
    <t>25CS028</t>
  </si>
  <si>
    <t>DEBADRUTI PURAKAYASTHA</t>
  </si>
  <si>
    <t>CRIMSON GUARDIANS</t>
  </si>
  <si>
    <t>HARIHARAN B</t>
  </si>
  <si>
    <t>Has members that belong to more than 1 team / duplicated: 25IT017</t>
  </si>
  <si>
    <t>24AD224</t>
  </si>
  <si>
    <t>The Last Commit</t>
  </si>
  <si>
    <t>SHARUKHESH S</t>
  </si>
  <si>
    <t>Suji G</t>
  </si>
  <si>
    <t>CodeVerse</t>
  </si>
  <si>
    <t>VISHWA B</t>
  </si>
  <si>
    <t>AI&amp;DS</t>
  </si>
  <si>
    <t>25CB040</t>
  </si>
  <si>
    <t>Rithish Krishna A</t>
  </si>
  <si>
    <t>THE PRIME IGNITORS</t>
  </si>
  <si>
    <t>LATHIKA S</t>
  </si>
  <si>
    <t>Registered twice or more | Has members that belong to more than 1 team / duplicated: Team name appears 2 times | 25IT028, 25IT022, 25IT024, 25CS252, 25EE009, 25CS131</t>
  </si>
  <si>
    <t>THE LAST COMMIT</t>
  </si>
  <si>
    <t>sivavashini.s2023csbs@sece.ac.in</t>
  </si>
  <si>
    <t>Hackvok</t>
  </si>
  <si>
    <t xml:space="preserve">Harshini V K </t>
  </si>
  <si>
    <t>Team Tech</t>
  </si>
  <si>
    <t>Has members that belong to more than 1 team / duplicated: 25IT020, 25IT056</t>
  </si>
  <si>
    <t xml:space="preserve">23CB051 </t>
  </si>
  <si>
    <t xml:space="preserve">SIVAVASHINI S </t>
  </si>
  <si>
    <t>TEAM NOVATRIX</t>
  </si>
  <si>
    <t>JAGADEESH R</t>
  </si>
  <si>
    <t>Has members that belong to more than 1 team / duplicated: 25IT020</t>
  </si>
  <si>
    <t>NexGen Minds</t>
  </si>
  <si>
    <t>YOGAPRIYA S</t>
  </si>
  <si>
    <t>+91 86678 74415</t>
  </si>
  <si>
    <t>Has members that belong to more than 1 team / duplicated: 25IT063, 25IT040, 25IT033, 25IT051</t>
  </si>
  <si>
    <t>23CB004</t>
  </si>
  <si>
    <t xml:space="preserve">ANGUPRANISA U </t>
  </si>
  <si>
    <t>The Prime Ignitors</t>
  </si>
  <si>
    <t>Registered twice or more | Has members that belong to more than 1 team / duplicated: Team name appears 2 times | 25IT028, 25IT022, 25EE009, 25IT024, 25CS131, 25CS252</t>
  </si>
  <si>
    <t>23AD116</t>
  </si>
  <si>
    <t xml:space="preserve">SAKTHIVEL M </t>
  </si>
  <si>
    <t>23AD118</t>
  </si>
  <si>
    <t>Member 3</t>
  </si>
  <si>
    <t xml:space="preserve">SANDHYA A </t>
  </si>
  <si>
    <t>23CC044</t>
  </si>
  <si>
    <t>SAMUVEL GIPSON S</t>
  </si>
  <si>
    <t>23AD128</t>
  </si>
  <si>
    <t>SELVAMOUNIKA K</t>
  </si>
  <si>
    <t>akshaysrinivasan.2025cse@sece.ac.in</t>
  </si>
  <si>
    <t>25CS007</t>
  </si>
  <si>
    <t>25CS050</t>
  </si>
  <si>
    <t>ELIYAS J</t>
  </si>
  <si>
    <t>25CS064</t>
  </si>
  <si>
    <t>HARIHARAN S D</t>
  </si>
  <si>
    <t>25CS065</t>
  </si>
  <si>
    <t>HARIKISHAN J</t>
  </si>
  <si>
    <t>25CS014</t>
  </si>
  <si>
    <t>Year-wise Total</t>
  </si>
  <si>
    <t>ASHEENA A</t>
  </si>
  <si>
    <t>25CS013</t>
  </si>
  <si>
    <t>ARUN R</t>
  </si>
  <si>
    <t>Total Students</t>
  </si>
  <si>
    <t>sridharsan.s2025csbs@sece.ac.in</t>
  </si>
  <si>
    <t>TEAM AURA</t>
  </si>
  <si>
    <t>25CB054</t>
  </si>
  <si>
    <t>Total Teams</t>
  </si>
  <si>
    <t>SRI DHARSAN S</t>
  </si>
  <si>
    <t>25CB001</t>
  </si>
  <si>
    <t>AKSHAYA VA</t>
  </si>
  <si>
    <t>25CB035</t>
  </si>
  <si>
    <t>PRANAV M</t>
  </si>
  <si>
    <t>25CB021</t>
  </si>
  <si>
    <t>JOSHITHAA SK</t>
  </si>
  <si>
    <t>25EC084</t>
  </si>
  <si>
    <t>LAKSHNA S</t>
  </si>
  <si>
    <t xml:space="preserve">LATERAL </t>
  </si>
  <si>
    <t>MONIKKA SRI BG</t>
  </si>
  <si>
    <t>rithimalya.pk2025cse@sece.ac.in</t>
  </si>
  <si>
    <t>Spark squad</t>
  </si>
  <si>
    <t>25CS186</t>
  </si>
  <si>
    <t>V Rithika</t>
  </si>
  <si>
    <t>+91 76048 58266</t>
  </si>
  <si>
    <t>Member 4</t>
  </si>
  <si>
    <t>rithika.v2025cse@sece.ac.in</t>
  </si>
  <si>
    <t>25CS187</t>
  </si>
  <si>
    <t>Rithi Malya P K</t>
  </si>
  <si>
    <t>25AD116</t>
  </si>
  <si>
    <t>Mahanth P</t>
  </si>
  <si>
    <t>25AD109</t>
  </si>
  <si>
    <t>Kunal B</t>
  </si>
  <si>
    <t>25AD115</t>
  </si>
  <si>
    <t>Mahanithi M.A</t>
  </si>
  <si>
    <t>25AM011</t>
  </si>
  <si>
    <t>Bavishyaa</t>
  </si>
  <si>
    <t>parthivsriram.b2025cse@sece.ac.in</t>
  </si>
  <si>
    <t>25CS174</t>
  </si>
  <si>
    <t>praveen.g2025cse@sece.ac.in</t>
  </si>
  <si>
    <t>25CS164</t>
  </si>
  <si>
    <t>PARTHIV SRIRAM B</t>
  </si>
  <si>
    <t>25CS179</t>
  </si>
  <si>
    <t>RAGAV CS</t>
  </si>
  <si>
    <t>25CS185</t>
  </si>
  <si>
    <t>RITHIKA P</t>
  </si>
  <si>
    <t>25CS165</t>
  </si>
  <si>
    <t>PAVITHRA V</t>
  </si>
  <si>
    <t>25EC056</t>
  </si>
  <si>
    <t>HARSHAN GK</t>
  </si>
  <si>
    <t>devakash.kl2025aids@sece.ac.in</t>
  </si>
  <si>
    <t>HEXA ELITE</t>
  </si>
  <si>
    <t>25AD034</t>
  </si>
  <si>
    <t>DEV AKASH K L</t>
  </si>
  <si>
    <t>25AD021</t>
  </si>
  <si>
    <t>AZEEM M S</t>
  </si>
  <si>
    <t>25AD024</t>
  </si>
  <si>
    <t>BHARATH KUMAR S</t>
  </si>
  <si>
    <t>25EC008</t>
  </si>
  <si>
    <t>ADLIEN G A</t>
  </si>
  <si>
    <t>25EC057</t>
  </si>
  <si>
    <t>HARSHINI N</t>
  </si>
  <si>
    <t>25CC004</t>
  </si>
  <si>
    <t>DEVADHARUN R</t>
  </si>
  <si>
    <t>Member 5</t>
  </si>
  <si>
    <t>ragu.r2025eee@sece.ac.in</t>
  </si>
  <si>
    <t>Tech X</t>
  </si>
  <si>
    <t>25EE007</t>
  </si>
  <si>
    <t>DHANYASHREE SJ</t>
  </si>
  <si>
    <t>82203 37742</t>
  </si>
  <si>
    <t>dhanyashree.sj2025eee@sece.ac.in</t>
  </si>
  <si>
    <t>25EE041</t>
  </si>
  <si>
    <t>RAGU R</t>
  </si>
  <si>
    <t>25EE042</t>
  </si>
  <si>
    <t>RITHUN K</t>
  </si>
  <si>
    <t>25CS046</t>
  </si>
  <si>
    <t>DIVYA DHARSHINI A</t>
  </si>
  <si>
    <t>Reason</t>
  </si>
  <si>
    <t>Details</t>
  </si>
  <si>
    <t>25CS022</t>
  </si>
  <si>
    <t>BHAVADHARANI R</t>
  </si>
  <si>
    <t>25AD220</t>
  </si>
  <si>
    <t>TARUN T</t>
  </si>
  <si>
    <t>niketha.m2025ece@sece.ac.in</t>
  </si>
  <si>
    <t xml:space="preserve">VISION VORTEX </t>
  </si>
  <si>
    <t>25EC117</t>
  </si>
  <si>
    <t>25EC093</t>
  </si>
  <si>
    <t>MANORANJITHAM S</t>
  </si>
  <si>
    <t>25EC071</t>
  </si>
  <si>
    <t>KAVI KEERTHANA L</t>
  </si>
  <si>
    <t>25EC094</t>
  </si>
  <si>
    <t>MARIRAJ V</t>
  </si>
  <si>
    <t>25EC070</t>
  </si>
  <si>
    <t>KARTHIKEYAN S</t>
  </si>
  <si>
    <t>25EE034</t>
  </si>
  <si>
    <t>NIRANJNA S</t>
  </si>
  <si>
    <t>varun.s2025aids@sece.ac.in</t>
  </si>
  <si>
    <t>Tech veda</t>
  </si>
  <si>
    <t>25AD222</t>
  </si>
  <si>
    <t>Thamarai Selvan .G</t>
  </si>
  <si>
    <t>Member 6</t>
  </si>
  <si>
    <t>thamaraiselvan.g2025aids@sece.ac.in</t>
  </si>
  <si>
    <t>25AD235</t>
  </si>
  <si>
    <t>Varun .S</t>
  </si>
  <si>
    <t>25AD250</t>
  </si>
  <si>
    <t>Yakshini.M</t>
  </si>
  <si>
    <t>24AD241</t>
  </si>
  <si>
    <t>Vikram J</t>
  </si>
  <si>
    <t>25CC050</t>
  </si>
  <si>
    <t>Shafrin.M</t>
  </si>
  <si>
    <t>25CC051</t>
  </si>
  <si>
    <t>Shalini.M</t>
  </si>
  <si>
    <t>yogash.sa2024it@sece.ac.in</t>
  </si>
  <si>
    <t>INFINITY BLOOMS</t>
  </si>
  <si>
    <t>24IT015</t>
  </si>
  <si>
    <t xml:space="preserve">HARISWARAN M </t>
  </si>
  <si>
    <t>hariswaran.m2024it@sece.ac.in</t>
  </si>
  <si>
    <t>24IT062</t>
  </si>
  <si>
    <t xml:space="preserve">YOGASH S A </t>
  </si>
  <si>
    <t>24IT501</t>
  </si>
  <si>
    <t>KAVIYAA R</t>
  </si>
  <si>
    <t>24CS187</t>
  </si>
  <si>
    <t>RAMYA M</t>
  </si>
  <si>
    <t>24IT056</t>
  </si>
  <si>
    <t xml:space="preserve">SOWMIYA B </t>
  </si>
  <si>
    <t>24EE010</t>
  </si>
  <si>
    <t>DIVITH S</t>
  </si>
  <si>
    <t>sowmya.n2025aids@sece.ac.in</t>
  </si>
  <si>
    <t xml:space="preserve">Beyond binary </t>
  </si>
  <si>
    <t>25AD204</t>
  </si>
  <si>
    <t>SOWMYA N</t>
  </si>
  <si>
    <t>25AD218</t>
  </si>
  <si>
    <t xml:space="preserve">TAMILKAVI G </t>
  </si>
  <si>
    <t>25AD182</t>
  </si>
  <si>
    <t>SANGAVI R</t>
  </si>
  <si>
    <t>25EC089</t>
  </si>
  <si>
    <t>MADHUMITRAA KT</t>
  </si>
  <si>
    <t>25AD207</t>
  </si>
  <si>
    <t>SRINIDHI K</t>
  </si>
  <si>
    <t>25AD230</t>
  </si>
  <si>
    <t>VAISHNAVI P</t>
  </si>
  <si>
    <t>monish.pp2025cse@sece.ac.in</t>
  </si>
  <si>
    <t>Hack Club</t>
  </si>
  <si>
    <t>25CS136</t>
  </si>
  <si>
    <t>Monish PP</t>
  </si>
  <si>
    <t>25CS141</t>
  </si>
  <si>
    <t>NandaKumar K</t>
  </si>
  <si>
    <t>25CS130</t>
  </si>
  <si>
    <t>Mohamed Faaiz A</t>
  </si>
  <si>
    <t>25CS135</t>
  </si>
  <si>
    <t>Mohith M</t>
  </si>
  <si>
    <t>25CB041</t>
  </si>
  <si>
    <t xml:space="preserve"> Ritika L</t>
  </si>
  <si>
    <t>25IT043</t>
  </si>
  <si>
    <t>Rithiga RT</t>
  </si>
  <si>
    <t>sudharshan.s2024csbs@sece.ac.in</t>
  </si>
  <si>
    <t>24CB011</t>
  </si>
  <si>
    <t>dharanidharan.t2024csbs@sece.ac.in</t>
  </si>
  <si>
    <t>24CB056</t>
  </si>
  <si>
    <t>Sudharshan S</t>
  </si>
  <si>
    <t>24CB063</t>
  </si>
  <si>
    <t>Vishwa K</t>
  </si>
  <si>
    <t>24CB033</t>
  </si>
  <si>
    <t>Pratheeka A C</t>
  </si>
  <si>
    <t>24CB045</t>
  </si>
  <si>
    <t>Shanjana R S</t>
  </si>
  <si>
    <t xml:space="preserve">24AM026	</t>
  </si>
  <si>
    <t xml:space="preserve">GOKUL M	</t>
  </si>
  <si>
    <t>mathanghi.rr2025cse@sece.ac.in</t>
  </si>
  <si>
    <t>25CS125</t>
  </si>
  <si>
    <t>25CS101</t>
  </si>
  <si>
    <t>Kavishka PS</t>
  </si>
  <si>
    <t>25CS071</t>
  </si>
  <si>
    <t>Haritha P</t>
  </si>
  <si>
    <t>25CS097</t>
  </si>
  <si>
    <t>Karthikeyan N</t>
  </si>
  <si>
    <t>23CS301</t>
  </si>
  <si>
    <t xml:space="preserve">Ajalesh B </t>
  </si>
  <si>
    <t>25AM034</t>
  </si>
  <si>
    <t>Gowdham V</t>
  </si>
  <si>
    <t>dineshkumar.s2024eee@sece.ac.in</t>
  </si>
  <si>
    <t>Celestials</t>
  </si>
  <si>
    <t>24EE009</t>
  </si>
  <si>
    <t xml:space="preserve">Dinesh Kumar S </t>
  </si>
  <si>
    <t>24CS087</t>
  </si>
  <si>
    <t>Ilamsaravanbalaji Pa</t>
  </si>
  <si>
    <t>24CYS058</t>
  </si>
  <si>
    <t>Swetha B</t>
  </si>
  <si>
    <t>24EE016</t>
  </si>
  <si>
    <t>Harshavardhan N</t>
  </si>
  <si>
    <t>24EE065</t>
  </si>
  <si>
    <t xml:space="preserve">Yuvanesh C B </t>
  </si>
  <si>
    <t>25EE005</t>
  </si>
  <si>
    <t>Bhoosith P</t>
  </si>
  <si>
    <t>kavimagi.s2025ece@sece.ac.in</t>
  </si>
  <si>
    <t>Hack Nova</t>
  </si>
  <si>
    <t>25EC072</t>
  </si>
  <si>
    <t>KAVIMAGI.S</t>
  </si>
  <si>
    <t>25EC004</t>
  </si>
  <si>
    <t>ABI NANDITA SV</t>
  </si>
  <si>
    <t>25EC121</t>
  </si>
  <si>
    <t>NISHANTHI M</t>
  </si>
  <si>
    <t>25CB057</t>
  </si>
  <si>
    <t>THARUNICA GJ</t>
  </si>
  <si>
    <t>25CB056</t>
  </si>
  <si>
    <t>SUJITHA GAYATHRI G</t>
  </si>
  <si>
    <t>25AD092</t>
  </si>
  <si>
    <t>KARPAGA PAVITHRA P</t>
  </si>
  <si>
    <t>dharrshini.s2025ece@sece.ac.in</t>
  </si>
  <si>
    <t>HYPERNOVA</t>
  </si>
  <si>
    <t>25EC039</t>
  </si>
  <si>
    <t>DHARRSHINI S</t>
  </si>
  <si>
    <t>25IT004</t>
  </si>
  <si>
    <t>ANU VARSHINI N</t>
  </si>
  <si>
    <t>25CC054</t>
  </si>
  <si>
    <t>SOWBARNIKA P</t>
  </si>
  <si>
    <t>25EC037</t>
  </si>
  <si>
    <t>DHARANESH S</t>
  </si>
  <si>
    <t>25EC047</t>
  </si>
  <si>
    <t>GOUSEEKAN V S</t>
  </si>
  <si>
    <t>25EC055</t>
  </si>
  <si>
    <t>HARISH KISHORE M</t>
  </si>
  <si>
    <t>moniga.j2025ece@sece.ac.in</t>
  </si>
  <si>
    <t>HACK HORIZON</t>
  </si>
  <si>
    <t>25EC111</t>
  </si>
  <si>
    <t>NAKSHATHRA M</t>
  </si>
  <si>
    <t>nakshathra.m2025@sece.ac.in</t>
  </si>
  <si>
    <t xml:space="preserve">25EC104 </t>
  </si>
  <si>
    <t>MONIGA J</t>
  </si>
  <si>
    <t>25EC077</t>
  </si>
  <si>
    <t>KAVIYA M</t>
  </si>
  <si>
    <t>25AM017</t>
  </si>
  <si>
    <t>DHANUSHRI J</t>
  </si>
  <si>
    <t>25CS054</t>
  </si>
  <si>
    <t>GOBIKASREE K T</t>
  </si>
  <si>
    <t>25AD100</t>
  </si>
  <si>
    <t>KAVYA R</t>
  </si>
  <si>
    <t>divakar.g2024lcse@sece.ac.in</t>
  </si>
  <si>
    <t>CODEVORTEX</t>
  </si>
  <si>
    <t>24CS215</t>
  </si>
  <si>
    <t>SARAVANAPERUMAL.M</t>
  </si>
  <si>
    <t xml:space="preserve"> 73971 48323</t>
  </si>
  <si>
    <t>saravanaperumal.m2024cse@sece.ac.in</t>
  </si>
  <si>
    <t>24CS305</t>
  </si>
  <si>
    <t>DIVAKAR.G</t>
  </si>
  <si>
    <t>24CS307</t>
  </si>
  <si>
    <t>HEMALATHA.R</t>
  </si>
  <si>
    <t>24CC301</t>
  </si>
  <si>
    <t>DHINESH KUMAR.S</t>
  </si>
  <si>
    <t>24CC028</t>
  </si>
  <si>
    <t>MATHIMOZHI.J</t>
  </si>
  <si>
    <t>24CS306</t>
  </si>
  <si>
    <t>GOKUL.S</t>
  </si>
  <si>
    <t>meiharishgokul.s2024cce@sece.ac.in</t>
  </si>
  <si>
    <t>24CC029</t>
  </si>
  <si>
    <t>24CC030</t>
  </si>
  <si>
    <t>MOHAMED JESEEM T</t>
  </si>
  <si>
    <t>24CC055</t>
  </si>
  <si>
    <t>SUGIRTHAN S</t>
  </si>
  <si>
    <t>24CC056</t>
  </si>
  <si>
    <t>SURUTHI V</t>
  </si>
  <si>
    <t>24CS314</t>
  </si>
  <si>
    <t>MURUGANANDHAM A</t>
  </si>
  <si>
    <t>24CB007</t>
  </si>
  <si>
    <t>DEEPAK E</t>
  </si>
  <si>
    <t>kirithika.sk2024cse@sece.ac.in</t>
  </si>
  <si>
    <t>Teamforge</t>
  </si>
  <si>
    <t>.24cs118</t>
  </si>
  <si>
    <t>.Niranjoan KS</t>
  </si>
  <si>
    <t>niranjoan.ks2024cse@sece.ac.in</t>
  </si>
  <si>
    <t>24cs118</t>
  </si>
  <si>
    <t>Kirithika SK</t>
  </si>
  <si>
    <t xml:space="preserve">24CS113 </t>
  </si>
  <si>
    <t>Kavya K</t>
  </si>
  <si>
    <t xml:space="preserve">24CS045 </t>
  </si>
  <si>
    <t>Deepika T</t>
  </si>
  <si>
    <t xml:space="preserve">24CS199 </t>
  </si>
  <si>
    <t>Roobak S</t>
  </si>
  <si>
    <t>24CS203 -</t>
  </si>
  <si>
    <t>Sachit K</t>
  </si>
  <si>
    <t>anushya.m2025aiml@sece.ac.in</t>
  </si>
  <si>
    <t>25CB055</t>
  </si>
  <si>
    <t>srirampranav.n2025csbs@sece.ac.in</t>
  </si>
  <si>
    <t>25CB005</t>
  </si>
  <si>
    <t>BRITE SAMSEKAR A</t>
  </si>
  <si>
    <t>25CB048</t>
  </si>
  <si>
    <t>Shashvanth</t>
  </si>
  <si>
    <t>25AM006</t>
  </si>
  <si>
    <t>ANUSHYA M</t>
  </si>
  <si>
    <t>25AM012</t>
  </si>
  <si>
    <t>BHAVANASHRI M</t>
  </si>
  <si>
    <t>25AM062</t>
  </si>
  <si>
    <t>MALINI D</t>
  </si>
  <si>
    <t>kamalikasree.s2025ece@sece.ac.in</t>
  </si>
  <si>
    <t>KAMALIKA SREE S</t>
  </si>
  <si>
    <t>25EC065</t>
  </si>
  <si>
    <t>25EC079</t>
  </si>
  <si>
    <t>KAVYASREE B</t>
  </si>
  <si>
    <t>25EC085</t>
  </si>
  <si>
    <t>LAVANYA SHRI M</t>
  </si>
  <si>
    <t>25EC068</t>
  </si>
  <si>
    <t>KANISHKA S</t>
  </si>
  <si>
    <t>25AD203</t>
  </si>
  <si>
    <t>SIVANANDHAM S</t>
  </si>
  <si>
    <t>25AD134</t>
  </si>
  <si>
    <t>NIRANJAN R</t>
  </si>
  <si>
    <t>mohansudhandhiram.m2025ece@sece.ac.in</t>
  </si>
  <si>
    <t xml:space="preserve">MOHAN SUDHANDHIRAM M </t>
  </si>
  <si>
    <t>25EC101</t>
  </si>
  <si>
    <t>25EC082</t>
  </si>
  <si>
    <t>KUMAAR S</t>
  </si>
  <si>
    <t>25EC116</t>
  </si>
  <si>
    <t>NAVEEN PRASATH E</t>
  </si>
  <si>
    <t>25EC113</t>
  </si>
  <si>
    <t>NANDHITHA B</t>
  </si>
  <si>
    <t>25CS143</t>
  </si>
  <si>
    <t>NANDHANA B</t>
  </si>
  <si>
    <t>25EC107</t>
  </si>
  <si>
    <t>MUKUNDA KRISHNA M</t>
  </si>
  <si>
    <t>lakkeytha.s2025cse@sece.ac.in</t>
  </si>
  <si>
    <t>ALPHA INNOVATORS</t>
  </si>
  <si>
    <t>25CS102</t>
  </si>
  <si>
    <t>KAVIYA SRI A</t>
  </si>
  <si>
    <t>kaviyasri.a2025cse@sece.ac.in</t>
  </si>
  <si>
    <t>25CS094</t>
  </si>
  <si>
    <t>KARNIKA P A</t>
  </si>
  <si>
    <t>25CS111</t>
  </si>
  <si>
    <t>LAKKEYTHA S</t>
  </si>
  <si>
    <t>25CS112</t>
  </si>
  <si>
    <t>LAKSHA S</t>
  </si>
  <si>
    <t>25CS109</t>
  </si>
  <si>
    <t>KOWSHIKA K</t>
  </si>
  <si>
    <t>25EC060</t>
  </si>
  <si>
    <t>ISWARYALAKSHMI R</t>
  </si>
  <si>
    <t>sanjanaa.sr2025ece@sece.ac.in</t>
  </si>
  <si>
    <t>FORGEX</t>
  </si>
  <si>
    <t>25EC141</t>
  </si>
  <si>
    <t>SANJANAA S R</t>
  </si>
  <si>
    <t>25EC162</t>
  </si>
  <si>
    <t>SRIRAM G</t>
  </si>
  <si>
    <t>25EC185</t>
  </si>
  <si>
    <t>VISHWA S</t>
  </si>
  <si>
    <t>25AD184</t>
  </si>
  <si>
    <t>SANTHOSH KUMAR P</t>
  </si>
  <si>
    <t>25AD188</t>
  </si>
  <si>
    <t>SASMITHA R</t>
  </si>
  <si>
    <t>25EC130</t>
  </si>
  <si>
    <t>PRISCILLA D</t>
  </si>
  <si>
    <t>manishbasnet.2024cse@sece.ac.in</t>
  </si>
  <si>
    <t xml:space="preserve">PROJECT POSSIBLE </t>
  </si>
  <si>
    <t>24CS129</t>
  </si>
  <si>
    <t>MANISH BASNET</t>
  </si>
  <si>
    <t>24CS025</t>
  </si>
  <si>
    <t>ASHOK TAMATA</t>
  </si>
  <si>
    <t>24CS015</t>
  </si>
  <si>
    <t>AMAN KARN</t>
  </si>
  <si>
    <t>24CS029</t>
  </si>
  <si>
    <t>BARANEETHARAN</t>
  </si>
  <si>
    <t>24CS002</t>
  </si>
  <si>
    <t>AASTHA GUPTA</t>
  </si>
  <si>
    <t>24CS044</t>
  </si>
  <si>
    <t>Deepika B</t>
  </si>
  <si>
    <t>kavin.ssg2025ece@sece.ac.in</t>
  </si>
  <si>
    <t>AQUAVISION</t>
  </si>
  <si>
    <t>25EC074</t>
  </si>
  <si>
    <t xml:space="preserve">Kavin S S G </t>
  </si>
  <si>
    <t>Kavin.ssg2025ece@sece.ac.in</t>
  </si>
  <si>
    <t>25EC003</t>
  </si>
  <si>
    <t>ABHISHEK C</t>
  </si>
  <si>
    <t>25EC073</t>
  </si>
  <si>
    <t>KAVIN G S</t>
  </si>
  <si>
    <t>25EC069</t>
  </si>
  <si>
    <t>KARTHEGAEYEN K</t>
  </si>
  <si>
    <t>25AD073</t>
  </si>
  <si>
    <t>INFANT CELSIYA T</t>
  </si>
  <si>
    <t>25AM097</t>
  </si>
  <si>
    <t xml:space="preserve">SHREE VARSHINI L </t>
  </si>
  <si>
    <t>subhamkumarbehera.2024ece@sece.ac.in</t>
  </si>
  <si>
    <t xml:space="preserve">SUBHAM KUMAR BEHERA </t>
  </si>
  <si>
    <t>24EC162</t>
  </si>
  <si>
    <t>24EC156</t>
  </si>
  <si>
    <t>Sridharan S</t>
  </si>
  <si>
    <t>24EC155</t>
  </si>
  <si>
    <t>Sridhar E</t>
  </si>
  <si>
    <t>24EC302</t>
  </si>
  <si>
    <t>Dharaneesh M</t>
  </si>
  <si>
    <t>24AD011</t>
  </si>
  <si>
    <t>Ahamed Atheep K</t>
  </si>
  <si>
    <t>24AD130</t>
  </si>
  <si>
    <t>Monika S</t>
  </si>
  <si>
    <t>suppriyaa.t2025aids@sece.ac.in</t>
  </si>
  <si>
    <t>TRIFID CODERS</t>
  </si>
  <si>
    <t>24AD187</t>
  </si>
  <si>
    <t>SANJAY VIKAS R</t>
  </si>
  <si>
    <t>sanjayvikas.r2024aids@sece.ac.in</t>
  </si>
  <si>
    <t>25AD212</t>
  </si>
  <si>
    <t xml:space="preserve">SUPPRIYAA T </t>
  </si>
  <si>
    <t>25EC163</t>
  </si>
  <si>
    <t>SRITIKA</t>
  </si>
  <si>
    <t>24AD304</t>
  </si>
  <si>
    <t xml:space="preserve">KIRUBA SANKAR </t>
  </si>
  <si>
    <t>25EC160</t>
  </si>
  <si>
    <t xml:space="preserve">SRI HARI VARSHINI </t>
  </si>
  <si>
    <t xml:space="preserve">Lateral entry </t>
  </si>
  <si>
    <t>RAGAV AANANTH S K</t>
  </si>
  <si>
    <t>hariharan.b2025it@sece.ac.in</t>
  </si>
  <si>
    <t>25IT018</t>
  </si>
  <si>
    <t>25AM049</t>
  </si>
  <si>
    <t>KARTHIKA DEVI M</t>
  </si>
  <si>
    <t>25IT002</t>
  </si>
  <si>
    <t>ALTRINE JONES F</t>
  </si>
  <si>
    <t>25AM048</t>
  </si>
  <si>
    <t xml:space="preserve">KANIMOZHI U </t>
  </si>
  <si>
    <t>25IT305</t>
  </si>
  <si>
    <t>Surya V</t>
  </si>
  <si>
    <t>25IT017</t>
  </si>
  <si>
    <t>GOPALAKRISHNAN P</t>
  </si>
  <si>
    <t>mohamedasif.i2024it@sece.ac.in</t>
  </si>
  <si>
    <t>Brogrammers</t>
  </si>
  <si>
    <t>24IT051</t>
  </si>
  <si>
    <t>sharukhesh.s2024it@sece.ac.in</t>
  </si>
  <si>
    <t>24IT028</t>
  </si>
  <si>
    <t>MOHAMED ASIF I</t>
  </si>
  <si>
    <t>24IT027</t>
  </si>
  <si>
    <t>MOGANAVASUDEV P</t>
  </si>
  <si>
    <t>24IT058</t>
  </si>
  <si>
    <t>SUWETHA B</t>
  </si>
  <si>
    <t>24CC001</t>
  </si>
  <si>
    <t>ADITHYAN R</t>
  </si>
  <si>
    <t>24CC039</t>
  </si>
  <si>
    <t>PRANAW SOMESH R</t>
  </si>
  <si>
    <t>jayasri.b2025laiml@sece.ac.in</t>
  </si>
  <si>
    <t>25aiml301</t>
  </si>
  <si>
    <t>25aiml302</t>
  </si>
  <si>
    <t>SRUTHIMITHRA.S</t>
  </si>
  <si>
    <t>25IT301</t>
  </si>
  <si>
    <t>DEVESH.N</t>
  </si>
  <si>
    <t xml:space="preserve"> IC26BTecL0081</t>
  </si>
  <si>
    <t>Kowshigan.S</t>
  </si>
  <si>
    <t xml:space="preserve"> IC26BTecL0035</t>
  </si>
  <si>
    <t>IC26BTecL0068</t>
  </si>
  <si>
    <t xml:space="preserve">  Visnu sivam A </t>
  </si>
  <si>
    <t>shakeer.f2025aids@sece.ac.in</t>
  </si>
  <si>
    <t>NEXACORE</t>
  </si>
  <si>
    <t>25AD193</t>
  </si>
  <si>
    <t>SHAKEER F</t>
  </si>
  <si>
    <t>Ph.no=7539902139 &amp; whatsapp=9994488314</t>
  </si>
  <si>
    <t>25AD183</t>
  </si>
  <si>
    <t>SANJANA R</t>
  </si>
  <si>
    <t>25AD169</t>
  </si>
  <si>
    <t>RASHIKA E</t>
  </si>
  <si>
    <t>25EC075</t>
  </si>
  <si>
    <t>KAVIN V</t>
  </si>
  <si>
    <t>25EC076</t>
  </si>
  <si>
    <t>KAVINESHWAR S R</t>
  </si>
  <si>
    <t>25EC122</t>
  </si>
  <si>
    <t>NITHIN VASAN M A</t>
  </si>
  <si>
    <t>suhamohan.2025cse@sece.ac.in</t>
  </si>
  <si>
    <t>25CS213</t>
  </si>
  <si>
    <t>siddhesh.l2025cse@sece.ac.in</t>
  </si>
  <si>
    <t>25CS226</t>
  </si>
  <si>
    <t>SUHA MOHAN</t>
  </si>
  <si>
    <t>25CS236</t>
  </si>
  <si>
    <t xml:space="preserve">THREGA . S </t>
  </si>
  <si>
    <t>25CS214</t>
  </si>
  <si>
    <t xml:space="preserve">SINDHU . V </t>
  </si>
  <si>
    <t>25AM087</t>
  </si>
  <si>
    <t>Sanjay Prasath  C B</t>
  </si>
  <si>
    <t>25AD228</t>
  </si>
  <si>
    <t>UnninKrishnan M</t>
  </si>
  <si>
    <t xml:space="preserve">II </t>
  </si>
  <si>
    <t>joshnahaseen.r2025aiml@sece.ac.in</t>
  </si>
  <si>
    <t xml:space="preserve">ZENTRIX </t>
  </si>
  <si>
    <t>22EE060</t>
  </si>
  <si>
    <t>VINOODHAN E</t>
  </si>
  <si>
    <t>99659 66696</t>
  </si>
  <si>
    <t>vinoodhan.e2025eee@sece.ac.in</t>
  </si>
  <si>
    <t>25AM047</t>
  </si>
  <si>
    <t xml:space="preserve">JOSHNA HASEEN R </t>
  </si>
  <si>
    <t>25AM024</t>
  </si>
  <si>
    <t>DHIVYA DHARSHINI K</t>
  </si>
  <si>
    <t>25CC056</t>
  </si>
  <si>
    <t xml:space="preserve">SRIBHAVAN V </t>
  </si>
  <si>
    <t>25EE004</t>
  </si>
  <si>
    <t>BHAVANA G</t>
  </si>
  <si>
    <t>25EE036</t>
  </si>
  <si>
    <t>NITHILESH V</t>
  </si>
  <si>
    <t>vishal.s2025cse@sece.ac.in</t>
  </si>
  <si>
    <t>URBANO</t>
  </si>
  <si>
    <t>25CS192</t>
  </si>
  <si>
    <t>Samriddhi R</t>
  </si>
  <si>
    <t>samriddhi.r2025cse@sece.ac.in</t>
  </si>
  <si>
    <t>25CS247</t>
  </si>
  <si>
    <t>Vishal S</t>
  </si>
  <si>
    <t>25CS199</t>
  </si>
  <si>
    <t>Sanjit SR</t>
  </si>
  <si>
    <t>25CS217</t>
  </si>
  <si>
    <t>Sri Nambi Rajan M</t>
  </si>
  <si>
    <t>25EC012</t>
  </si>
  <si>
    <t>Lead Number</t>
  </si>
  <si>
    <t>Akshaya V</t>
  </si>
  <si>
    <t>Year</t>
  </si>
  <si>
    <t>Duplicate Members</t>
  </si>
  <si>
    <t>25EC028</t>
  </si>
  <si>
    <t>Carolyn Stefina S</t>
  </si>
  <si>
    <t>roshini.kr2024it@sece.ac.in</t>
  </si>
  <si>
    <t>LarvaX</t>
  </si>
  <si>
    <t>24IT035</t>
  </si>
  <si>
    <t>Nivetha L G</t>
  </si>
  <si>
    <t>nivetha.lg2024it@sece.ac.in</t>
  </si>
  <si>
    <t>24IT041</t>
  </si>
  <si>
    <t>Roshini K R</t>
  </si>
  <si>
    <t>24CS169</t>
  </si>
  <si>
    <t>Pavithra M</t>
  </si>
  <si>
    <t>24CS182</t>
  </si>
  <si>
    <t>Priyadharshini V A</t>
  </si>
  <si>
    <t>24CS183</t>
  </si>
  <si>
    <t>Priyanka T</t>
  </si>
  <si>
    <t>25AM088</t>
  </si>
  <si>
    <t>Sanjeev.M</t>
  </si>
  <si>
    <t>dhanyasri.p2025cse@sece.ac.in</t>
  </si>
  <si>
    <t>MARVELX</t>
  </si>
  <si>
    <t>25CS016</t>
  </si>
  <si>
    <t>ASHMITHA P</t>
  </si>
  <si>
    <t>ashmitha. p2025cse@sece.ac.in</t>
  </si>
  <si>
    <t xml:space="preserve">25CS037 </t>
  </si>
  <si>
    <t xml:space="preserve">DHANYASRI P </t>
  </si>
  <si>
    <t>25CS034</t>
  </si>
  <si>
    <t>DHANAPRIYA V</t>
  </si>
  <si>
    <t>JANANI N</t>
  </si>
  <si>
    <t>25CS005</t>
  </si>
  <si>
    <t>AISHWARYA LAKSHMI P</t>
  </si>
  <si>
    <t>25CS011</t>
  </si>
  <si>
    <t>ANITHA K</t>
  </si>
  <si>
    <t>ravishankar.ag2024cse@sece.ac.in</t>
  </si>
  <si>
    <t>BINARY BEATS</t>
  </si>
  <si>
    <t>24CS191</t>
  </si>
  <si>
    <t>Ravishankar AG</t>
  </si>
  <si>
    <t>24CS196</t>
  </si>
  <si>
    <t>Rishivardhan J</t>
  </si>
  <si>
    <t>24CS186</t>
  </si>
  <si>
    <t>Ramvishnu P</t>
  </si>
  <si>
    <t>24CS166</t>
  </si>
  <si>
    <t>Parameshwaran P</t>
  </si>
  <si>
    <t>24AD042</t>
  </si>
  <si>
    <t>Dharshana M</t>
  </si>
  <si>
    <t>24EC074</t>
  </si>
  <si>
    <t>Keerthishree M</t>
  </si>
  <si>
    <t>sujay.m2025aids@sece.ac.in</t>
  </si>
  <si>
    <t>LEO DAS</t>
  </si>
  <si>
    <t>25AD210</t>
  </si>
  <si>
    <t>SUJAY M</t>
  </si>
  <si>
    <t>25AD226</t>
  </si>
  <si>
    <t>THIANESH H</t>
  </si>
  <si>
    <t>25AD163</t>
  </si>
  <si>
    <t>RAJAPANDI D</t>
  </si>
  <si>
    <t>25CS175</t>
  </si>
  <si>
    <t>PRAVEEN R</t>
  </si>
  <si>
    <t>25EE023</t>
  </si>
  <si>
    <t>KEERTHI LESHMI V</t>
  </si>
  <si>
    <t>25EE049</t>
  </si>
  <si>
    <t>SHARMILA MARY I</t>
  </si>
  <si>
    <t>sneha.td2024csbs@sece.ac.in</t>
  </si>
  <si>
    <t>24CS153, 24CS156, 24CS082, 24CS032, 24AM068, 24EC013</t>
  </si>
  <si>
    <t>Phoenix Alpha Squad</t>
  </si>
  <si>
    <t>24CB048</t>
  </si>
  <si>
    <t>Sneha T D</t>
  </si>
  <si>
    <t>25CS065, 25CS065</t>
  </si>
  <si>
    <t>24CB003</t>
  </si>
  <si>
    <t>25CS006, 25CS006</t>
  </si>
  <si>
    <t>Anu Vidhya R</t>
  </si>
  <si>
    <t>24CS</t>
  </si>
  <si>
    <t>Prithivi R</t>
  </si>
  <si>
    <t>24CS167</t>
  </si>
  <si>
    <t>Pavithra B</t>
  </si>
  <si>
    <t>24EE058</t>
  </si>
  <si>
    <t>Thensree S</t>
  </si>
  <si>
    <t>24EE019</t>
  </si>
  <si>
    <t>Kavindhra S</t>
  </si>
  <si>
    <t>lakshana.s2024aids@sece.ac.in</t>
  </si>
  <si>
    <t>24AD123</t>
  </si>
  <si>
    <t>midhuna.r2024aids@sece.ac.in</t>
  </si>
  <si>
    <t>24AD108</t>
  </si>
  <si>
    <t>Lakshana S</t>
  </si>
  <si>
    <t>24AD111</t>
  </si>
  <si>
    <t>Lalitha SV</t>
  </si>
  <si>
    <t>24AD118</t>
  </si>
  <si>
    <t>Mathan Prasath S</t>
  </si>
  <si>
    <t>24IT014</t>
  </si>
  <si>
    <t xml:space="preserve">Harini Kesavan </t>
  </si>
  <si>
    <t>24EE059</t>
  </si>
  <si>
    <t>Threga S</t>
  </si>
  <si>
    <t>thamira.h2025aids@sece.ac.in</t>
  </si>
  <si>
    <t>Nexora Technologies</t>
  </si>
  <si>
    <t>25AD190</t>
  </si>
  <si>
    <t>Sevvanthi T S</t>
  </si>
  <si>
    <t>Sevvanthi.ts2025aids@sece.ac.in</t>
  </si>
  <si>
    <t>25AD223</t>
  </si>
  <si>
    <t>Thamira H</t>
  </si>
  <si>
    <t>23AD231</t>
  </si>
  <si>
    <t>Vaishnavi S</t>
  </si>
  <si>
    <t>25AD232</t>
  </si>
  <si>
    <t>Vaishnavi T</t>
  </si>
  <si>
    <t>25CB008</t>
  </si>
  <si>
    <t>Dharshan S</t>
  </si>
  <si>
    <t>25CB060</t>
  </si>
  <si>
    <t>Viswa Mahesh K</t>
  </si>
  <si>
    <t>harshini.pk2025cse@sece.ac.in</t>
  </si>
  <si>
    <t xml:space="preserve">INVICTA </t>
  </si>
  <si>
    <t>25CS066</t>
  </si>
  <si>
    <t>HARINI G</t>
  </si>
  <si>
    <t>harini.g2025cse@sece.ac.in</t>
  </si>
  <si>
    <t>25CS072</t>
  </si>
  <si>
    <t xml:space="preserve">HARSHINI P K </t>
  </si>
  <si>
    <t>25CS069</t>
  </si>
  <si>
    <t>HARINISRI S</t>
  </si>
  <si>
    <t>25CS085</t>
  </si>
  <si>
    <t>JEGASHREE A</t>
  </si>
  <si>
    <t>25CS129</t>
  </si>
  <si>
    <t>MOGITHA G</t>
  </si>
  <si>
    <t>25CC038</t>
  </si>
  <si>
    <t>PRANEETHA S</t>
  </si>
  <si>
    <t>dharsani.g2025aids@sece.ac.in</t>
  </si>
  <si>
    <t>HEXA CATALYST</t>
  </si>
  <si>
    <t>25AD083</t>
  </si>
  <si>
    <t>JELTRIN D</t>
  </si>
  <si>
    <t>jeltrin.d2025aids@sece.ac.in</t>
  </si>
  <si>
    <t>25AD037</t>
  </si>
  <si>
    <t>DHARSANI G</t>
  </si>
  <si>
    <t>25AD112</t>
  </si>
  <si>
    <t>MADHAN M</t>
  </si>
  <si>
    <t>25AD240</t>
  </si>
  <si>
    <t>VIKASH KRISHNAA R</t>
  </si>
  <si>
    <t>25AD072</t>
  </si>
  <si>
    <t>INDIRESH P L</t>
  </si>
  <si>
    <t>25AD102</t>
  </si>
  <si>
    <t>KESHAV K</t>
  </si>
  <si>
    <t>vishwa.b2025it@sece.ac.in</t>
  </si>
  <si>
    <t xml:space="preserve">25IT062 </t>
  </si>
  <si>
    <t>Vishwa.b2025it@sece.ac.in</t>
  </si>
  <si>
    <t xml:space="preserve">25IT034 </t>
  </si>
  <si>
    <t>NAVEEN KUMAR S</t>
  </si>
  <si>
    <t>25IT029</t>
  </si>
  <si>
    <t>MADHUMITHA J R</t>
  </si>
  <si>
    <t>25IT059</t>
  </si>
  <si>
    <t>THARANI V</t>
  </si>
  <si>
    <t>25IT023</t>
  </si>
  <si>
    <t>JOANNA PRISCILLA R</t>
  </si>
  <si>
    <t>25CS017</t>
  </si>
  <si>
    <t>ASHWIN RATSINGER R</t>
  </si>
  <si>
    <t>mvishal.2025aids@sece.ac.in</t>
  </si>
  <si>
    <t>ORION FORGE</t>
  </si>
  <si>
    <t>25AD167</t>
  </si>
  <si>
    <t>RANJITH BALA B</t>
  </si>
  <si>
    <t>ranjithbala.b2025aids@sece.ac.in</t>
  </si>
  <si>
    <t>25AD013</t>
  </si>
  <si>
    <t>ARUL RAJ W</t>
  </si>
  <si>
    <t>25AD160</t>
  </si>
  <si>
    <t>RAGUL S</t>
  </si>
  <si>
    <t>25AD246</t>
  </si>
  <si>
    <t>VISHAL M</t>
  </si>
  <si>
    <t>25AM112</t>
  </si>
  <si>
    <t>VAISHAL SEKAR S</t>
  </si>
  <si>
    <t>25CS126</t>
  </si>
  <si>
    <t>MATHIVATHANI N</t>
  </si>
  <si>
    <t>seenivasan.kv2025it@sece.ac.in</t>
  </si>
  <si>
    <t>Hackhorizon</t>
  </si>
  <si>
    <t>25IT048</t>
  </si>
  <si>
    <t>Seenivasan k v</t>
  </si>
  <si>
    <t>25IT001</t>
  </si>
  <si>
    <t>Allen paul P</t>
  </si>
  <si>
    <t>25IT030</t>
  </si>
  <si>
    <t>Mirusna N</t>
  </si>
  <si>
    <t>25IT011</t>
  </si>
  <si>
    <t>Christin jenilarani J</t>
  </si>
  <si>
    <t>25EC103</t>
  </si>
  <si>
    <t>Moranram V</t>
  </si>
  <si>
    <t>25EC106</t>
  </si>
  <si>
    <t>Mohammad Hussain A</t>
  </si>
  <si>
    <t>sreeharrini.a2025aids@sece.ac.in</t>
  </si>
  <si>
    <t>InnovAltors</t>
  </si>
  <si>
    <t>25AD249</t>
  </si>
  <si>
    <t>Vishnu Mari N</t>
  </si>
  <si>
    <t>vishnumari.n2025aids@sece.ac.in</t>
  </si>
  <si>
    <t>25AD205</t>
  </si>
  <si>
    <t>SREE HARRINI A</t>
  </si>
  <si>
    <t>25AD229</t>
  </si>
  <si>
    <t>Usha Bharathi L</t>
  </si>
  <si>
    <t>DHARSHAN P</t>
  </si>
  <si>
    <t>25EC010</t>
  </si>
  <si>
    <t>AKILAN K</t>
  </si>
  <si>
    <t>25EC150</t>
  </si>
  <si>
    <t>SHAMITA</t>
  </si>
  <si>
    <t>saravanakumar.g2024it@sece.ac.in</t>
  </si>
  <si>
    <t xml:space="preserve">DETROIT </t>
  </si>
  <si>
    <t>24IT048</t>
  </si>
  <si>
    <t>SARAVANAKUMAR G</t>
  </si>
  <si>
    <t>24AD197</t>
  </si>
  <si>
    <t>SELVAPRAKASH V</t>
  </si>
  <si>
    <t>24AD255</t>
  </si>
  <si>
    <t>YUGENDRA N</t>
  </si>
  <si>
    <t>24AD090</t>
  </si>
  <si>
    <t>KAMALIKA P</t>
  </si>
  <si>
    <t>24AD098</t>
  </si>
  <si>
    <t>KAVIYA A K</t>
  </si>
  <si>
    <t>24IT045</t>
  </si>
  <si>
    <t>SANJUSREE J</t>
  </si>
  <si>
    <t>santhoshkumarr.rv2025aids@sece.ac.in</t>
  </si>
  <si>
    <t>BREAKING BOTS</t>
  </si>
  <si>
    <t>25AD185</t>
  </si>
  <si>
    <t xml:space="preserve">SANTHOSH KUMARR R V </t>
  </si>
  <si>
    <t>25AD148</t>
  </si>
  <si>
    <t>PRAGANESH S</t>
  </si>
  <si>
    <t>25AD178</t>
  </si>
  <si>
    <t>SAIKARTHI G J</t>
  </si>
  <si>
    <t>25AD155</t>
  </si>
  <si>
    <t>25CS166</t>
  </si>
  <si>
    <t>PON BAVEENA E</t>
  </si>
  <si>
    <t>25CS190</t>
  </si>
  <si>
    <t>SAHANA R S</t>
  </si>
  <si>
    <t>mariesharibose.2024ece@sece.ac.in</t>
  </si>
  <si>
    <t>CronicQuantums</t>
  </si>
  <si>
    <t>24EC087</t>
  </si>
  <si>
    <t>MARIESH HARI BOSE B</t>
  </si>
  <si>
    <t>24EC</t>
  </si>
  <si>
    <t xml:space="preserve">Prakatheesh S </t>
  </si>
  <si>
    <t>25AD076</t>
  </si>
  <si>
    <t>JAISREE K</t>
  </si>
  <si>
    <t>25AD091</t>
  </si>
  <si>
    <t>KARNIKA S</t>
  </si>
  <si>
    <t>25CC046</t>
  </si>
  <si>
    <t>SANTHINI E</t>
  </si>
  <si>
    <t>25CC042</t>
  </si>
  <si>
    <t>RAVEENA SHREE V</t>
  </si>
  <si>
    <t>joshuafrancis.j2025cys@sece.ac.in</t>
  </si>
  <si>
    <t>25SY027</t>
  </si>
  <si>
    <t>25CB015</t>
  </si>
  <si>
    <t>GOPIKA SHREE D</t>
  </si>
  <si>
    <t>25CB038</t>
  </si>
  <si>
    <t>RITHIKA S</t>
  </si>
  <si>
    <t>25SY032</t>
  </si>
  <si>
    <t>KOVENDHAN A</t>
  </si>
  <si>
    <t>25SY008</t>
  </si>
  <si>
    <t>ASHWIN V</t>
  </si>
  <si>
    <t>25SY019</t>
  </si>
  <si>
    <t xml:space="preserve">HARIHARASABARISH PV </t>
  </si>
  <si>
    <t>priyankaraajshree.s2025ece@sece.ac.in</t>
  </si>
  <si>
    <t xml:space="preserve">VISIONFORGE </t>
  </si>
  <si>
    <t>25EC133</t>
  </si>
  <si>
    <t>PRIYANKA RAAJSHREE S</t>
  </si>
  <si>
    <t>25EC025</t>
  </si>
  <si>
    <t>BENISHA VASTHI V</t>
  </si>
  <si>
    <t>25EC019</t>
  </si>
  <si>
    <t>ARVIND K</t>
  </si>
  <si>
    <t>25CS140</t>
  </si>
  <si>
    <t>NAGULESH K</t>
  </si>
  <si>
    <t>25CS172</t>
  </si>
  <si>
    <t>PRANAV KARTHIKEYAA G</t>
  </si>
  <si>
    <t>25EC026</t>
  </si>
  <si>
    <t>BHUBESH NK</t>
  </si>
  <si>
    <t>shreenidhi.rl2024csecs@sece.ac.in</t>
  </si>
  <si>
    <t>24SY049</t>
  </si>
  <si>
    <t>24SY037</t>
  </si>
  <si>
    <t>24CS017</t>
  </si>
  <si>
    <t>AMRITHA R</t>
  </si>
  <si>
    <t>24IT044</t>
  </si>
  <si>
    <t>SANJAY RAM RM</t>
  </si>
  <si>
    <t>24IT059</t>
  </si>
  <si>
    <t>TANISHK SS</t>
  </si>
  <si>
    <t>24IT047</t>
  </si>
  <si>
    <t>SAPARISH D</t>
  </si>
  <si>
    <t>harshan.k2024aids@sece.ac.in</t>
  </si>
  <si>
    <t>NEUROSPARKS</t>
  </si>
  <si>
    <t>24AD068</t>
  </si>
  <si>
    <t>HARSHAN K</t>
  </si>
  <si>
    <t>24AD091</t>
  </si>
  <si>
    <t>KANIKA K</t>
  </si>
  <si>
    <t>24AD099</t>
  </si>
  <si>
    <t xml:space="preserve">KEERTHANASRI A M </t>
  </si>
  <si>
    <t>24EC029</t>
  </si>
  <si>
    <t>DANILA SELENE S</t>
  </si>
  <si>
    <t>24AD086</t>
  </si>
  <si>
    <t xml:space="preserve">JOSEPH SAM M </t>
  </si>
  <si>
    <t>24CS263</t>
  </si>
  <si>
    <t>VIGNESH J</t>
  </si>
  <si>
    <t>prameesha.p2024csbs@sece.ac.in</t>
  </si>
  <si>
    <t>HACKPULSE</t>
  </si>
  <si>
    <t>24CB031</t>
  </si>
  <si>
    <t>PRAMEESHA P</t>
  </si>
  <si>
    <t>24CB005</t>
  </si>
  <si>
    <t>ASHMITA S</t>
  </si>
  <si>
    <t>24CB014</t>
  </si>
  <si>
    <t>GURU VAISHNAVI S</t>
  </si>
  <si>
    <t>24CB052</t>
  </si>
  <si>
    <t>SRI LAKSHMI G</t>
  </si>
  <si>
    <t>24AD226</t>
  </si>
  <si>
    <t>SUREKA K</t>
  </si>
  <si>
    <t>24CB055</t>
  </si>
  <si>
    <t>SRISAANTH B</t>
  </si>
  <si>
    <t>vishal.s2025aids@sece.ac.in</t>
  </si>
  <si>
    <t xml:space="preserve">Powerhouse </t>
  </si>
  <si>
    <t>25AD192</t>
  </si>
  <si>
    <t>Shahith Mohamed K</t>
  </si>
  <si>
    <t>shahithmohamed.k2025aids@sece.ac.in</t>
  </si>
  <si>
    <t>25AD197</t>
  </si>
  <si>
    <t>Shanmugapriyan D</t>
  </si>
  <si>
    <t>25AD247</t>
  </si>
  <si>
    <t>25CS015</t>
  </si>
  <si>
    <t>Ashifa Nazrin I</t>
  </si>
  <si>
    <t>25CS048</t>
  </si>
  <si>
    <t>Elakiya M</t>
  </si>
  <si>
    <t>25EC175</t>
  </si>
  <si>
    <t>Tamilarasan V</t>
  </si>
  <si>
    <t>jeyandan.a2024aids@sece.ac.in</t>
  </si>
  <si>
    <t>NightFares</t>
  </si>
  <si>
    <t>24AD085</t>
  </si>
  <si>
    <t>JEYANDAN A</t>
  </si>
  <si>
    <t>24AD066</t>
  </si>
  <si>
    <t>HARI PRASAATH S</t>
  </si>
  <si>
    <t>24AD072</t>
  </si>
  <si>
    <t>JAI ADHITHYA K</t>
  </si>
  <si>
    <t>24AD095</t>
  </si>
  <si>
    <t>KARTHIKA V</t>
  </si>
  <si>
    <t>24AD084</t>
  </si>
  <si>
    <t>JEEVANANDH B</t>
  </si>
  <si>
    <t>24EC122</t>
  </si>
  <si>
    <t>PRAVIN ARUN R J</t>
  </si>
  <si>
    <t>pravinraj.tn2024aids@sece.ac.in</t>
  </si>
  <si>
    <t>Nexus</t>
  </si>
  <si>
    <t>24AD138</t>
  </si>
  <si>
    <t xml:space="preserve">Nandhini S </t>
  </si>
  <si>
    <t>nandhini.s2024aids@sece.ac.in</t>
  </si>
  <si>
    <t>24AD160</t>
  </si>
  <si>
    <t xml:space="preserve">Pravin raj TN </t>
  </si>
  <si>
    <t>24AD110</t>
  </si>
  <si>
    <t>Lakshmanan AR</t>
  </si>
  <si>
    <t>24AD116</t>
  </si>
  <si>
    <t>Manivelavan K</t>
  </si>
  <si>
    <t>24EC172</t>
  </si>
  <si>
    <t>Thanush E</t>
  </si>
  <si>
    <t>24EE043</t>
  </si>
  <si>
    <t>Samyuktha JM</t>
  </si>
  <si>
    <t>libisha.s2025aids@sece.ac.in</t>
  </si>
  <si>
    <t>HexaTech</t>
  </si>
  <si>
    <t>25AD110</t>
  </si>
  <si>
    <t>25AD097</t>
  </si>
  <si>
    <t>KAVIPRIYA M</t>
  </si>
  <si>
    <t>25AD088</t>
  </si>
  <si>
    <t>KAMALI L</t>
  </si>
  <si>
    <t>25EE044</t>
  </si>
  <si>
    <t>SANJAY BALAN C</t>
  </si>
  <si>
    <t>25EE058</t>
  </si>
  <si>
    <t>VARUN KAVI E</t>
  </si>
  <si>
    <t>25EE043</t>
  </si>
  <si>
    <t>ROHITKANTH K</t>
  </si>
  <si>
    <t>kavya.m2025ece@sece.ac.in</t>
  </si>
  <si>
    <t xml:space="preserve">TEAM SPARK </t>
  </si>
  <si>
    <t>25EC078</t>
  </si>
  <si>
    <t xml:space="preserve">KAVYA M </t>
  </si>
  <si>
    <t>25EC166</t>
  </si>
  <si>
    <t xml:space="preserve">SUBHA N </t>
  </si>
  <si>
    <t>25SY025</t>
  </si>
  <si>
    <t>JESHIKA SURUTHI S</t>
  </si>
  <si>
    <t>25CC062</t>
  </si>
  <si>
    <t xml:space="preserve">VIGNESH M </t>
  </si>
  <si>
    <t>25CC058</t>
  </si>
  <si>
    <t xml:space="preserve">SUJITH MANTHIRA MOORTHY KR </t>
  </si>
  <si>
    <t>25CC011</t>
  </si>
  <si>
    <t xml:space="preserve">HARI PRASANNA R </t>
  </si>
  <si>
    <t>dakshinyasree.s2025ece@sece.ac.in</t>
  </si>
  <si>
    <t>Innov8</t>
  </si>
  <si>
    <t>25EC031</t>
  </si>
  <si>
    <t>25EC058</t>
  </si>
  <si>
    <t xml:space="preserve">Harshini .T </t>
  </si>
  <si>
    <t>25EC041</t>
  </si>
  <si>
    <t>Dharshan .MR</t>
  </si>
  <si>
    <t>25EC059</t>
  </si>
  <si>
    <t>Indraa sudarsan .SP</t>
  </si>
  <si>
    <t>25CB061</t>
  </si>
  <si>
    <t>Vivega.M</t>
  </si>
  <si>
    <t>25AD124</t>
  </si>
  <si>
    <t>Mrudhan.S</t>
  </si>
  <si>
    <t>abinesh.m2025cse@sece.ac.in</t>
  </si>
  <si>
    <t>25CS002</t>
  </si>
  <si>
    <t>25CS031</t>
  </si>
  <si>
    <t>DELPHINE BAPIYOLA J</t>
  </si>
  <si>
    <t>25CS061</t>
  </si>
  <si>
    <t xml:space="preserve">HANISKKA S </t>
  </si>
  <si>
    <t xml:space="preserve">Lateral </t>
  </si>
  <si>
    <t xml:space="preserve">SANJAI PS </t>
  </si>
  <si>
    <t>25EE301(Lateral)</t>
  </si>
  <si>
    <t>YASWANTH HARI V</t>
  </si>
  <si>
    <t>24AD179</t>
  </si>
  <si>
    <t>Sakthi G</t>
  </si>
  <si>
    <t>prajan.ps2025aids@sece.ac.in</t>
  </si>
  <si>
    <t>25AD149</t>
  </si>
  <si>
    <t>25AD189</t>
  </si>
  <si>
    <t>SENTHIL KUMAR . K</t>
  </si>
  <si>
    <t>25EE016</t>
  </si>
  <si>
    <t>HARSHITHA SRI A.G</t>
  </si>
  <si>
    <t xml:space="preserve"> 25AM113</t>
  </si>
  <si>
    <t xml:space="preserve">VAISHNAVI . S </t>
  </si>
  <si>
    <t>25EC182</t>
  </si>
  <si>
    <t>VISHNU. P</t>
  </si>
  <si>
    <t>25EC144</t>
  </si>
  <si>
    <t>SANJAY . S</t>
  </si>
  <si>
    <t>kodieswaran.m2025aiml@sece.ac.in</t>
  </si>
  <si>
    <t>MindForge AI</t>
  </si>
  <si>
    <t>25AM055</t>
  </si>
  <si>
    <t>Kodieswaran M</t>
  </si>
  <si>
    <t>25AD245</t>
  </si>
  <si>
    <t>Visalini S</t>
  </si>
  <si>
    <t>25AM036</t>
  </si>
  <si>
    <t>Gowthaman V</t>
  </si>
  <si>
    <t>25AD219</t>
  </si>
  <si>
    <t>Tamoharini CS</t>
  </si>
  <si>
    <t>25ME026</t>
  </si>
  <si>
    <t>Subitha R</t>
  </si>
  <si>
    <t>25ME005</t>
  </si>
  <si>
    <t>Charu B</t>
  </si>
  <si>
    <t>sharveshwar.s2025aids@sece.ac.in</t>
  </si>
  <si>
    <t>ASGARD LABS</t>
  </si>
  <si>
    <t>25AD198</t>
  </si>
  <si>
    <t>SHARVESHWAR S</t>
  </si>
  <si>
    <t>25IT032</t>
  </si>
  <si>
    <t>MOHAMED SOHAIL N</t>
  </si>
  <si>
    <t>25EC001</t>
  </si>
  <si>
    <t>AADITHYAA A S</t>
  </si>
  <si>
    <t>25EC048</t>
  </si>
  <si>
    <t>GOWTHAM S</t>
  </si>
  <si>
    <t>25EC005</t>
  </si>
  <si>
    <t>ABISHEK R R</t>
  </si>
  <si>
    <t>25AM080</t>
  </si>
  <si>
    <t>RUBIKHA M</t>
  </si>
  <si>
    <t>visalini.t2025it@sece.ac.in</t>
  </si>
  <si>
    <t xml:space="preserve">TechNova </t>
  </si>
  <si>
    <t>25IT060</t>
  </si>
  <si>
    <t>VISALINI T</t>
  </si>
  <si>
    <t>25IT005</t>
  </si>
  <si>
    <t>ANUSHREE S</t>
  </si>
  <si>
    <t>25IT006</t>
  </si>
  <si>
    <t>ASHWIN B</t>
  </si>
  <si>
    <t>25IT058</t>
  </si>
  <si>
    <t>TARUN V</t>
  </si>
  <si>
    <t>25IT041</t>
  </si>
  <si>
    <t>PRADEEPA P</t>
  </si>
  <si>
    <t>25EE039</t>
  </si>
  <si>
    <t>PARTHA R</t>
  </si>
  <si>
    <t>dharanya.m2025it@sece.ac.in</t>
  </si>
  <si>
    <t>25CS203</t>
  </si>
  <si>
    <t>saraneesh.g2025cse@sece.ac.in</t>
  </si>
  <si>
    <t>25IT013</t>
  </si>
  <si>
    <t>DHARANYA M</t>
  </si>
  <si>
    <t>25CS202</t>
  </si>
  <si>
    <t>SANTHIYA K</t>
  </si>
  <si>
    <t>25EC027</t>
  </si>
  <si>
    <t>BOOBESH S</t>
  </si>
  <si>
    <t>25BEADMEC302</t>
  </si>
  <si>
    <t>KAMALESH S M</t>
  </si>
  <si>
    <t>25BEADMEC306</t>
  </si>
  <si>
    <t>SUGANTH P M</t>
  </si>
  <si>
    <t>sibichakkaravarthi.k2025aids@sece.ac.in</t>
  </si>
  <si>
    <t>TECH DOMINION</t>
  </si>
  <si>
    <t>25EC035</t>
  </si>
  <si>
    <t>DEVI SRI T</t>
  </si>
  <si>
    <t>devisri.t2025ece@sece.ac.in</t>
  </si>
  <si>
    <t>25AD208</t>
  </si>
  <si>
    <t>SUDHARSANAN K</t>
  </si>
  <si>
    <t>25CS161</t>
  </si>
  <si>
    <t>NIVASHINI M</t>
  </si>
  <si>
    <t>25CS145</t>
  </si>
  <si>
    <t>NAVASREE R S</t>
  </si>
  <si>
    <t>25EC053</t>
  </si>
  <si>
    <t>HARINI P</t>
  </si>
  <si>
    <t>25AD202</t>
  </si>
  <si>
    <t>SIBI CHAKKARAVARTHI K</t>
  </si>
  <si>
    <t>lekshmebalaje.r2025cys@sece.ac.in</t>
  </si>
  <si>
    <t>25SY035</t>
  </si>
  <si>
    <t>Lekshme Balaje R</t>
  </si>
  <si>
    <t>25SY005</t>
  </si>
  <si>
    <t>Alfred Joseph W</t>
  </si>
  <si>
    <t>25CS041</t>
  </si>
  <si>
    <t>Dharun R</t>
  </si>
  <si>
    <t>25CS093</t>
  </si>
  <si>
    <t>Kanjana G</t>
  </si>
  <si>
    <t>25CS113</t>
  </si>
  <si>
    <t>Lathika K</t>
  </si>
  <si>
    <t>25CS096</t>
  </si>
  <si>
    <t>Karthiga A</t>
  </si>
  <si>
    <t>poojasri.s2025cse@sece.ac.in</t>
  </si>
  <si>
    <t>PHacK Junction</t>
  </si>
  <si>
    <t>25AD069</t>
  </si>
  <si>
    <t>Harshikaa S</t>
  </si>
  <si>
    <t>harshikaa.s2025aids@sece.ac.in</t>
  </si>
  <si>
    <t>25CS167</t>
  </si>
  <si>
    <t>Pooja sri S</t>
  </si>
  <si>
    <t>25CS082</t>
  </si>
  <si>
    <t>Jayanesh A</t>
  </si>
  <si>
    <t>25EC109</t>
  </si>
  <si>
    <t>Naganathan R</t>
  </si>
  <si>
    <t>25EC124</t>
  </si>
  <si>
    <t>Palani Kumar N</t>
  </si>
  <si>
    <t>25AD108</t>
  </si>
  <si>
    <t>Krithika K</t>
  </si>
  <si>
    <t>mnithila.2025eee@sece.ac.in</t>
  </si>
  <si>
    <t>M NITHILA</t>
  </si>
  <si>
    <t>25EE025</t>
  </si>
  <si>
    <t xml:space="preserve">M NITHILA </t>
  </si>
  <si>
    <t>25EE053</t>
  </si>
  <si>
    <t>SRIMATHI M</t>
  </si>
  <si>
    <t>25ME007</t>
  </si>
  <si>
    <t>DEVASREE DAKSHINI M</t>
  </si>
  <si>
    <t>25ME009</t>
  </si>
  <si>
    <t>DURGASRI V</t>
  </si>
  <si>
    <t>25CS088</t>
  </si>
  <si>
    <t>JOSHUA A</t>
  </si>
  <si>
    <t>25CS081</t>
  </si>
  <si>
    <t>JAIDEEPAK R</t>
  </si>
  <si>
    <t>lohith.t2025ece@sece.ac.in</t>
  </si>
  <si>
    <t>Neurostack</t>
  </si>
  <si>
    <t xml:space="preserve">25EC088 </t>
  </si>
  <si>
    <t xml:space="preserve">LOHITH T </t>
  </si>
  <si>
    <t>25EC081</t>
  </si>
  <si>
    <t>KIRUTHIKA S</t>
  </si>
  <si>
    <t>25EC108</t>
  </si>
  <si>
    <t>MUTHUMAMUNDI K</t>
  </si>
  <si>
    <t>25EC105</t>
  </si>
  <si>
    <t>MUGESH M</t>
  </si>
  <si>
    <t>25EC098</t>
  </si>
  <si>
    <t>MOHAMAD IRFAN</t>
  </si>
  <si>
    <t>25CB051</t>
  </si>
  <si>
    <t>SINDHIGAA E M</t>
  </si>
  <si>
    <t>christinavictor.2025csbs@sece.ac.in</t>
  </si>
  <si>
    <t>Tech Squad</t>
  </si>
  <si>
    <t>25SY046</t>
  </si>
  <si>
    <t>Sakthi Sreya</t>
  </si>
  <si>
    <t>+91 77084 91785</t>
  </si>
  <si>
    <t>sakthisreya.s2025cys@sece.ac.in</t>
  </si>
  <si>
    <t>25SY052</t>
  </si>
  <si>
    <t>Srimathi S</t>
  </si>
  <si>
    <t>IC26BER0479</t>
  </si>
  <si>
    <t xml:space="preserve">Lakshana k  </t>
  </si>
  <si>
    <t>25SY061</t>
  </si>
  <si>
    <t>Varshika S</t>
  </si>
  <si>
    <t>25CB006</t>
  </si>
  <si>
    <t xml:space="preserve">Christina Victor </t>
  </si>
  <si>
    <t>25CB062</t>
  </si>
  <si>
    <t>Viyanjana S</t>
  </si>
  <si>
    <t>logeshwaran.s2024ece@sece.ac.in</t>
  </si>
  <si>
    <t>InnoMinds</t>
  </si>
  <si>
    <t>24EC082</t>
  </si>
  <si>
    <t>24EC068</t>
  </si>
  <si>
    <t>KARTHICK NAVEEN S</t>
  </si>
  <si>
    <t>24EC091</t>
  </si>
  <si>
    <t>MOHAMMAD IRFAN M</t>
  </si>
  <si>
    <t>24AD010</t>
  </si>
  <si>
    <t>ANUGOPIKA S</t>
  </si>
  <si>
    <t>24AD040</t>
  </si>
  <si>
    <t>DHARSHINI R</t>
  </si>
  <si>
    <t>25AD120</t>
  </si>
  <si>
    <t>MERLIN KIRUTHIKA S</t>
  </si>
  <si>
    <t>vishal.mk2024aiml@sece.ac.in</t>
  </si>
  <si>
    <t>NexQuad</t>
  </si>
  <si>
    <t>24AM066</t>
  </si>
  <si>
    <t>NITIN A K</t>
  </si>
  <si>
    <t>nitin.ak2024aiml@sece.ac.in</t>
  </si>
  <si>
    <t>24AM116</t>
  </si>
  <si>
    <t>VISHAL M K</t>
  </si>
  <si>
    <t>24AM107</t>
  </si>
  <si>
    <t>SWETHA P</t>
  </si>
  <si>
    <t>24EC154</t>
  </si>
  <si>
    <t>SOWBARNIKA M</t>
  </si>
  <si>
    <t>24AD175</t>
  </si>
  <si>
    <t xml:space="preserve">J S Rihasri </t>
  </si>
  <si>
    <t>24CS258</t>
  </si>
  <si>
    <t>VALARMATHI R S</t>
  </si>
  <si>
    <t>praveen.k2024aids@sece.ac.in</t>
  </si>
  <si>
    <t>SkyForge</t>
  </si>
  <si>
    <t>24AD158</t>
  </si>
  <si>
    <t>PRAVEEN K</t>
  </si>
  <si>
    <t>25AD174</t>
  </si>
  <si>
    <t>SAADHANA S</t>
  </si>
  <si>
    <t>25AD152</t>
  </si>
  <si>
    <t>PRANIKA R</t>
  </si>
  <si>
    <t>25AD161</t>
  </si>
  <si>
    <t>RAHUL B</t>
  </si>
  <si>
    <t>23IT018</t>
  </si>
  <si>
    <t>HARSHAVARDHAN GK</t>
  </si>
  <si>
    <t>23IT017</t>
  </si>
  <si>
    <t>HARITHA M</t>
  </si>
  <si>
    <t>mohamedharriz.b2025ece@sece.ac.in</t>
  </si>
  <si>
    <t>TEAM VOLT</t>
  </si>
  <si>
    <t>25EC099</t>
  </si>
  <si>
    <t xml:space="preserve">MOHAMED HARRIZ B </t>
  </si>
  <si>
    <t>Lateral-14</t>
  </si>
  <si>
    <t>SHRIRAM G</t>
  </si>
  <si>
    <t>25EC100</t>
  </si>
  <si>
    <t>MOHAMED MUBASHIR M</t>
  </si>
  <si>
    <t>25EC114</t>
  </si>
  <si>
    <t>NAREN J M</t>
  </si>
  <si>
    <t>25AM035</t>
  </si>
  <si>
    <t>GOWSHALYA P</t>
  </si>
  <si>
    <t>25AM009</t>
  </si>
  <si>
    <t>ASMA S</t>
  </si>
  <si>
    <t>kirushiga.ns2025aids@sece.ac.in</t>
  </si>
  <si>
    <t>25AD105</t>
  </si>
  <si>
    <t>KIRUSHIGA N S</t>
  </si>
  <si>
    <t>25AD007</t>
  </si>
  <si>
    <t>AMIRTHA VARSHINI R</t>
  </si>
  <si>
    <t>25AD117</t>
  </si>
  <si>
    <t>MALA T</t>
  </si>
  <si>
    <t>25AD111</t>
  </si>
  <si>
    <t>LOGALAKSHMI M</t>
  </si>
  <si>
    <t>25SY062</t>
  </si>
  <si>
    <t>25SY048</t>
  </si>
  <si>
    <t>SIRIVARSHAN K</t>
  </si>
  <si>
    <t>girish.ks2025aids@sece.ac.in</t>
  </si>
  <si>
    <t xml:space="preserve">GRYFFINDOR </t>
  </si>
  <si>
    <t>25AD052</t>
  </si>
  <si>
    <t xml:space="preserve">GIRISH K S </t>
  </si>
  <si>
    <t xml:space="preserve">25AD055 </t>
  </si>
  <si>
    <t xml:space="preserve">GOKUL K </t>
  </si>
  <si>
    <t>25AD044</t>
  </si>
  <si>
    <t>DINESHBALAN P</t>
  </si>
  <si>
    <t>25AD025</t>
  </si>
  <si>
    <t>BHARATHI SIVASAKTHI D P</t>
  </si>
  <si>
    <t>25AD039</t>
  </si>
  <si>
    <t>DHARSHINI K</t>
  </si>
  <si>
    <t>25AD062</t>
  </si>
  <si>
    <t>HARINI B</t>
  </si>
  <si>
    <t>deepika.b2025aids@sece.ac.in</t>
  </si>
  <si>
    <t>Dream Hackers</t>
  </si>
  <si>
    <t>25AD032</t>
  </si>
  <si>
    <t>DEEPIKA B</t>
  </si>
  <si>
    <t>25AD036</t>
  </si>
  <si>
    <t>DHARANISRI M</t>
  </si>
  <si>
    <t>25AD023</t>
  </si>
  <si>
    <t>BALAJI K</t>
  </si>
  <si>
    <t>25AD064</t>
  </si>
  <si>
    <t>HARIPRIYA R</t>
  </si>
  <si>
    <t>25CS215</t>
  </si>
  <si>
    <t>SOWMIYA V</t>
  </si>
  <si>
    <t>25CS063</t>
  </si>
  <si>
    <t>HARISUDHAN S</t>
  </si>
  <si>
    <t>santhini.s2025cse@sece.ac.in</t>
  </si>
  <si>
    <t>REBOOT REBELS</t>
  </si>
  <si>
    <t>25CS200</t>
  </si>
  <si>
    <t>SANTHINI S</t>
  </si>
  <si>
    <t>25EE052</t>
  </si>
  <si>
    <t>SRIDEVAN E</t>
  </si>
  <si>
    <t>25EE045</t>
  </si>
  <si>
    <t>SANMATHI V</t>
  </si>
  <si>
    <t>25EC067</t>
  </si>
  <si>
    <t>KANISH M B</t>
  </si>
  <si>
    <t>25CC007</t>
  </si>
  <si>
    <t>DHEVINTH M S</t>
  </si>
  <si>
    <t>25CS248</t>
  </si>
  <si>
    <t>VISHALI M</t>
  </si>
  <si>
    <t>charudharshini.k2025cys@sece.ac.in</t>
  </si>
  <si>
    <t>Syrax</t>
  </si>
  <si>
    <t xml:space="preserve">25SY009 </t>
  </si>
  <si>
    <t>CHARUDHARSHINI K</t>
  </si>
  <si>
    <t>25SY011</t>
  </si>
  <si>
    <t>DEVARAJ S</t>
  </si>
  <si>
    <t>25SY038</t>
  </si>
  <si>
    <t>MANOJ A</t>
  </si>
  <si>
    <t>25SY055</t>
  </si>
  <si>
    <t>SUSHIL KUMAR V</t>
  </si>
  <si>
    <t>25AD020</t>
  </si>
  <si>
    <t>ATCHAYAA V</t>
  </si>
  <si>
    <t>25AD043</t>
  </si>
  <si>
    <t>DHIVYAVARSHINI K</t>
  </si>
  <si>
    <t>nithishkumar.ms2025it@sece.ac.in</t>
  </si>
  <si>
    <t>INFO HEIST</t>
  </si>
  <si>
    <t>25IT038</t>
  </si>
  <si>
    <t>NITHISHKUMAR M S</t>
  </si>
  <si>
    <t>25EE014</t>
  </si>
  <si>
    <t>GOKULA KRISHNAN S</t>
  </si>
  <si>
    <t>25IT015</t>
  </si>
  <si>
    <t>GIRI L</t>
  </si>
  <si>
    <t>25EE010</t>
  </si>
  <si>
    <t xml:space="preserve">DHARUNRAM R </t>
  </si>
  <si>
    <t>25IT045</t>
  </si>
  <si>
    <t>SANGAMITHRA S</t>
  </si>
  <si>
    <t>25IT054</t>
  </si>
  <si>
    <t>SRIHARINI C</t>
  </si>
  <si>
    <t>sadhana.s2025cse@sece.ac.in</t>
  </si>
  <si>
    <t>METAVERSE</t>
  </si>
  <si>
    <t>25CS189</t>
  </si>
  <si>
    <t>SADHANA S</t>
  </si>
  <si>
    <t>25CS183</t>
  </si>
  <si>
    <t>RIDHINYA SHREE S</t>
  </si>
  <si>
    <t>25CS168</t>
  </si>
  <si>
    <t>POORNIMA A</t>
  </si>
  <si>
    <t>25CS157</t>
  </si>
  <si>
    <t>NITHIYA SHREE S</t>
  </si>
  <si>
    <t>25EC038</t>
  </si>
  <si>
    <t>DHARANISWARAN R S</t>
  </si>
  <si>
    <t>25EC018</t>
  </si>
  <si>
    <t>ARUN JOTHI P</t>
  </si>
  <si>
    <t>kavinesh.m2025cse@sece.ac.in</t>
  </si>
  <si>
    <t>TECHPULSE</t>
  </si>
  <si>
    <t>25CS100</t>
  </si>
  <si>
    <t xml:space="preserve">KAVINESH M </t>
  </si>
  <si>
    <t>25CS075</t>
  </si>
  <si>
    <t>INBAMANI B</t>
  </si>
  <si>
    <t>25CS204</t>
  </si>
  <si>
    <t>SARAVANAMOORTHY M</t>
  </si>
  <si>
    <t>25EC020</t>
  </si>
  <si>
    <t>ARYANGA E</t>
  </si>
  <si>
    <t>25AM096</t>
  </si>
  <si>
    <t>SHIVAHLESHA S</t>
  </si>
  <si>
    <t>25AM103</t>
  </si>
  <si>
    <t>SRIJA B</t>
  </si>
  <si>
    <t>abinandhana.s2025aids@sece.ac.in</t>
  </si>
  <si>
    <t>25AD002</t>
  </si>
  <si>
    <t>25AD022</t>
  </si>
  <si>
    <t>BALA BAVITHRA K</t>
  </si>
  <si>
    <t>25AD009</t>
  </si>
  <si>
    <t>ANANYA A</t>
  </si>
  <si>
    <t>25AD008</t>
  </si>
  <si>
    <t>ANANDA KRISHNAN R</t>
  </si>
  <si>
    <t>25AD014</t>
  </si>
  <si>
    <t>ARUN KUMAR B</t>
  </si>
  <si>
    <t>25SY016</t>
  </si>
  <si>
    <t>DHAYANANDHAN R S</t>
  </si>
  <si>
    <t>dharsan.ps2025ece@sece.ac.in</t>
  </si>
  <si>
    <t>DEXTER</t>
  </si>
  <si>
    <t>25EC040</t>
  </si>
  <si>
    <t xml:space="preserve">DHARSAN P S </t>
  </si>
  <si>
    <t xml:space="preserve">dharsan.ps2025ece@sece.ac.in </t>
  </si>
  <si>
    <t>25EC021</t>
  </si>
  <si>
    <t xml:space="preserve">Ashwath P </t>
  </si>
  <si>
    <t>25EC030</t>
  </si>
  <si>
    <t>CHIRANJEEVI R</t>
  </si>
  <si>
    <t>25EC023</t>
  </si>
  <si>
    <t xml:space="preserve">BARANIDHARAN C </t>
  </si>
  <si>
    <t>25CC055</t>
  </si>
  <si>
    <t>SRI AISWARYA D</t>
  </si>
  <si>
    <t>25EE022</t>
  </si>
  <si>
    <t>KAYALVIZHI A</t>
  </si>
  <si>
    <t>sharonmelba.n2025it@sece.ac.in</t>
  </si>
  <si>
    <t>BYTE BRIGADE</t>
  </si>
  <si>
    <t>25IT061</t>
  </si>
  <si>
    <t>VISHAL T</t>
  </si>
  <si>
    <t>vishal.t2025it@sece.ac.in</t>
  </si>
  <si>
    <t>25IT049</t>
  </si>
  <si>
    <t>SHARON MELBA N</t>
  </si>
  <si>
    <t>25IT057</t>
  </si>
  <si>
    <t>SWATHI R</t>
  </si>
  <si>
    <t>25IT053</t>
  </si>
  <si>
    <t>SREERAM M</t>
  </si>
  <si>
    <t>25AD123</t>
  </si>
  <si>
    <t>MONISH R</t>
  </si>
  <si>
    <t>25EC011</t>
  </si>
  <si>
    <t>AKSHAYA J</t>
  </si>
  <si>
    <t>prabakaran.b2025ece@sece.ac.in</t>
  </si>
  <si>
    <t>UNKNOWN</t>
  </si>
  <si>
    <t>25EC127</t>
  </si>
  <si>
    <t>PRABAKARAN B</t>
  </si>
  <si>
    <t>25EC129</t>
  </si>
  <si>
    <t>R PRAVEEN KUMAR</t>
  </si>
  <si>
    <t>25CS107</t>
  </si>
  <si>
    <t>KISHORE R</t>
  </si>
  <si>
    <t>25EC115</t>
  </si>
  <si>
    <t>NARKIS RAHINA A</t>
  </si>
  <si>
    <t>25CB024</t>
  </si>
  <si>
    <t>KAVYANJALI P</t>
  </si>
  <si>
    <t>25AD236</t>
  </si>
  <si>
    <t>VEERA DINESH D</t>
  </si>
  <si>
    <t>vithull.m2025cse@sece.ac.in</t>
  </si>
  <si>
    <t>25CS250</t>
  </si>
  <si>
    <t>25CS230</t>
  </si>
  <si>
    <t>SURYA K</t>
  </si>
  <si>
    <t>25CS244</t>
  </si>
  <si>
    <t>VIBIN JOSHWA A</t>
  </si>
  <si>
    <t>25CS221</t>
  </si>
  <si>
    <t>SRUTHI S</t>
  </si>
  <si>
    <t>25CS193</t>
  </si>
  <si>
    <t>SAMRITHI AMJ</t>
  </si>
  <si>
    <t>25AD090</t>
  </si>
  <si>
    <t>KANISKA VS</t>
  </si>
  <si>
    <t>aathi.a2025aids@sece.ac.in</t>
  </si>
  <si>
    <t>25CB004</t>
  </si>
  <si>
    <t>Azhagar.s2025csbs@sece.ac.in</t>
  </si>
  <si>
    <t xml:space="preserve">25AD001 </t>
  </si>
  <si>
    <t>AATHI A</t>
  </si>
  <si>
    <t>IC26BEL 0030</t>
  </si>
  <si>
    <t>VASHMITHA S A</t>
  </si>
  <si>
    <t>25AD0153</t>
  </si>
  <si>
    <t>PRASANTH P</t>
  </si>
  <si>
    <t>25EC045</t>
  </si>
  <si>
    <t>EZHILARASI E</t>
  </si>
  <si>
    <t>25EC138</t>
  </si>
  <si>
    <t>RISHVANAPARVEEN S</t>
  </si>
  <si>
    <t>yogapriya.s2025aiml@sece.ac.in</t>
  </si>
  <si>
    <t>APEXTECH</t>
  </si>
  <si>
    <t>25AM074</t>
  </si>
  <si>
    <t>RAJASHREE A</t>
  </si>
  <si>
    <t>rajashree.a2025aiml@sece.ac.in</t>
  </si>
  <si>
    <t>25AM122</t>
  </si>
  <si>
    <t>25AM094</t>
  </si>
  <si>
    <t>SHAMRUTHA R P</t>
  </si>
  <si>
    <t>25AM126</t>
  </si>
  <si>
    <t>YUVASRI S</t>
  </si>
  <si>
    <t>25EC131</t>
  </si>
  <si>
    <t>PRITHIV D A</t>
  </si>
  <si>
    <t>25EC136</t>
  </si>
  <si>
    <t>RANJAN P</t>
  </si>
  <si>
    <t>subasri.m2025ece@sece.ac.in</t>
  </si>
  <si>
    <t>Binary Brains</t>
  </si>
  <si>
    <t>25EC165</t>
  </si>
  <si>
    <t>SUBASRI M</t>
  </si>
  <si>
    <t>25EC174</t>
  </si>
  <si>
    <t>SWETHA SRI A</t>
  </si>
  <si>
    <t>25EC172</t>
  </si>
  <si>
    <t xml:space="preserve"> SUNIL ANBARASAN S</t>
  </si>
  <si>
    <t>25CS232</t>
  </si>
  <si>
    <t>TAMILSELVAN S</t>
  </si>
  <si>
    <t>25CC008</t>
  </si>
  <si>
    <t>EZHUMALAI M</t>
  </si>
  <si>
    <t>25CB034</t>
  </si>
  <si>
    <t>NITHYASREE C</t>
  </si>
  <si>
    <t>nanthana.u2025cse@sece.ac.in</t>
  </si>
  <si>
    <t>25CS144</t>
  </si>
  <si>
    <t>NANTHANA U</t>
  </si>
  <si>
    <t>25CB050</t>
  </si>
  <si>
    <t>SIBIANANTH M</t>
  </si>
  <si>
    <t xml:space="preserve">25EC140 </t>
  </si>
  <si>
    <t xml:space="preserve">SADHANA SRI R K </t>
  </si>
  <si>
    <t>25CB143</t>
  </si>
  <si>
    <t>SANJAY D</t>
  </si>
  <si>
    <t>25CB030</t>
  </si>
  <si>
    <t>MUHAMMAD RILWAAN SHEIKH R S</t>
  </si>
  <si>
    <t>25AM100</t>
  </si>
  <si>
    <t>SIVA SHANKARI S</t>
  </si>
  <si>
    <t>dharsha.r2025aids@sece.ac.in</t>
  </si>
  <si>
    <t>VIYAAN</t>
  </si>
  <si>
    <t>25AD038</t>
  </si>
  <si>
    <t>DHARSHA.R</t>
  </si>
  <si>
    <t>25AD033</t>
  </si>
  <si>
    <t>DEEPIKA.S</t>
  </si>
  <si>
    <t>25AD005</t>
  </si>
  <si>
    <t>ADHIKESAVAN.S</t>
  </si>
  <si>
    <t>25AD006</t>
  </si>
  <si>
    <t>AJAY.M</t>
  </si>
  <si>
    <t>25AD016</t>
  </si>
  <si>
    <t>ASHVANTH.S</t>
  </si>
  <si>
    <t>25AD059</t>
  </si>
  <si>
    <t>GURU PRASATH.K</t>
  </si>
  <si>
    <t>shalini.b2025cse@sece.ac.in</t>
  </si>
  <si>
    <t>25CS209</t>
  </si>
  <si>
    <t>25IT031</t>
  </si>
  <si>
    <t>MOHAMED SAABIQ S</t>
  </si>
  <si>
    <t>25IT035</t>
  </si>
  <si>
    <t>NAVEESWARAN M</t>
  </si>
  <si>
    <t>25EC164</t>
  </si>
  <si>
    <t>SUBAHARIPPRIYA P</t>
  </si>
  <si>
    <t>25EC157</t>
  </si>
  <si>
    <t>SREEMUKI M S</t>
  </si>
  <si>
    <t>25EC043</t>
  </si>
  <si>
    <t>DHARSNA S</t>
  </si>
  <si>
    <t>saravanan.r2025cse@sece.ac.in</t>
  </si>
  <si>
    <t>MINDMESH</t>
  </si>
  <si>
    <t>25CS205</t>
  </si>
  <si>
    <t>SARAVANAN R</t>
  </si>
  <si>
    <t>25CS246</t>
  </si>
  <si>
    <t>VIJAY KRISHNA S</t>
  </si>
  <si>
    <t>25AD216</t>
  </si>
  <si>
    <t>SUVETHA S.P</t>
  </si>
  <si>
    <t>25CS038</t>
  </si>
  <si>
    <t>DHARANI SRI G</t>
  </si>
  <si>
    <t>25CS040</t>
  </si>
  <si>
    <t>DHARSHANA V</t>
  </si>
  <si>
    <t>25CS052</t>
  </si>
  <si>
    <t>FAALIHA M</t>
  </si>
  <si>
    <t>ramkarthik.t2024csbs@sece.ac.in</t>
  </si>
  <si>
    <t>24CB037</t>
  </si>
  <si>
    <t>24AD039</t>
  </si>
  <si>
    <t>Dhaniskha V</t>
  </si>
  <si>
    <t>24CB0059</t>
  </si>
  <si>
    <t>Surya Prakash B</t>
  </si>
  <si>
    <t>24AD220</t>
  </si>
  <si>
    <t>Sruthika Sri R</t>
  </si>
  <si>
    <t>24CB008</t>
  </si>
  <si>
    <t>Deepak I</t>
  </si>
  <si>
    <t>24EC177</t>
  </si>
  <si>
    <t>tarun.v2024aids@sece.ac.in</t>
  </si>
  <si>
    <t>BitAura</t>
  </si>
  <si>
    <t xml:space="preserve">24AD237 </t>
  </si>
  <si>
    <t xml:space="preserve">Tarun V </t>
  </si>
  <si>
    <t xml:space="preserve">24AD218 </t>
  </si>
  <si>
    <t>Sriram M</t>
  </si>
  <si>
    <t>24AD231</t>
  </si>
  <si>
    <t>Surya P R</t>
  </si>
  <si>
    <t>24SY052</t>
  </si>
  <si>
    <t>Sreejesh S</t>
  </si>
  <si>
    <t>24SY055</t>
  </si>
  <si>
    <t>Sri Sabari Doss R</t>
  </si>
  <si>
    <t>24CS023</t>
  </si>
  <si>
    <t>Anumitha V</t>
  </si>
  <si>
    <t>bragalyayazhini.km2025aids@sece.ac.in</t>
  </si>
  <si>
    <t>25AD026</t>
  </si>
  <si>
    <t>BRAGALYA YAZHINI KM</t>
  </si>
  <si>
    <t>25AD018</t>
  </si>
  <si>
    <t>ASWATHY J</t>
  </si>
  <si>
    <t>25AD046</t>
  </si>
  <si>
    <t>DIVYADHARANI T</t>
  </si>
  <si>
    <t>25AD047</t>
  </si>
  <si>
    <t>DURAISAMY R</t>
  </si>
  <si>
    <t>25AD048</t>
  </si>
  <si>
    <t>DURGASRI R V</t>
  </si>
  <si>
    <t>25AD063</t>
  </si>
  <si>
    <t>HARINI S</t>
  </si>
  <si>
    <t>sanjayram.s2024cse@sece.ac.in</t>
  </si>
  <si>
    <t>24CB023</t>
  </si>
  <si>
    <t>keerthi.rv2024csbs@sece.ac.in</t>
  </si>
  <si>
    <t>24CS213</t>
  </si>
  <si>
    <t>SANJAY RAM S</t>
  </si>
  <si>
    <t>24CS243</t>
  </si>
  <si>
    <t>SUJITH M S</t>
  </si>
  <si>
    <t>24EC114</t>
  </si>
  <si>
    <t>PRAJEEN S</t>
  </si>
  <si>
    <t>24AM035</t>
  </si>
  <si>
    <t>JANANI M</t>
  </si>
  <si>
    <t>24IT012</t>
  </si>
  <si>
    <t>DIVAKAR G S</t>
  </si>
  <si>
    <t>poojashree.s2024cse@sece.ac.in</t>
  </si>
  <si>
    <t>INNOVATE X</t>
  </si>
  <si>
    <t>24CS194</t>
  </si>
  <si>
    <t>RETHINAVEL SK</t>
  </si>
  <si>
    <t xml:space="preserve">rethinavel.sk2024cse@sece.ac.in </t>
  </si>
  <si>
    <t>24CS143</t>
  </si>
  <si>
    <t>MUBAARAK M</t>
  </si>
  <si>
    <t>24CS152</t>
  </si>
  <si>
    <t xml:space="preserve">  	 NAVEENKUMAR G</t>
  </si>
  <si>
    <t>24CS172</t>
  </si>
  <si>
    <t>POOJASHREE S</t>
  </si>
  <si>
    <t>24CS197</t>
  </si>
  <si>
    <t>RITHIKA VI</t>
  </si>
  <si>
    <t>24EC151</t>
  </si>
  <si>
    <t>SHARUK SULTHAN M</t>
  </si>
  <si>
    <t>kavyasri.d2024cse@sece.ac.in</t>
  </si>
  <si>
    <t>ZAPHIRE</t>
  </si>
  <si>
    <t>24CS089</t>
  </si>
  <si>
    <t>JAIANISH J</t>
  </si>
  <si>
    <t xml:space="preserve"> jaianish.j2024cse@sece.ac.in </t>
  </si>
  <si>
    <t>24CS119</t>
  </si>
  <si>
    <t>KOWSALYA V</t>
  </si>
  <si>
    <t>24CS114</t>
  </si>
  <si>
    <t>KAVYASRI D</t>
  </si>
  <si>
    <t>24IT050</t>
  </si>
  <si>
    <t>SHARAN ADITHYA K</t>
  </si>
  <si>
    <t>25AD170</t>
  </si>
  <si>
    <t>RATHEESH M</t>
  </si>
  <si>
    <t>25AD157</t>
  </si>
  <si>
    <t>PRIYA DHARSHINI A</t>
  </si>
  <si>
    <t>akhilesh.mp2024aiml@sece.ac.in</t>
  </si>
  <si>
    <t>Git_Push</t>
  </si>
  <si>
    <t>24AM005</t>
  </si>
  <si>
    <t>Akhilesh M P</t>
  </si>
  <si>
    <t>24AM061</t>
  </si>
  <si>
    <t>Mohamed Fahim Jamal M</t>
  </si>
  <si>
    <t>24AM034</t>
  </si>
  <si>
    <t>Indhuja V</t>
  </si>
  <si>
    <t>24EC018</t>
  </si>
  <si>
    <t>Ashwin R</t>
  </si>
  <si>
    <t>24AM017</t>
  </si>
  <si>
    <t>Dhaarani M</t>
  </si>
  <si>
    <t xml:space="preserve">24EE017 </t>
  </si>
  <si>
    <t xml:space="preserve">Harshini A </t>
  </si>
  <si>
    <t>sakthikanth.r2025csbs@sece.ac.in</t>
  </si>
  <si>
    <t>Phantom</t>
  </si>
  <si>
    <t>25CB042</t>
  </si>
  <si>
    <t>SAKTHIKANTH R</t>
  </si>
  <si>
    <t>sakthikanth07@gmail.com</t>
  </si>
  <si>
    <t>25CB044</t>
  </si>
  <si>
    <t>SANJAY ADHITHYAN B</t>
  </si>
  <si>
    <t>25CB039</t>
  </si>
  <si>
    <t>RITHISH S</t>
  </si>
  <si>
    <t>25CS086</t>
  </si>
  <si>
    <t>JESSICA A</t>
  </si>
  <si>
    <t>25CS122</t>
  </si>
  <si>
    <t>MALATHI K</t>
  </si>
  <si>
    <t>25CS104</t>
  </si>
  <si>
    <t>KAVYASHREE R</t>
  </si>
  <si>
    <t>nivritinandhika.v2025it@sece.ac.in</t>
  </si>
  <si>
    <t>Spark X</t>
  </si>
  <si>
    <t>25IT014</t>
  </si>
  <si>
    <t>FAMIEZ Z</t>
  </si>
  <si>
    <t>94894 78345</t>
  </si>
  <si>
    <t>famiez.z2025it@sece.ac.in</t>
  </si>
  <si>
    <t xml:space="preserve">25IT039 </t>
  </si>
  <si>
    <t xml:space="preserve">V NIVRITI NANDHIKA </t>
  </si>
  <si>
    <t>25IT026</t>
  </si>
  <si>
    <t>KANISHKAN S</t>
  </si>
  <si>
    <t>24IT040</t>
  </si>
  <si>
    <t>RAJKUMAR N S</t>
  </si>
  <si>
    <t>25IT003</t>
  </si>
  <si>
    <t>ANIRUDH S</t>
  </si>
  <si>
    <t>25AM106</t>
  </si>
  <si>
    <t>SUNDARESWARI E</t>
  </si>
  <si>
    <t>adarsha.u2024cse@sece.ac.in</t>
  </si>
  <si>
    <t>LEVELUPDEVS</t>
  </si>
  <si>
    <t>24CS006</t>
  </si>
  <si>
    <t>ADARSHA U</t>
  </si>
  <si>
    <t>24CS050</t>
  </si>
  <si>
    <t>DHANUSHRI D</t>
  </si>
  <si>
    <t>24CS051</t>
  </si>
  <si>
    <t>DHANUSHYA R</t>
  </si>
  <si>
    <t>24CS055</t>
  </si>
  <si>
    <t>DHARUN KUMAR N</t>
  </si>
  <si>
    <t>24CS124</t>
  </si>
  <si>
    <t>LOGAVARSHHNI S</t>
  </si>
  <si>
    <t>24SY013</t>
  </si>
  <si>
    <t>DISHANYAA SHRII K M</t>
  </si>
  <si>
    <t>nethra.s2024cse@sece.ac.in</t>
  </si>
  <si>
    <t>24CS153</t>
  </si>
  <si>
    <t>navin.s2024cse@sece.ac.in</t>
  </si>
  <si>
    <t>24CS156</t>
  </si>
  <si>
    <t>NETHRA S</t>
  </si>
  <si>
    <t>24CS082</t>
  </si>
  <si>
    <t>HARITHA E</t>
  </si>
  <si>
    <t>24CS032</t>
  </si>
  <si>
    <t xml:space="preserve">BAVITHRA </t>
  </si>
  <si>
    <t>24AM068</t>
  </si>
  <si>
    <t>NIVETHIKA M</t>
  </si>
  <si>
    <t>24EC013</t>
  </si>
  <si>
    <t xml:space="preserve">ARJUNAN J </t>
  </si>
  <si>
    <t>varchaladevi.m2025aids@sece.ac.in</t>
  </si>
  <si>
    <t>Ctrl+Alt+Elite</t>
  </si>
  <si>
    <t>25AD221</t>
  </si>
  <si>
    <t>TARUNIKA B.S</t>
  </si>
  <si>
    <t>tarunika.bs2025aids@sece.ac.in</t>
  </si>
  <si>
    <t>25AD233</t>
  </si>
  <si>
    <t xml:space="preserve">VARCHALADEVI M </t>
  </si>
  <si>
    <t>25AD225</t>
  </si>
  <si>
    <t>THARUNIKA K.S</t>
  </si>
  <si>
    <t>25AD215</t>
  </si>
  <si>
    <t>SUVETHA S</t>
  </si>
  <si>
    <t>25CS170</t>
  </si>
  <si>
    <t>PRADHATCHANA P</t>
  </si>
  <si>
    <t>25CS158</t>
  </si>
  <si>
    <t>NITHUVARSHAN T</t>
  </si>
  <si>
    <t>shobika.s2025cse@sece.ac.in</t>
  </si>
  <si>
    <t>CODESHIFT</t>
  </si>
  <si>
    <t>25CS211</t>
  </si>
  <si>
    <t>SHOBIKA S</t>
  </si>
  <si>
    <t>25CS208</t>
  </si>
  <si>
    <t>SETHUKAMAL P G</t>
  </si>
  <si>
    <t>25CS237</t>
  </si>
  <si>
    <t>UDHAYAN L</t>
  </si>
  <si>
    <t>25CS238</t>
  </si>
  <si>
    <t>VAANATHI J</t>
  </si>
  <si>
    <t>25CS235</t>
  </si>
  <si>
    <t>THIRUVARASU S R</t>
  </si>
  <si>
    <t>25AM044</t>
  </si>
  <si>
    <t>JANARDHANAN L G</t>
  </si>
  <si>
    <t>yugeshwaran.s2025cse@sece.ac.in</t>
  </si>
  <si>
    <t>YUTA</t>
  </si>
  <si>
    <t>25CS254</t>
  </si>
  <si>
    <t>YUGESHWARAN S</t>
  </si>
  <si>
    <t>25CS191</t>
  </si>
  <si>
    <t>SAI SIDHARTH R</t>
  </si>
  <si>
    <t>25CS196</t>
  </si>
  <si>
    <t>SANJAY S</t>
  </si>
  <si>
    <t>NIL</t>
  </si>
  <si>
    <t>MONIKA S</t>
  </si>
  <si>
    <t>HARINI N</t>
  </si>
  <si>
    <t>25AD254</t>
  </si>
  <si>
    <t xml:space="preserve">DINA ALEX MAJURA </t>
  </si>
  <si>
    <t>nivetha.k2024it@sece.ac.in</t>
  </si>
  <si>
    <t>LAUGH TALE</t>
  </si>
  <si>
    <t>24IT029</t>
  </si>
  <si>
    <t>MOHAMED SABEEK H</t>
  </si>
  <si>
    <t>mohamedsabeek.h2024it@sece.ac.in</t>
  </si>
  <si>
    <t>24IT034</t>
  </si>
  <si>
    <t>NIVETHA K</t>
  </si>
  <si>
    <t>24IT031</t>
  </si>
  <si>
    <t>MONISH R K</t>
  </si>
  <si>
    <t>24IT003</t>
  </si>
  <si>
    <t>ABIRAMI S</t>
  </si>
  <si>
    <t>24AM018</t>
  </si>
  <si>
    <t>DHAKSHATHA S</t>
  </si>
  <si>
    <t>24AD195</t>
  </si>
  <si>
    <t>SASIVARNAN R S</t>
  </si>
  <si>
    <t>siva.m2025csbs@sece.ac.in</t>
  </si>
  <si>
    <t xml:space="preserve">TEAM JARVIS </t>
  </si>
  <si>
    <t>25CB052</t>
  </si>
  <si>
    <t>SIVA M</t>
  </si>
  <si>
    <t>25CB014</t>
  </si>
  <si>
    <t>GOKUL R</t>
  </si>
  <si>
    <t>25CB025</t>
  </si>
  <si>
    <t xml:space="preserve">LIJILJEROME </t>
  </si>
  <si>
    <t>25CB009</t>
  </si>
  <si>
    <t>DHARSHINI R S</t>
  </si>
  <si>
    <t>25EC170</t>
  </si>
  <si>
    <t>SUJITHA S</t>
  </si>
  <si>
    <t>L0011</t>
  </si>
  <si>
    <t>DURGA DEVI R</t>
  </si>
  <si>
    <t>subash.s2024aids@sece.ac.in</t>
  </si>
  <si>
    <t>24AD221</t>
  </si>
  <si>
    <t>SUBASH S</t>
  </si>
  <si>
    <t>24AD222</t>
  </si>
  <si>
    <t>SUDHARSINI R</t>
  </si>
  <si>
    <t>24AD223</t>
  </si>
  <si>
    <t>SUGANMANTHRAN SG</t>
  </si>
  <si>
    <t>25AD084</t>
  </si>
  <si>
    <t>JENIN JOHN S</t>
  </si>
  <si>
    <t>25EC154</t>
  </si>
  <si>
    <t>SNEHALATHA N</t>
  </si>
  <si>
    <t>25EC132</t>
  </si>
  <si>
    <t>PRIYA K</t>
  </si>
  <si>
    <t>hariprashanna.v2024eee@sece.ac.in</t>
  </si>
  <si>
    <t>24EE022</t>
  </si>
  <si>
    <t xml:space="preserve">Magizhan A T </t>
  </si>
  <si>
    <t>magizhan.at2024eee@sece.ac.in</t>
  </si>
  <si>
    <t>24EE014</t>
  </si>
  <si>
    <t>HARIPRASHANNA V</t>
  </si>
  <si>
    <t>24EE002</t>
  </si>
  <si>
    <t>ABISHEK K</t>
  </si>
  <si>
    <t>24CS049</t>
  </si>
  <si>
    <t>DHANASEELAN M</t>
  </si>
  <si>
    <t>24AM124</t>
  </si>
  <si>
    <t>YOGITA R</t>
  </si>
  <si>
    <t>24AM111</t>
  </si>
  <si>
    <t>VANDHANA G M</t>
  </si>
  <si>
    <t>bhuvanahamsadvani.ks2025cse@sece.ac.in</t>
  </si>
  <si>
    <t>25CS001</t>
  </si>
  <si>
    <t>abhisheikraja.st2025cse@sece.ac.in</t>
  </si>
  <si>
    <t>25CS023</t>
  </si>
  <si>
    <t xml:space="preserve">BHUVANAHAMSADVANI K S </t>
  </si>
  <si>
    <t>25AM081</t>
  </si>
  <si>
    <t>SAJITHA M</t>
  </si>
  <si>
    <t>25AM107</t>
  </si>
  <si>
    <t>TAMILSELVAN A</t>
  </si>
  <si>
    <t>Lateral</t>
  </si>
  <si>
    <t xml:space="preserve">VISNU P </t>
  </si>
  <si>
    <t>25IT009</t>
  </si>
  <si>
    <t>Baranidharan</t>
  </si>
  <si>
    <t>kanishka.s2025it@sece.ac.in</t>
  </si>
  <si>
    <t>NOVA NEXUS</t>
  </si>
  <si>
    <t>25CB003</t>
  </si>
  <si>
    <t>ASWATHA S</t>
  </si>
  <si>
    <t>aswatha.s2025csbs@sece.ac.in</t>
  </si>
  <si>
    <t>25IT025</t>
  </si>
  <si>
    <t>25IT027</t>
  </si>
  <si>
    <t>LAL GOWTHAM M</t>
  </si>
  <si>
    <t>25IT036</t>
  </si>
  <si>
    <t>NIKHIL RJ</t>
  </si>
  <si>
    <t>25CB023</t>
  </si>
  <si>
    <t>KAVISRI V R</t>
  </si>
  <si>
    <t>25AD206</t>
  </si>
  <si>
    <t>SRIHA P</t>
  </si>
  <si>
    <t>shankar.v2024cse@sece.ac.in</t>
  </si>
  <si>
    <t xml:space="preserve">KNOWHERE </t>
  </si>
  <si>
    <t>24CS224</t>
  </si>
  <si>
    <t>SHANKAR V</t>
  </si>
  <si>
    <t>24CS262</t>
  </si>
  <si>
    <t xml:space="preserve">VIBINCHANDAR AM </t>
  </si>
  <si>
    <t>24CS229</t>
  </si>
  <si>
    <t xml:space="preserve">SOWMIYA M S </t>
  </si>
  <si>
    <t>24CS240</t>
  </si>
  <si>
    <t>SUGANTH V</t>
  </si>
  <si>
    <t>24CS233</t>
  </si>
  <si>
    <t>SRI SWATHIGA S</t>
  </si>
  <si>
    <t>24EE061</t>
  </si>
  <si>
    <t>VARUN KISHORE R A</t>
  </si>
  <si>
    <t>enban.e2025aids@sece.ac.in</t>
  </si>
  <si>
    <t>Future Tech</t>
  </si>
  <si>
    <t>25ADO41</t>
  </si>
  <si>
    <t>Dharun S</t>
  </si>
  <si>
    <t>dharun.s2025aids@sece.ac.in</t>
  </si>
  <si>
    <t>25AD050</t>
  </si>
  <si>
    <t>ENBAN E</t>
  </si>
  <si>
    <t>25AD060</t>
  </si>
  <si>
    <t>HARI PRASANTH BM</t>
  </si>
  <si>
    <t>Dharani B</t>
  </si>
  <si>
    <t>029</t>
  </si>
  <si>
    <t>Deebesh S</t>
  </si>
  <si>
    <t>25AD027</t>
  </si>
  <si>
    <t>CIBEIL D</t>
  </si>
  <si>
    <t>harini.s2025cse@sece.ac.in</t>
  </si>
  <si>
    <t>ASTRANOVA</t>
  </si>
  <si>
    <t>25CS067</t>
  </si>
  <si>
    <t>25CS074</t>
  </si>
  <si>
    <t>HEMAPRIYA K</t>
  </si>
  <si>
    <t>25CS083</t>
  </si>
  <si>
    <t>JAYAPRIYA R</t>
  </si>
  <si>
    <t>25EC049</t>
  </si>
  <si>
    <t>GURU PRIYAN M</t>
  </si>
  <si>
    <t>25EC050</t>
  </si>
  <si>
    <t>GURUSARAN K</t>
  </si>
  <si>
    <t>25EC032</t>
  </si>
  <si>
    <t>DEERASH V R</t>
  </si>
  <si>
    <t>gopika.s2025aiml@sece.ac.in</t>
  </si>
  <si>
    <t>Team pluto</t>
  </si>
  <si>
    <t>25AM037</t>
  </si>
  <si>
    <t>HARI BALAJI V</t>
  </si>
  <si>
    <t>+91 93447 34456</t>
  </si>
  <si>
    <t>haribalaji.v2025aiml@sece.ac.in</t>
  </si>
  <si>
    <t>25AM033</t>
  </si>
  <si>
    <t xml:space="preserve">GOPIKA S </t>
  </si>
  <si>
    <t>25AM063</t>
  </si>
  <si>
    <t>MANISHA M</t>
  </si>
  <si>
    <t>25AM059</t>
  </si>
  <si>
    <t>MADHANKUMAR M</t>
  </si>
  <si>
    <t>25EE037</t>
  </si>
  <si>
    <t>NITHYA SREE P</t>
  </si>
  <si>
    <t>25EC120</t>
  </si>
  <si>
    <t>NIRMAL M</t>
  </si>
  <si>
    <t>divakar.b2025mech@sece.ac.in</t>
  </si>
  <si>
    <t>Deep Matrix</t>
  </si>
  <si>
    <t>25EC086</t>
  </si>
  <si>
    <t>LIKKITHA K</t>
  </si>
  <si>
    <t>likkitha.k2025ece@sece.ac.in</t>
  </si>
  <si>
    <t>25ME008</t>
  </si>
  <si>
    <t>DIVAKAR B</t>
  </si>
  <si>
    <t>25EC091</t>
  </si>
  <si>
    <t>MAMATHI S</t>
  </si>
  <si>
    <t>25CS239</t>
  </si>
  <si>
    <t>VALARMATHI S</t>
  </si>
  <si>
    <t>25EC118</t>
  </si>
  <si>
    <t>NIKITHA M</t>
  </si>
  <si>
    <t>25CS240</t>
  </si>
  <si>
    <t>VARSHA V</t>
  </si>
  <si>
    <t>sabaresh.k2025aids@sece.ac.in</t>
  </si>
  <si>
    <t xml:space="preserve">TEAM ASTRANOVA </t>
  </si>
  <si>
    <t>25AD175</t>
  </si>
  <si>
    <t>SABARESH K</t>
  </si>
  <si>
    <t>25AD136</t>
  </si>
  <si>
    <t>NITESH S</t>
  </si>
  <si>
    <t>25AD147</t>
  </si>
  <si>
    <t>PRADEEP R K</t>
  </si>
  <si>
    <t>25AD128</t>
  </si>
  <si>
    <t>NAVIN G V</t>
  </si>
  <si>
    <t>25AD162</t>
  </si>
  <si>
    <t>RAJAMATHALAI PRIYAESH V</t>
  </si>
  <si>
    <t>23AD002</t>
  </si>
  <si>
    <t>ABHIRAMI T</t>
  </si>
  <si>
    <t>elavarasi.s2025csbs@sece.ac.in</t>
  </si>
  <si>
    <t xml:space="preserve">VISION VAULT </t>
  </si>
  <si>
    <t>25CB011</t>
  </si>
  <si>
    <t>ELAVARASI S</t>
  </si>
  <si>
    <t>25CB058</t>
  </si>
  <si>
    <t>UMAMAGESHWARI G</t>
  </si>
  <si>
    <t>25CB018</t>
  </si>
  <si>
    <t>25EC119</t>
  </si>
  <si>
    <t>NIKITHA SHREE S</t>
  </si>
  <si>
    <t>25CB010</t>
  </si>
  <si>
    <t>DEVESHWAR K</t>
  </si>
  <si>
    <t>25CC006</t>
  </si>
  <si>
    <t>DHARUN SRIDHARAN S</t>
  </si>
  <si>
    <t>harini.k2024cse@sece.ac.in</t>
  </si>
  <si>
    <t xml:space="preserve">Vision Makers </t>
  </si>
  <si>
    <t>24CS075</t>
  </si>
  <si>
    <t xml:space="preserve">Harini K </t>
  </si>
  <si>
    <t>24CS074</t>
  </si>
  <si>
    <t>Harini C H</t>
  </si>
  <si>
    <t>24CS086</t>
  </si>
  <si>
    <t>Heranyaa T P</t>
  </si>
  <si>
    <t>24CS274</t>
  </si>
  <si>
    <t xml:space="preserve">Yuvashree K </t>
  </si>
  <si>
    <t>25IT044</t>
  </si>
  <si>
    <t xml:space="preserve">Rubavarshini S  </t>
  </si>
  <si>
    <t>25IT012</t>
  </si>
  <si>
    <t xml:space="preserve">DHANYA SHREE B </t>
  </si>
  <si>
    <t>darshan.ar2024cce@sece.ac.in</t>
  </si>
  <si>
    <t xml:space="preserve">HACKDRAGONS </t>
  </si>
  <si>
    <t>25CC009</t>
  </si>
  <si>
    <t>DARSHAN AR</t>
  </si>
  <si>
    <t>24CC018</t>
  </si>
  <si>
    <t>GOKULNAATH N</t>
  </si>
  <si>
    <t>24CC035</t>
  </si>
  <si>
    <t>Nitin M</t>
  </si>
  <si>
    <t>24CC058</t>
  </si>
  <si>
    <t>TANYASRI G</t>
  </si>
  <si>
    <t>24AD208</t>
  </si>
  <si>
    <t>SIVAANGAYARKANNI S</t>
  </si>
  <si>
    <t>24CC059</t>
  </si>
  <si>
    <t>VARUNKUMAR SN</t>
  </si>
  <si>
    <t>sudharsan.d2025ece@sece.ac.in</t>
  </si>
  <si>
    <t>Team Dynamite</t>
  </si>
  <si>
    <t xml:space="preserve">25EC167 </t>
  </si>
  <si>
    <t>Sudharsan D</t>
  </si>
  <si>
    <t>25EC183</t>
  </si>
  <si>
    <t>Vishnu Priyan K M</t>
  </si>
  <si>
    <t>25EC178</t>
  </si>
  <si>
    <t>Varshini K</t>
  </si>
  <si>
    <t>25EC155</t>
  </si>
  <si>
    <t>Sonika T</t>
  </si>
  <si>
    <t>25AD224</t>
  </si>
  <si>
    <t>Thanus Raj M</t>
  </si>
  <si>
    <t>25AD252</t>
  </si>
  <si>
    <t>Yuva sankar S</t>
  </si>
  <si>
    <t>rashmika.m2025aiml@sece.ac.in</t>
  </si>
  <si>
    <t>Invincibles</t>
  </si>
  <si>
    <t xml:space="preserve">25AM077 </t>
  </si>
  <si>
    <t>Rashmika M</t>
  </si>
  <si>
    <t>25AM114</t>
  </si>
  <si>
    <t>Varun NS</t>
  </si>
  <si>
    <t>25AM083</t>
  </si>
  <si>
    <t xml:space="preserve">Sakthi </t>
  </si>
  <si>
    <t>25AM091</t>
  </si>
  <si>
    <t xml:space="preserve">Sathurmugan </t>
  </si>
  <si>
    <t>25EC044</t>
  </si>
  <si>
    <t>Dhishaa G</t>
  </si>
  <si>
    <t>25ME024</t>
  </si>
  <si>
    <t>Siva prasath S</t>
  </si>
  <si>
    <t>gopika.a2025cse@sece.ac.in</t>
  </si>
  <si>
    <t>INNOVEXA</t>
  </si>
  <si>
    <t>25CS056</t>
  </si>
  <si>
    <t>GOPIKA A</t>
  </si>
  <si>
    <t>25CS025</t>
  </si>
  <si>
    <t>CHITRIKA E</t>
  </si>
  <si>
    <t>25CS045</t>
  </si>
  <si>
    <t>DHIPTHA B</t>
  </si>
  <si>
    <t>25CS059</t>
  </si>
  <si>
    <t>HAJARAMMA R</t>
  </si>
  <si>
    <t>25SY026</t>
  </si>
  <si>
    <t>JIDEV ADAVA SUNJAY S</t>
  </si>
  <si>
    <t>25CC053</t>
  </si>
  <si>
    <t>SOWBAKYA T</t>
  </si>
  <si>
    <t>prajit.ss2024mech@sece.ac.in</t>
  </si>
  <si>
    <t>Divine Heirs</t>
  </si>
  <si>
    <t>24ME018</t>
  </si>
  <si>
    <t>PRAJIT SS</t>
  </si>
  <si>
    <t>24ME013</t>
  </si>
  <si>
    <t>LOKESH SS</t>
  </si>
  <si>
    <t>24ME028</t>
  </si>
  <si>
    <t>VISHAAL S</t>
  </si>
  <si>
    <t>24ME015</t>
  </si>
  <si>
    <t>MYTHRAYANI  S</t>
  </si>
  <si>
    <t>24EC130</t>
  </si>
  <si>
    <t>RUPESH NAWIN S</t>
  </si>
  <si>
    <t>24ME024</t>
  </si>
  <si>
    <t>SHREE MATHI MALAR M</t>
  </si>
  <si>
    <t>lakshmanaprabha.ar2025aiml@sece.ac.in</t>
  </si>
  <si>
    <t>TechForge</t>
  </si>
  <si>
    <t>25AM043</t>
  </si>
  <si>
    <t>INIYAA V</t>
  </si>
  <si>
    <t>iniyaa.v2025aiml@sece.ac.in</t>
  </si>
  <si>
    <t>25AM042</t>
  </si>
  <si>
    <t>HEMASRI S</t>
  </si>
  <si>
    <t>25AM056</t>
  </si>
  <si>
    <t>LAKSHMANA PRABHA A R</t>
  </si>
  <si>
    <t>25AM064</t>
  </si>
  <si>
    <t>MITHUNSURYA K</t>
  </si>
  <si>
    <t>25EC187</t>
  </si>
  <si>
    <t>YOGITH VISHNU S</t>
  </si>
  <si>
    <t>25EC158</t>
  </si>
  <si>
    <t>SRI DHARSHAN S</t>
  </si>
  <si>
    <t>kriethikesh.rm2025cse@sece.ac.in</t>
  </si>
  <si>
    <t>The Tech Tribe</t>
  </si>
  <si>
    <t>25CS110</t>
  </si>
  <si>
    <t>KRIETHIKESH R M</t>
  </si>
  <si>
    <t>25CS070</t>
  </si>
  <si>
    <t>HARIRAM N</t>
  </si>
  <si>
    <t>25CS106</t>
  </si>
  <si>
    <t>KISHOR KUMAR V</t>
  </si>
  <si>
    <t>25AD138</t>
  </si>
  <si>
    <t>NITHYASRI V</t>
  </si>
  <si>
    <t>25AD156</t>
  </si>
  <si>
    <t>PRAVEENA S</t>
  </si>
  <si>
    <t>25AD158</t>
  </si>
  <si>
    <t>RAGAVI S</t>
  </si>
  <si>
    <t>dharanikasubramaniamrevathi.2025eee@sece.ac.in</t>
  </si>
  <si>
    <t>CodeCrafters</t>
  </si>
  <si>
    <t>25EE008</t>
  </si>
  <si>
    <t>Dharanika S R</t>
  </si>
  <si>
    <t>Midhun P</t>
  </si>
  <si>
    <t>25EE011</t>
  </si>
  <si>
    <t>Dhasvanth R</t>
  </si>
  <si>
    <t>25SY054</t>
  </si>
  <si>
    <t>Surendhar B</t>
  </si>
  <si>
    <t>25SY053</t>
  </si>
  <si>
    <t>Sugesh S</t>
  </si>
  <si>
    <t>25SY036</t>
  </si>
  <si>
    <t>Logavinayagam P</t>
  </si>
  <si>
    <t>jayaasrimunilakshmi.s2025aids@sece.ac.in</t>
  </si>
  <si>
    <t>25AD078</t>
  </si>
  <si>
    <t>25AD103</t>
  </si>
  <si>
    <t>KEVIN CHRISTOPHER S</t>
  </si>
  <si>
    <t>25AD101</t>
  </si>
  <si>
    <t>KEERTHI DHARSHAN S L</t>
  </si>
  <si>
    <t>25EC014</t>
  </si>
  <si>
    <t>AKSHAYAMATHI S</t>
  </si>
  <si>
    <t>25ME025</t>
  </si>
  <si>
    <t>SRIKANTH U S</t>
  </si>
  <si>
    <t>25ME019</t>
  </si>
  <si>
    <t>Murali Prasath E</t>
  </si>
  <si>
    <t>preethika.s2024aids@sece.ac.in</t>
  </si>
  <si>
    <t>Team Vanguard</t>
  </si>
  <si>
    <t>24AD162</t>
  </si>
  <si>
    <t>Preethika S</t>
  </si>
  <si>
    <t>24AD019</t>
  </si>
  <si>
    <t>Amirthavarshini P</t>
  </si>
  <si>
    <t>24AD156</t>
  </si>
  <si>
    <t>Pranav M</t>
  </si>
  <si>
    <t>24CB022</t>
  </si>
  <si>
    <t>Kausika G</t>
  </si>
  <si>
    <t>24EE049</t>
  </si>
  <si>
    <t>Shreevishnu M</t>
  </si>
  <si>
    <t>24EE056</t>
  </si>
  <si>
    <t>Suryarajan G</t>
  </si>
  <si>
    <t>kavya.pt2025eee@sece.ac.in</t>
  </si>
  <si>
    <t>DATA VERSE</t>
  </si>
  <si>
    <t>25EE021</t>
  </si>
  <si>
    <t xml:space="preserve">Kavya PT </t>
  </si>
  <si>
    <t>kavya.pt2025ee@sece.ac.in</t>
  </si>
  <si>
    <t>25AD196</t>
  </si>
  <si>
    <t>SHANMADI B V</t>
  </si>
  <si>
    <t>25AD199</t>
  </si>
  <si>
    <t>SHUBHASHREE S</t>
  </si>
  <si>
    <t>25EE020</t>
  </si>
  <si>
    <t>Kaviya N</t>
  </si>
  <si>
    <t>25EE046</t>
  </si>
  <si>
    <t>Saranya D</t>
  </si>
  <si>
    <t>25AM093</t>
  </si>
  <si>
    <t>Shamrudha E</t>
  </si>
  <si>
    <t>gowshika.v2025cse@sece.ac.in</t>
  </si>
  <si>
    <t>Xarlex</t>
  </si>
  <si>
    <t>25CS057</t>
  </si>
  <si>
    <t>GOWSALYA.B</t>
  </si>
  <si>
    <t xml:space="preserve"> 86670 44834</t>
  </si>
  <si>
    <t>gowsalya.b2025cse@sece.ac.in</t>
  </si>
  <si>
    <t>25CS058</t>
  </si>
  <si>
    <t>GOWSHIKA.V</t>
  </si>
  <si>
    <t>25CS036</t>
  </si>
  <si>
    <t>DHANUSREE.N</t>
  </si>
  <si>
    <t>25CS027</t>
  </si>
  <si>
    <t>DAYANAND.K</t>
  </si>
  <si>
    <t>25CS03</t>
  </si>
  <si>
    <t>ADHITHYAJAYAN.R</t>
  </si>
  <si>
    <t>ISHA.SV</t>
  </si>
  <si>
    <t>haritha.cr2025cce@sece.ac.in</t>
  </si>
  <si>
    <t>TECH NOVA</t>
  </si>
  <si>
    <t>25CC023</t>
  </si>
  <si>
    <t>KIRUTHIKA.N.S</t>
  </si>
  <si>
    <t>kiruthika.ns2025cce@sece.ac.in</t>
  </si>
  <si>
    <t>25CC012</t>
  </si>
  <si>
    <t>HARITHA.C.R</t>
  </si>
  <si>
    <t>25CC013</t>
  </si>
  <si>
    <t>HARSHETHA.D</t>
  </si>
  <si>
    <t>25CC018</t>
  </si>
  <si>
    <t>JAYARUBA.M</t>
  </si>
  <si>
    <t>25CB020</t>
  </si>
  <si>
    <t>JAI HARSHAN.S</t>
  </si>
  <si>
    <t>25CB002</t>
  </si>
  <si>
    <t>ANNAMALAI.K</t>
  </si>
  <si>
    <t>janani.a2025ece@sece.ac.in</t>
  </si>
  <si>
    <t>25EC063</t>
  </si>
  <si>
    <t>25EE001</t>
  </si>
  <si>
    <t>AKASH R</t>
  </si>
  <si>
    <t>25EE026</t>
  </si>
  <si>
    <t>MADHAN J</t>
  </si>
  <si>
    <t>25EE062</t>
  </si>
  <si>
    <t>YAZHINI</t>
  </si>
  <si>
    <t>25EC123</t>
  </si>
  <si>
    <t>NITHIS KUMAR J</t>
  </si>
  <si>
    <t>25EC092</t>
  </si>
  <si>
    <t>iniya.nj2025cys@sece.ac.in</t>
  </si>
  <si>
    <t>Candor</t>
  </si>
  <si>
    <t>25SY021</t>
  </si>
  <si>
    <t>Iniya N J</t>
  </si>
  <si>
    <t>25SY041</t>
  </si>
  <si>
    <t>Neethu T Biju</t>
  </si>
  <si>
    <t>25SY030</t>
  </si>
  <si>
    <t>Kavya shree J</t>
  </si>
  <si>
    <t>25SY024</t>
  </si>
  <si>
    <t xml:space="preserve">Jerush Dannerson </t>
  </si>
  <si>
    <t>25SY058</t>
  </si>
  <si>
    <t>Tharani S K</t>
  </si>
  <si>
    <t>25CS042</t>
  </si>
  <si>
    <t>Dharunesswaran R</t>
  </si>
  <si>
    <t>aparna.p2025aids@sece.ac.in</t>
  </si>
  <si>
    <t xml:space="preserve">Alpha squard </t>
  </si>
  <si>
    <t>25AD011</t>
  </si>
  <si>
    <t>Aparna.p</t>
  </si>
  <si>
    <t xml:space="preserve">25AD057 </t>
  </si>
  <si>
    <t>Gomathi v</t>
  </si>
  <si>
    <t>25AD015</t>
  </si>
  <si>
    <t>Arunkumar h</t>
  </si>
  <si>
    <t xml:space="preserve"> 25AD004</t>
  </si>
  <si>
    <t xml:space="preserve">Abishek </t>
  </si>
  <si>
    <t>25AD200</t>
  </si>
  <si>
    <t xml:space="preserve">Shuruthi yazhini </t>
  </si>
  <si>
    <t>25EE061</t>
  </si>
  <si>
    <t>Vishnu s</t>
  </si>
  <si>
    <t>jagadeesh.r2024it@sece.ac.in</t>
  </si>
  <si>
    <t>24IT017</t>
  </si>
  <si>
    <t>24IT016</t>
  </si>
  <si>
    <t>INDRA PRIYADHARSHINI V</t>
  </si>
  <si>
    <t>24IT023</t>
  </si>
  <si>
    <t>KISHORE M</t>
  </si>
  <si>
    <t xml:space="preserve">24EC060 </t>
  </si>
  <si>
    <t>JEEVA SANJAY S V</t>
  </si>
  <si>
    <t>23IT056</t>
  </si>
  <si>
    <t>THAMILARASAN G P</t>
  </si>
  <si>
    <t>25IT020</t>
  </si>
  <si>
    <t>HARSHINI V</t>
  </si>
  <si>
    <t>dakshitha.s2025cse@sece.ac.in</t>
  </si>
  <si>
    <t xml:space="preserve">25CS026 </t>
  </si>
  <si>
    <t>25AM108</t>
  </si>
  <si>
    <t>THARIKA NAYAKI S</t>
  </si>
  <si>
    <t>25EC054</t>
  </si>
  <si>
    <t>HARINIVAS B</t>
  </si>
  <si>
    <t>25EC046</t>
  </si>
  <si>
    <t>GANGAI GOWSIC P</t>
  </si>
  <si>
    <t>25CS188</t>
  </si>
  <si>
    <t>ROOPASRI S</t>
  </si>
  <si>
    <t>25AD126</t>
  </si>
  <si>
    <t>Naveen Kumar G</t>
  </si>
  <si>
    <t>dhanya.tk2025csbs@sece.ac.in</t>
  </si>
  <si>
    <t>25CB007</t>
  </si>
  <si>
    <t>25CB027</t>
  </si>
  <si>
    <t>MANOVA G</t>
  </si>
  <si>
    <t>25CB033</t>
  </si>
  <si>
    <t>NAVANITHI N</t>
  </si>
  <si>
    <t>25CC016</t>
  </si>
  <si>
    <t>JANANI P</t>
  </si>
  <si>
    <t>25CC041</t>
  </si>
  <si>
    <t>RANJANI A</t>
  </si>
  <si>
    <t>IC26BEL0056</t>
  </si>
  <si>
    <t>SHIVA D</t>
  </si>
  <si>
    <t>ashwika.p2025aids@sece.ac.in</t>
  </si>
  <si>
    <t xml:space="preserve">TEAM TESSERACT </t>
  </si>
  <si>
    <t>25AM102</t>
  </si>
  <si>
    <t xml:space="preserve">SRIHARI T </t>
  </si>
  <si>
    <t>+91 90477 66887</t>
  </si>
  <si>
    <t>srihari.t2025aiml@sece.ac.in</t>
  </si>
  <si>
    <t xml:space="preserve">25AD017 </t>
  </si>
  <si>
    <t xml:space="preserve">ASHWIKA P </t>
  </si>
  <si>
    <t>25AM121</t>
  </si>
  <si>
    <t>VISNU MITRAN G</t>
  </si>
  <si>
    <t>25AM045</t>
  </si>
  <si>
    <t xml:space="preserve">JASUWANTHY P </t>
  </si>
  <si>
    <t>25CB047</t>
  </si>
  <si>
    <t>SHAHANA S</t>
  </si>
  <si>
    <t>25AM076</t>
  </si>
  <si>
    <t>RANJAN S</t>
  </si>
  <si>
    <t>poorana.r2025it@sece.ac.in</t>
  </si>
  <si>
    <t>25IT063</t>
  </si>
  <si>
    <t>yogapriya.s2025it@sece.ac.in</t>
  </si>
  <si>
    <t>25IT040</t>
  </si>
  <si>
    <t>POORANA R</t>
  </si>
  <si>
    <t>25IT033</t>
  </si>
  <si>
    <t>NARMADHA S</t>
  </si>
  <si>
    <t>25IT051</t>
  </si>
  <si>
    <t>SHUBHASHREE P</t>
  </si>
  <si>
    <t>25AM116</t>
  </si>
  <si>
    <t>VEYELUNTHAL ESAKKIAMMAL R</t>
  </si>
  <si>
    <t>25CC059</t>
  </si>
  <si>
    <t>SWATHIKA R</t>
  </si>
  <si>
    <t>dhaniska.ps2025cse@sece.ac.in</t>
  </si>
  <si>
    <t>NeuralNexas</t>
  </si>
  <si>
    <t>25CS062</t>
  </si>
  <si>
    <t>HARI PRASATH S</t>
  </si>
  <si>
    <t>hariprasath.s2025cse@sece.ac.in</t>
  </si>
  <si>
    <t>25CS035</t>
  </si>
  <si>
    <t>DHANISKA P S</t>
  </si>
  <si>
    <t>25CS018</t>
  </si>
  <si>
    <t>ASVIKA A</t>
  </si>
  <si>
    <t>25CS033</t>
  </si>
  <si>
    <t>DEV DHARSHAN. S</t>
  </si>
  <si>
    <t>25CS137</t>
  </si>
  <si>
    <t>MUKESH KRISHNA  R</t>
  </si>
  <si>
    <t>25CS173</t>
  </si>
  <si>
    <t>PRASITHA VR</t>
  </si>
  <si>
    <t>gavinayaa.s2025cys@sece.ac.in</t>
  </si>
  <si>
    <t>CIPHER NEXUS</t>
  </si>
  <si>
    <t xml:space="preserve">25SY017 </t>
  </si>
  <si>
    <t xml:space="preserve">GAVINAYAA S </t>
  </si>
  <si>
    <t xml:space="preserve">25SY018 </t>
  </si>
  <si>
    <t xml:space="preserve">GLAXON MELWIN.A </t>
  </si>
  <si>
    <t>25CS195</t>
  </si>
  <si>
    <t>SANDHIYA R</t>
  </si>
  <si>
    <t>25CS197</t>
  </si>
  <si>
    <t>25CS198</t>
  </si>
  <si>
    <t>SANJINI S</t>
  </si>
  <si>
    <t>RITHIKA M</t>
  </si>
  <si>
    <t>srinivasan.g2025cse@sece.ac.in</t>
  </si>
  <si>
    <t>JARVIS</t>
  </si>
  <si>
    <t>25CS222</t>
  </si>
  <si>
    <t>SUBASH A</t>
  </si>
  <si>
    <t>80728 54180</t>
  </si>
  <si>
    <t>subash.a2025cse@sece.ac.in</t>
  </si>
  <si>
    <t xml:space="preserve">25CS218 </t>
  </si>
  <si>
    <t>SRINIVASAN G</t>
  </si>
  <si>
    <t>25CS225</t>
  </si>
  <si>
    <t>SUDHARSHAN J</t>
  </si>
  <si>
    <t>25SY056</t>
  </si>
  <si>
    <t>TEJAASHREE T S</t>
  </si>
  <si>
    <t>25SY049</t>
  </si>
  <si>
    <t>SIVANI S</t>
  </si>
  <si>
    <t xml:space="preserve">IC26BE L0036 </t>
  </si>
  <si>
    <t>KISHORE D</t>
  </si>
  <si>
    <t>poonthalir.k2025cce@sece.ac.in</t>
  </si>
  <si>
    <t>25CC037</t>
  </si>
  <si>
    <t>25AM018</t>
  </si>
  <si>
    <t>Dhanushree M</t>
  </si>
  <si>
    <t>25EE035</t>
  </si>
  <si>
    <t>Nishaa S</t>
  </si>
  <si>
    <t>25EE019</t>
  </si>
  <si>
    <t>Karniha Shree M</t>
  </si>
  <si>
    <t>25CC049</t>
  </si>
  <si>
    <t>Selva Priya S</t>
  </si>
  <si>
    <t>25CC032</t>
  </si>
  <si>
    <t>Mothishya V</t>
  </si>
  <si>
    <t>dhipika.k2025cse@sece.ac.in</t>
  </si>
  <si>
    <t>HexaVerse</t>
  </si>
  <si>
    <t>25CS044</t>
  </si>
  <si>
    <t>DHIPIKA K</t>
  </si>
  <si>
    <t>25CS039</t>
  </si>
  <si>
    <t>DHARSANA SAKTHI S</t>
  </si>
  <si>
    <t>25CS019</t>
  </si>
  <si>
    <t>BALARAMAN A V</t>
  </si>
  <si>
    <t>25CS043</t>
  </si>
  <si>
    <t>DHARUNRAJA M A M</t>
  </si>
  <si>
    <t>25EE027</t>
  </si>
  <si>
    <t>MAHA S</t>
  </si>
  <si>
    <t>25EE054</t>
  </si>
  <si>
    <t>SUPRIYA R</t>
  </si>
  <si>
    <t>iniya.s2025cse@sece.ac.in</t>
  </si>
  <si>
    <t>25CS118</t>
  </si>
  <si>
    <t>madhumithran.s2025cse@sece.ac.in</t>
  </si>
  <si>
    <t>25CS076</t>
  </si>
  <si>
    <t>INIYA S</t>
  </si>
  <si>
    <t>25CS114</t>
  </si>
  <si>
    <t>LEKHA SREE</t>
  </si>
  <si>
    <t>25EC148</t>
  </si>
  <si>
    <t>SELVA BHARATHI B</t>
  </si>
  <si>
    <t>25AD195</t>
  </si>
  <si>
    <t>SHANKARITHA R</t>
  </si>
  <si>
    <t>25CB032</t>
  </si>
  <si>
    <t>Nandhana Dharani D</t>
  </si>
  <si>
    <t>pavanpriyan.m2025ece@sece.ac.in</t>
  </si>
  <si>
    <t>HONOTECHS</t>
  </si>
  <si>
    <t xml:space="preserve">25EC125 </t>
  </si>
  <si>
    <t xml:space="preserve">PAVAN PRIYAN M </t>
  </si>
  <si>
    <t xml:space="preserve">94876 64458 </t>
  </si>
  <si>
    <t xml:space="preserve">pavanpriyan.m2025ece@sece.ac.in </t>
  </si>
  <si>
    <t>25EC112</t>
  </si>
  <si>
    <t xml:space="preserve">NAKSHATRA R </t>
  </si>
  <si>
    <t>25ME010</t>
  </si>
  <si>
    <t>Harin R</t>
  </si>
  <si>
    <t>25CS212</t>
  </si>
  <si>
    <t>SHRI HARITHA S</t>
  </si>
  <si>
    <t>25AM078</t>
  </si>
  <si>
    <t>RESHMAA C</t>
  </si>
  <si>
    <t>MONIGA K</t>
  </si>
  <si>
    <t>lekaadithyan.g2025cce@sece.ac.in</t>
  </si>
  <si>
    <t>TECH INNOVATERS</t>
  </si>
  <si>
    <t>25CS159</t>
  </si>
  <si>
    <t>NITYA LAKSHMI.V</t>
  </si>
  <si>
    <t>94866 53706</t>
  </si>
  <si>
    <t>nityalakshmi.v2025cse@sece.ac.in</t>
  </si>
  <si>
    <t>25CS154</t>
  </si>
  <si>
    <t>NISHANTHI.S</t>
  </si>
  <si>
    <t>25CC027</t>
  </si>
  <si>
    <t>LEKA ADITHYAN.G</t>
  </si>
  <si>
    <t>25CC034</t>
  </si>
  <si>
    <t>NAVEENKUMAR.G</t>
  </si>
  <si>
    <t>25CC019</t>
  </si>
  <si>
    <t>KAMALESH.R</t>
  </si>
  <si>
    <t>25CC043</t>
  </si>
  <si>
    <t>RUPAADHARAN.S.R</t>
  </si>
  <si>
    <t>kamali.s2025cse@sece.ac.in</t>
  </si>
  <si>
    <t>VisionX 1</t>
  </si>
  <si>
    <t>25CS127</t>
  </si>
  <si>
    <t>MINMINI MITHANA</t>
  </si>
  <si>
    <t>+91 74492 45113</t>
  </si>
  <si>
    <t>minminimithana.m2025cse@sece.ac.in</t>
  </si>
  <si>
    <t>25CS087</t>
  </si>
  <si>
    <t>JOSHIKASRI S</t>
  </si>
  <si>
    <t>25CS068</t>
  </si>
  <si>
    <t>HARINIE S</t>
  </si>
  <si>
    <t>25CS092</t>
  </si>
  <si>
    <t>KAMALI S</t>
  </si>
  <si>
    <t>25CS099</t>
  </si>
  <si>
    <t>KARUNYA K M</t>
  </si>
  <si>
    <t>25CS128</t>
  </si>
  <si>
    <t>MITHUNA B</t>
  </si>
  <si>
    <t>veerarajeswari.k2025cse@sece.ac.in</t>
  </si>
  <si>
    <t>25CS243</t>
  </si>
  <si>
    <t>25CS210</t>
  </si>
  <si>
    <t>Shivadharshini S</t>
  </si>
  <si>
    <t>25CS241</t>
  </si>
  <si>
    <t>Varun K</t>
  </si>
  <si>
    <t>25EC102</t>
  </si>
  <si>
    <t>Mohanapriya P</t>
  </si>
  <si>
    <t>25AD186</t>
  </si>
  <si>
    <t>Sarvesh P M</t>
  </si>
  <si>
    <t>25CS249</t>
  </si>
  <si>
    <t>Viswa S</t>
  </si>
  <si>
    <t>archana.b2025aids@sece.ac.in</t>
  </si>
  <si>
    <t xml:space="preserve">TECH VERSE </t>
  </si>
  <si>
    <t>25AD012</t>
  </si>
  <si>
    <t>ARCHANA B</t>
  </si>
  <si>
    <t>25AD045</t>
  </si>
  <si>
    <t>DIVYA DHARSHINI B</t>
  </si>
  <si>
    <t>25AD054</t>
  </si>
  <si>
    <t>GNANA SHREE K</t>
  </si>
  <si>
    <t>25AD053</t>
  </si>
  <si>
    <t>GIRITHAR J M</t>
  </si>
  <si>
    <t>25CC001</t>
  </si>
  <si>
    <t>ADITHYA R</t>
  </si>
  <si>
    <t>25ME028</t>
  </si>
  <si>
    <t>TARUN VIGNESH R</t>
  </si>
  <si>
    <t>neyaa.u2025aids@sece.ac.in</t>
  </si>
  <si>
    <t>25AD130</t>
  </si>
  <si>
    <t>25AD132</t>
  </si>
  <si>
    <t>NIKITHA V</t>
  </si>
  <si>
    <t>25AD140</t>
  </si>
  <si>
    <t>PAVITHRA R</t>
  </si>
  <si>
    <t>25CB049</t>
  </si>
  <si>
    <t>SHERA SANJAY N</t>
  </si>
  <si>
    <t>25AM040</t>
  </si>
  <si>
    <t>HARIRAM K S</t>
  </si>
  <si>
    <t>25AD171</t>
  </si>
  <si>
    <t xml:space="preserve">Reshma </t>
  </si>
  <si>
    <t>syedsazwan.b2025aids@sece.ac.in</t>
  </si>
  <si>
    <t>Genz Creovate</t>
  </si>
  <si>
    <t>25SY015</t>
  </si>
  <si>
    <t>DHARSHINI S</t>
  </si>
  <si>
    <t>95979 02506</t>
  </si>
  <si>
    <t>dharshini.s2025cys@sece.ac.in</t>
  </si>
  <si>
    <t>25AD217</t>
  </si>
  <si>
    <t>SYED SAZWAN B</t>
  </si>
  <si>
    <t>25AD211</t>
  </si>
  <si>
    <t>SUKANTH S</t>
  </si>
  <si>
    <t>25SY028</t>
  </si>
  <si>
    <t xml:space="preserve">KANIMOZHI K </t>
  </si>
  <si>
    <t>25SY045</t>
  </si>
  <si>
    <t>RITHIKA MR</t>
  </si>
  <si>
    <t>25AD201</t>
  </si>
  <si>
    <t>Shwetha S</t>
  </si>
  <si>
    <t>adhishesaganadithan.s2025ece@sece.ac.in</t>
  </si>
  <si>
    <t xml:space="preserve">25EC007 </t>
  </si>
  <si>
    <t>25EC006</t>
  </si>
  <si>
    <t xml:space="preserve">ADHAVAN.A </t>
  </si>
  <si>
    <t>25AD028</t>
  </si>
  <si>
    <t>DARSHAN.P.M</t>
  </si>
  <si>
    <t>25CC040</t>
  </si>
  <si>
    <t>PRIYANKA.M</t>
  </si>
  <si>
    <t>25EE032</t>
  </si>
  <si>
    <t>NAVEEN KUMAR.N.S</t>
  </si>
  <si>
    <t>25ME020</t>
  </si>
  <si>
    <t>PADMA SINDHIYA.S</t>
  </si>
  <si>
    <t>aravindha.r2025ece@sece.ac.in</t>
  </si>
  <si>
    <t>25EC016</t>
  </si>
  <si>
    <t>25AM054</t>
  </si>
  <si>
    <t>KEERTHANA S</t>
  </si>
  <si>
    <t>ATHIRA V</t>
  </si>
  <si>
    <t>25AD089</t>
  </si>
  <si>
    <t>KANISH S</t>
  </si>
  <si>
    <t>25AM120</t>
  </si>
  <si>
    <t>VISHNU SAGAR V</t>
  </si>
  <si>
    <t>25IT056</t>
  </si>
  <si>
    <t>SRINITHI C</t>
  </si>
  <si>
    <t>shanjhena.v2025ece@sece.ac.in</t>
  </si>
  <si>
    <t>25EC151</t>
  </si>
  <si>
    <t>25EC176</t>
  </si>
  <si>
    <t>TANISSKA.S</t>
  </si>
  <si>
    <t>25EC149</t>
  </si>
  <si>
    <t>SENPAKAPRIYA</t>
  </si>
  <si>
    <t>25EE048</t>
  </si>
  <si>
    <t>SHARAN RAJ G</t>
  </si>
  <si>
    <t>25IT016</t>
  </si>
  <si>
    <t>25IT019</t>
  </si>
  <si>
    <t>HARIKARAN K</t>
  </si>
  <si>
    <t>pakiyalakshmi.m2025eee@sece.ac.in</t>
  </si>
  <si>
    <t>25EE038</t>
  </si>
  <si>
    <t>25EE031</t>
  </si>
  <si>
    <t>NAGAPRASHANNA N</t>
  </si>
  <si>
    <t>25EE013</t>
  </si>
  <si>
    <t>GODWIN S</t>
  </si>
  <si>
    <t>25CS020</t>
  </si>
  <si>
    <t>BARATH M</t>
  </si>
  <si>
    <t>25CS006</t>
  </si>
  <si>
    <t>AKSHAI T</t>
  </si>
  <si>
    <t>25EE006</t>
  </si>
  <si>
    <t xml:space="preserve">DHEENADHAYALAN </t>
  </si>
  <si>
    <t>rajesh.r2025aiml@sece.ac.in</t>
  </si>
  <si>
    <t>25AM075</t>
  </si>
  <si>
    <t>26AM090</t>
  </si>
  <si>
    <t>SARAN R</t>
  </si>
  <si>
    <t>25AM071</t>
  </si>
  <si>
    <t>NISHANTH P K</t>
  </si>
  <si>
    <t>25SY022</t>
  </si>
  <si>
    <t>JAYAVARSHIVI R J</t>
  </si>
  <si>
    <t>25SY033</t>
  </si>
  <si>
    <t>KREESHMA S</t>
  </si>
  <si>
    <t>25SY031</t>
  </si>
  <si>
    <t>KOTHAI U K</t>
  </si>
  <si>
    <t>harshavarthini.t2025aids@sece.ac.in</t>
  </si>
  <si>
    <t>PROTONOVA</t>
  </si>
  <si>
    <t>25AD077</t>
  </si>
  <si>
    <t xml:space="preserve">JANANI A S </t>
  </si>
  <si>
    <t>+91 63857 39682</t>
  </si>
  <si>
    <t>janani.as2025aids@sece.ac.in</t>
  </si>
  <si>
    <t>25AD068</t>
  </si>
  <si>
    <t xml:space="preserve">HARSHAVARTHINI T </t>
  </si>
  <si>
    <t>25AD065</t>
  </si>
  <si>
    <t>HARISH K</t>
  </si>
  <si>
    <t>25AD094</t>
  </si>
  <si>
    <t>KASIRAJAN P</t>
  </si>
  <si>
    <t>25CS084</t>
  </si>
  <si>
    <t>JAYASHREE M</t>
  </si>
  <si>
    <t xml:space="preserve"> 25AM027</t>
  </si>
  <si>
    <t>GAYATHRI N</t>
  </si>
  <si>
    <t>muthuselvan.s2025csbs@sece.ac.in</t>
  </si>
  <si>
    <t xml:space="preserve">CODE SURVIVORS </t>
  </si>
  <si>
    <t>25CB031</t>
  </si>
  <si>
    <t xml:space="preserve">MUTHUSELVAN S </t>
  </si>
  <si>
    <t>25CB013</t>
  </si>
  <si>
    <t>GODWIN NOVA PAUL D</t>
  </si>
  <si>
    <t>25CB016</t>
  </si>
  <si>
    <t>GOUTHAM K</t>
  </si>
  <si>
    <t>25CB029</t>
  </si>
  <si>
    <t>MOHAMMED SUHAIL J</t>
  </si>
  <si>
    <t xml:space="preserve">25EC036 </t>
  </si>
  <si>
    <t xml:space="preserve">DHANIA SHREE P  </t>
  </si>
  <si>
    <t>L6</t>
  </si>
  <si>
    <t xml:space="preserve">INDUMATHI V </t>
  </si>
  <si>
    <t>maheswarapandiyan.a2024csbs@sece.ac.in</t>
  </si>
  <si>
    <t>24CB024</t>
  </si>
  <si>
    <t>24CB010</t>
  </si>
  <si>
    <t>DHARANI VASAN V</t>
  </si>
  <si>
    <t>24CB047</t>
  </si>
  <si>
    <t>SIVAGANESH B</t>
  </si>
  <si>
    <t>24CB034</t>
  </si>
  <si>
    <t>PRENNITHE S G</t>
  </si>
  <si>
    <t>24EC101</t>
  </si>
  <si>
    <t>NAREN KISHORE R</t>
  </si>
  <si>
    <t>24EC099</t>
  </si>
  <si>
    <t>NADHIYA K</t>
  </si>
  <si>
    <t>maheshwari.p2025cse@sece.ac.in</t>
  </si>
  <si>
    <t>NOVAX</t>
  </si>
  <si>
    <t>25EC090</t>
  </si>
  <si>
    <t>MAHALAKSHMI A</t>
  </si>
  <si>
    <t>mahalakshmi.a2025ec@sece.ac.in</t>
  </si>
  <si>
    <t>25CS121</t>
  </si>
  <si>
    <t>MAHESHWARI P</t>
  </si>
  <si>
    <t>25CS091</t>
  </si>
  <si>
    <t>KALAISELVI V</t>
  </si>
  <si>
    <t>25CC047</t>
  </si>
  <si>
    <t>SASIKALA S</t>
  </si>
  <si>
    <t>25EC066</t>
  </si>
  <si>
    <t>KANIMOZHI T</t>
  </si>
  <si>
    <t>25EC064</t>
  </si>
  <si>
    <t>JOVIGHA K C</t>
  </si>
  <si>
    <t>nivedha.n2025cse@sece.ac.in</t>
  </si>
  <si>
    <t>VISION MAKERS</t>
  </si>
  <si>
    <t>25EC034</t>
  </si>
  <si>
    <t>DEVADHARSHAN RP</t>
  </si>
  <si>
    <t>+91 82207 21753</t>
  </si>
  <si>
    <t>devdharshan.rp2025ece@sece.ac.in</t>
  </si>
  <si>
    <t>25EC002</t>
  </si>
  <si>
    <t>ABDULKALAM S</t>
  </si>
  <si>
    <t>25EC024</t>
  </si>
  <si>
    <t>BARATHSURIYA S</t>
  </si>
  <si>
    <t>25EC013</t>
  </si>
  <si>
    <t>AKSHYAKUMAR M</t>
  </si>
  <si>
    <t>25CS162</t>
  </si>
  <si>
    <t>NIVEDHA N</t>
  </si>
  <si>
    <t>25CS142</t>
  </si>
  <si>
    <t>NANDANA R</t>
  </si>
  <si>
    <t>hariprasath.k2025ece@sece.ac.in</t>
  </si>
  <si>
    <t>CEREBRUM MAX</t>
  </si>
  <si>
    <t>25EC051</t>
  </si>
  <si>
    <t>Hari Prasath K</t>
  </si>
  <si>
    <t>25EC022</t>
  </si>
  <si>
    <t>Aswin Kumar K</t>
  </si>
  <si>
    <t>25EC062</t>
  </si>
  <si>
    <t>Jai Agash R</t>
  </si>
  <si>
    <t>25EC029</t>
  </si>
  <si>
    <t>Chandru D</t>
  </si>
  <si>
    <t>25EE040</t>
  </si>
  <si>
    <t>Priyadharshini R</t>
  </si>
  <si>
    <t>25CS138</t>
  </si>
  <si>
    <t>Mukunda Priya M V</t>
  </si>
  <si>
    <t>jeethesh.m2025aids@sece.ac.in</t>
  </si>
  <si>
    <t>25AD080</t>
  </si>
  <si>
    <t>25AD113</t>
  </si>
  <si>
    <t>MADHANRAJ S P</t>
  </si>
  <si>
    <t>25AD095</t>
  </si>
  <si>
    <t>KASTHURI DEVI S</t>
  </si>
  <si>
    <t>25AM072</t>
  </si>
  <si>
    <t>RAGUL R</t>
  </si>
  <si>
    <t>25SY044</t>
  </si>
  <si>
    <t xml:space="preserve">RITHANI R </t>
  </si>
  <si>
    <t>25SY057</t>
  </si>
  <si>
    <t>THANHA R</t>
  </si>
  <si>
    <t>lithish.r2025ece@sece.ac.in</t>
  </si>
  <si>
    <t>25AM029</t>
  </si>
  <si>
    <t>gokul.pn2025aiml@sece.ac.in</t>
  </si>
  <si>
    <t>Tharanidharan.M</t>
  </si>
  <si>
    <t>25AM032</t>
  </si>
  <si>
    <t>Gokulpriyan.k</t>
  </si>
  <si>
    <t>25EC087</t>
  </si>
  <si>
    <t>Lithish.R</t>
  </si>
  <si>
    <t>Farhana.H</t>
  </si>
  <si>
    <t>Kathija Banu K</t>
  </si>
  <si>
    <t>mohamedzharif.am2025aiml@sece.ac.in</t>
  </si>
  <si>
    <t>AURORA</t>
  </si>
  <si>
    <t>25AM098</t>
  </si>
  <si>
    <t>SHWETHA S</t>
  </si>
  <si>
    <t>shwetha.s2025aiml@sece.ac.in</t>
  </si>
  <si>
    <t>25AM089</t>
  </si>
  <si>
    <t>SANTHARAM S</t>
  </si>
  <si>
    <t>25AM066</t>
  </si>
  <si>
    <t xml:space="preserve">MOHAMED ZHARIF A M </t>
  </si>
  <si>
    <t xml:space="preserve">25CC017 </t>
  </si>
  <si>
    <t>JASNA M</t>
  </si>
  <si>
    <t>25CC036</t>
  </si>
  <si>
    <t>OVIYA C</t>
  </si>
  <si>
    <t>25CC028</t>
  </si>
  <si>
    <t>MADESH M</t>
  </si>
  <si>
    <t>krishnakand.s2024ece@sece.ac.in</t>
  </si>
  <si>
    <t>24EC076</t>
  </si>
  <si>
    <t>24EC137</t>
  </si>
  <si>
    <t>SANDHIYA A</t>
  </si>
  <si>
    <t>24EC062</t>
  </si>
  <si>
    <t>JEYASRI J</t>
  </si>
  <si>
    <t>24AD210</t>
  </si>
  <si>
    <t>SIVASATHYA S</t>
  </si>
  <si>
    <t>24AD073</t>
  </si>
  <si>
    <t>JAI AVINASH M J</t>
  </si>
  <si>
    <t>24EE021</t>
  </si>
  <si>
    <t>MADHUMITHA M</t>
  </si>
  <si>
    <t>nishanthnatesh.k2024eee@sece.ac.in</t>
  </si>
  <si>
    <t>LAYER ZERO</t>
  </si>
  <si>
    <t>24EE033</t>
  </si>
  <si>
    <t>NISHANTHNATESH K</t>
  </si>
  <si>
    <t>24EE005</t>
  </si>
  <si>
    <t>AJAY T</t>
  </si>
  <si>
    <t>24AM029</t>
  </si>
  <si>
    <t>HARIHARAN A</t>
  </si>
  <si>
    <t>25EE056</t>
  </si>
  <si>
    <t>UTHRARAJ K M</t>
  </si>
  <si>
    <t>25CC030</t>
  </si>
  <si>
    <t>MANUSHRI S S</t>
  </si>
  <si>
    <t>25CC003</t>
  </si>
  <si>
    <t>ARTHIKA M S</t>
  </si>
  <si>
    <t>vivek.kk2024aiml@sece.ac.in</t>
  </si>
  <si>
    <t>ERROR-429</t>
  </si>
  <si>
    <t>24AM121</t>
  </si>
  <si>
    <t>Vivek K K</t>
  </si>
  <si>
    <t>24AM096</t>
  </si>
  <si>
    <t>Shudharshan P</t>
  </si>
  <si>
    <t>24AM113</t>
  </si>
  <si>
    <t>Venkatesh B</t>
  </si>
  <si>
    <t>24AM090</t>
  </si>
  <si>
    <t xml:space="preserve">Sarvesh D </t>
  </si>
  <si>
    <t>24IT007</t>
  </si>
  <si>
    <t>Anusha S</t>
  </si>
  <si>
    <t>24AD113</t>
  </si>
  <si>
    <t>Lohita B</t>
  </si>
  <si>
    <t>vidhuran.c2024ece@sece.ac.in</t>
  </si>
  <si>
    <t>24EC310</t>
  </si>
  <si>
    <t xml:space="preserve"> rohithsaravanan.s2024lece@sece.ac.in </t>
  </si>
  <si>
    <t>24EC184</t>
  </si>
  <si>
    <t>VIDHURAN C</t>
  </si>
  <si>
    <t>24EC127</t>
  </si>
  <si>
    <t>RAMYA R</t>
  </si>
  <si>
    <t>24AM303</t>
  </si>
  <si>
    <t>24EC059</t>
  </si>
  <si>
    <t>JAYASHRI S</t>
  </si>
  <si>
    <t>24AM301</t>
  </si>
  <si>
    <t>HARISUDHARSHAN N</t>
  </si>
  <si>
    <t>raagasudhan.mj2025cse@sece.ac.in</t>
  </si>
  <si>
    <t>25CS178</t>
  </si>
  <si>
    <t>25CS146</t>
  </si>
  <si>
    <t>Nethra DV</t>
  </si>
  <si>
    <t>25CS171</t>
  </si>
  <si>
    <t>Prajeeth Sairam S</t>
  </si>
  <si>
    <t>25EC042</t>
  </si>
  <si>
    <t>Dharshini M</t>
  </si>
  <si>
    <t>25CB028</t>
  </si>
  <si>
    <t>Mathesh Karthikeyan M</t>
  </si>
  <si>
    <t>25AM051</t>
  </si>
  <si>
    <t xml:space="preserve">Kavin </t>
  </si>
  <si>
    <t>CSE (Aiml)</t>
  </si>
  <si>
    <t>ajaypravin.ne2025cys@sece.ac.in</t>
  </si>
  <si>
    <t>25SY004</t>
  </si>
  <si>
    <t>25SY001</t>
  </si>
  <si>
    <t>ABHISHEK M</t>
  </si>
  <si>
    <t>25SY002</t>
  </si>
  <si>
    <t>ABINAYA S A</t>
  </si>
  <si>
    <t>25SY0012</t>
  </si>
  <si>
    <t>DHANABALAN R</t>
  </si>
  <si>
    <t>25SY020</t>
  </si>
  <si>
    <t>HARIJITH M</t>
  </si>
  <si>
    <t>25IT010</t>
  </si>
  <si>
    <t>CATHLEIN SHINY A S</t>
  </si>
  <si>
    <t>rajathinakaran.v2025aiml@sece.ac.in</t>
  </si>
  <si>
    <t>25AM119</t>
  </si>
  <si>
    <t>vishnu.d2025aiml@sece.ac.in</t>
  </si>
  <si>
    <t>25AM073</t>
  </si>
  <si>
    <t>RAJA THINAKARAN V</t>
  </si>
  <si>
    <t>25AM125</t>
  </si>
  <si>
    <t>YUVARAJ C</t>
  </si>
  <si>
    <t>25AM079</t>
  </si>
  <si>
    <t>RIYA R</t>
  </si>
  <si>
    <t>25EE057</t>
  </si>
  <si>
    <t>VAISHNAVI M</t>
  </si>
  <si>
    <t>25EE018</t>
  </si>
  <si>
    <t>KANISHKA R</t>
  </si>
  <si>
    <t>nishanth.r2025cse@sece.ac.in</t>
  </si>
  <si>
    <t xml:space="preserve">TEAM BLUE MATRIX </t>
  </si>
  <si>
    <t>25CS223</t>
  </si>
  <si>
    <t>PRANESH S</t>
  </si>
  <si>
    <t>subramanipranesh.2025cse@sece.ac.in</t>
  </si>
  <si>
    <t>25CS152</t>
  </si>
  <si>
    <t>NISHANTH R</t>
  </si>
  <si>
    <t>25CS151</t>
  </si>
  <si>
    <t>NISHA A</t>
  </si>
  <si>
    <t>25CS63</t>
  </si>
  <si>
    <t>PABITHASRI T</t>
  </si>
  <si>
    <t>IC26BTecL0050</t>
  </si>
  <si>
    <t>AISHVARYA C</t>
  </si>
  <si>
    <t>25CS169</t>
  </si>
  <si>
    <t>PRABAKARAN R</t>
  </si>
  <si>
    <t>kavinilavu.r2024cce@sece.ac.in</t>
  </si>
  <si>
    <t>LOCKED &amp; LOADED</t>
  </si>
  <si>
    <t>24CC025</t>
  </si>
  <si>
    <t>KAVINILAVU R</t>
  </si>
  <si>
    <t>24CC048</t>
  </si>
  <si>
    <t>SARATHI B</t>
  </si>
  <si>
    <t>24AM045</t>
  </si>
  <si>
    <t>KARTHIKBALAJI S V</t>
  </si>
  <si>
    <t>24AD219</t>
  </si>
  <si>
    <t>SRIVATHSA M</t>
  </si>
  <si>
    <t>24AD310</t>
  </si>
  <si>
    <t>SANJAY S M</t>
  </si>
  <si>
    <t>24AD228</t>
  </si>
  <si>
    <t>SURESH KUMAR M</t>
  </si>
  <si>
    <t>ashwathkrishnaa.pv2024cce@sece.ac.in</t>
  </si>
  <si>
    <t>Tech Dares</t>
  </si>
  <si>
    <t>24CC006</t>
  </si>
  <si>
    <t>Ashwathkrishnaa PV</t>
  </si>
  <si>
    <t>24CC026</t>
  </si>
  <si>
    <t>Kingstan J</t>
  </si>
  <si>
    <t>24CS257</t>
  </si>
  <si>
    <t>Ubendiran L</t>
  </si>
  <si>
    <t>24CB019</t>
  </si>
  <si>
    <t>Jaswin D L</t>
  </si>
  <si>
    <t>24CS251</t>
  </si>
  <si>
    <t>Thamilselvan P</t>
  </si>
  <si>
    <t>24CC053</t>
  </si>
  <si>
    <t>Srinithi S S</t>
  </si>
  <si>
    <t>karunya.s2025lcys@sece.ac.in</t>
  </si>
  <si>
    <t>25SY023</t>
  </si>
  <si>
    <t>Jeevadharani.m2025cys@sece.ac.in</t>
  </si>
  <si>
    <t>25SY060</t>
  </si>
  <si>
    <t>TISHA TAZMEEN A</t>
  </si>
  <si>
    <t>25SY064</t>
  </si>
  <si>
    <t>KARUNYA S</t>
  </si>
  <si>
    <t>25SY037</t>
  </si>
  <si>
    <t>MADHU MITHA M</t>
  </si>
  <si>
    <t>25CS149</t>
  </si>
  <si>
    <t>25EC126</t>
  </si>
  <si>
    <t>PAVIN P</t>
  </si>
  <si>
    <t>harshitha.v2024cce@sece.ac.in</t>
  </si>
  <si>
    <t>Why not us</t>
  </si>
  <si>
    <t>24CS151</t>
  </si>
  <si>
    <t>NAVEENKUMAR P</t>
  </si>
  <si>
    <t>naveenkumar.p2024cse@sece.ac.in</t>
  </si>
  <si>
    <t>24CS310</t>
  </si>
  <si>
    <t>MAHENDIRAPRASATH K</t>
  </si>
  <si>
    <t>24CS318</t>
  </si>
  <si>
    <t xml:space="preserve"> VIDHYA VIKASH S</t>
  </si>
  <si>
    <t>24CS313</t>
  </si>
  <si>
    <t>MOHAMED SHAMIR S</t>
  </si>
  <si>
    <t>24CC047</t>
  </si>
  <si>
    <t>SAMVARTHINI T</t>
  </si>
  <si>
    <t>24CC021</t>
  </si>
  <si>
    <t>HARSHITHA V</t>
  </si>
  <si>
    <t>shubhaharini.s2024aiml@sece.ac.in</t>
  </si>
  <si>
    <t>VISION WEAVERS</t>
  </si>
  <si>
    <t>24AM083</t>
  </si>
  <si>
    <t>SAKTHI LAKSHMI L V</t>
  </si>
  <si>
    <t>sakthilakshmi.lv2024aiml@sece.ac.in</t>
  </si>
  <si>
    <t>24AM085</t>
  </si>
  <si>
    <t xml:space="preserve">SANGHAMITHRA P </t>
  </si>
  <si>
    <t>24AM093</t>
  </si>
  <si>
    <t>SHANMUGAPRIYA S</t>
  </si>
  <si>
    <t>24AM095</t>
  </si>
  <si>
    <t>SHUBHAHARINI S</t>
  </si>
  <si>
    <t>24EE006</t>
  </si>
  <si>
    <t>AKSHAYA M</t>
  </si>
  <si>
    <t>24EC030</t>
  </si>
  <si>
    <t>DARSHNA K</t>
  </si>
  <si>
    <t>thanvika.b2024aiml@sece.ac.in</t>
  </si>
  <si>
    <t>THANVIKA B</t>
  </si>
  <si>
    <t>24AM109</t>
  </si>
  <si>
    <t>24AM091</t>
  </si>
  <si>
    <t>SHABHARIVAASUN K R</t>
  </si>
  <si>
    <t>24AM092</t>
  </si>
  <si>
    <t>SHAMITHA S</t>
  </si>
  <si>
    <t>24AM089</t>
  </si>
  <si>
    <t>SANTHU MOHAMMED M</t>
  </si>
  <si>
    <t>24CC062</t>
  </si>
  <si>
    <t>VISWESH BALAJI V S</t>
  </si>
  <si>
    <t>24EC125</t>
  </si>
  <si>
    <t>RAJASREE M</t>
  </si>
  <si>
    <t>venisha.s2024csecs@sece.ac.in</t>
  </si>
  <si>
    <t>Code Hackers</t>
  </si>
  <si>
    <t>24SY061</t>
  </si>
  <si>
    <t>VENISHA S</t>
  </si>
  <si>
    <t>24CS304</t>
  </si>
  <si>
    <t>BHARANIDHARAN A</t>
  </si>
  <si>
    <t>24SY010</t>
  </si>
  <si>
    <t>DHARANI M</t>
  </si>
  <si>
    <t>24SY041</t>
  </si>
  <si>
    <t>RAKSHEEDHA V K</t>
  </si>
  <si>
    <t>24SY043</t>
  </si>
  <si>
    <t>RUBIKA M</t>
  </si>
  <si>
    <t>25EC501</t>
  </si>
  <si>
    <t>SANJAY SURYA P S</t>
  </si>
  <si>
    <t>tharunvarshan.s2024aids@sece.ac.in</t>
  </si>
  <si>
    <t>Vector Minds</t>
  </si>
  <si>
    <t>24AD229</t>
  </si>
  <si>
    <t>Suriyaprakash RM</t>
  </si>
  <si>
    <t>suriyaprakash.rm2024aids@sece.ac.in</t>
  </si>
  <si>
    <t>24AD240</t>
  </si>
  <si>
    <t>THARUN VARSHAN S</t>
  </si>
  <si>
    <t>24CS303</t>
  </si>
  <si>
    <t>ARTHI V</t>
  </si>
  <si>
    <t>24AD247</t>
  </si>
  <si>
    <t>VIJAYSRIMARI S</t>
  </si>
  <si>
    <t>24AD202</t>
  </si>
  <si>
    <t>SHIVA SRIDHAR M</t>
  </si>
  <si>
    <t>24AD213</t>
  </si>
  <si>
    <t>SRI PON RAMA S</t>
  </si>
  <si>
    <t>darshan.s2024laids@sece.ac.in</t>
  </si>
  <si>
    <t>SYNTAX SQUAD 2</t>
  </si>
  <si>
    <t>24AD303</t>
  </si>
  <si>
    <t>DARSHAN S</t>
  </si>
  <si>
    <t>24AD092</t>
  </si>
  <si>
    <t>KARTHICK T</t>
  </si>
  <si>
    <t>24AD309</t>
  </si>
  <si>
    <t>RETHANESH S</t>
  </si>
  <si>
    <t>24AD313</t>
  </si>
  <si>
    <t>VISHAL K</t>
  </si>
  <si>
    <t>24CS319</t>
  </si>
  <si>
    <t>VISHAL KRISHNAN S</t>
  </si>
  <si>
    <t>25CS089</t>
  </si>
  <si>
    <t>JOVITA B</t>
  </si>
  <si>
    <t>pavithra.m2024cse@sece.ac.in</t>
  </si>
  <si>
    <t>24CS168</t>
  </si>
  <si>
    <t>24CS174</t>
  </si>
  <si>
    <t>PRABHU D</t>
  </si>
  <si>
    <t>24AM114</t>
  </si>
  <si>
    <t>Vinish Raghav K E</t>
  </si>
  <si>
    <t>24AM106</t>
  </si>
  <si>
    <t>SURYA R</t>
  </si>
  <si>
    <t>24AM112</t>
  </si>
  <si>
    <t>VARUN PRASANTH M</t>
  </si>
  <si>
    <t>24AD216</t>
  </si>
  <si>
    <t>SRIMATHI N</t>
  </si>
  <si>
    <t>raja.r2024aiml@sece.ac.in</t>
  </si>
  <si>
    <t>Quantum Hackers</t>
  </si>
  <si>
    <t>24AM074</t>
  </si>
  <si>
    <t>RAJA R</t>
  </si>
  <si>
    <t>24AM115</t>
  </si>
  <si>
    <t>VINITH KUMAR D</t>
  </si>
  <si>
    <t>24AM094</t>
  </si>
  <si>
    <t xml:space="preserve">SHRI ASHWANTH A </t>
  </si>
  <si>
    <t>24AM053</t>
  </si>
  <si>
    <t>LIDIYA SHAINY A</t>
  </si>
  <si>
    <t>24CC057</t>
  </si>
  <si>
    <t>SWATHI B K</t>
  </si>
  <si>
    <t>24AD306</t>
  </si>
  <si>
    <t>NASHHATH NOWFHIL JS</t>
  </si>
  <si>
    <t>kamaleshkumar.r2025aids@sece.ac.in</t>
  </si>
  <si>
    <t>NOVA LEGION</t>
  </si>
  <si>
    <t>25AD087</t>
  </si>
  <si>
    <t xml:space="preserve">KAMALESH KUMAR R </t>
  </si>
  <si>
    <t>25AD074</t>
  </si>
  <si>
    <t>ISHWA U</t>
  </si>
  <si>
    <t>25AD098</t>
  </si>
  <si>
    <t>KAVIYA P</t>
  </si>
  <si>
    <t>25AD121</t>
  </si>
  <si>
    <t>MOHAN A</t>
  </si>
  <si>
    <t>25CS224</t>
  </si>
  <si>
    <t>SUDESH S</t>
  </si>
  <si>
    <t>25IT303</t>
  </si>
  <si>
    <t>MEERA A</t>
  </si>
  <si>
    <t>aswin.ns2024aids@sece.ac.in</t>
  </si>
  <si>
    <t>Genesis</t>
  </si>
  <si>
    <t>24AD025</t>
  </si>
  <si>
    <t>ASWIN NS</t>
  </si>
  <si>
    <t>24AD001</t>
  </si>
  <si>
    <t>AADHIITHYA BALU S</t>
  </si>
  <si>
    <t>24AD017</t>
  </si>
  <si>
    <t>ALMAS M</t>
  </si>
  <si>
    <t>24AD056</t>
  </si>
  <si>
    <t>GIRIDHARAN P</t>
  </si>
  <si>
    <t>24AD023</t>
  </si>
  <si>
    <t>ASHWIN S</t>
  </si>
  <si>
    <t>24CS266</t>
  </si>
  <si>
    <t>VISALINI KJ</t>
  </si>
  <si>
    <t>srivijayadharshini.2024aids@sece.ac.in</t>
  </si>
  <si>
    <t>TECH ETHICS</t>
  </si>
  <si>
    <t>24AD215</t>
  </si>
  <si>
    <t>SRI VIJAYADHARSHINI A</t>
  </si>
  <si>
    <t>24AD236</t>
  </si>
  <si>
    <t>TARIKA P</t>
  </si>
  <si>
    <t>24AD217</t>
  </si>
  <si>
    <t>SRINITHI K</t>
  </si>
  <si>
    <t>24AD201</t>
  </si>
  <si>
    <t>SHARMISHTHAA R</t>
  </si>
  <si>
    <t>24EC145</t>
  </si>
  <si>
    <t>SARMITHAA A</t>
  </si>
  <si>
    <t>24EC179</t>
  </si>
  <si>
    <t>VARSHINI M</t>
  </si>
  <si>
    <t>ajaykumar.r2024ece@sece.ac.in</t>
  </si>
  <si>
    <t>TEAM TECH X</t>
  </si>
  <si>
    <t>24EC003</t>
  </si>
  <si>
    <t>AJAY KUMAR R</t>
  </si>
  <si>
    <t>24EC057</t>
  </si>
  <si>
    <t>JAI VISAK S</t>
  </si>
  <si>
    <t>24EC041</t>
  </si>
  <si>
    <t>GOKUL RAJA M</t>
  </si>
  <si>
    <t>24EC011</t>
  </si>
  <si>
    <t>ANUJA T</t>
  </si>
  <si>
    <t>24EC035</t>
  </si>
  <si>
    <t>DHARSHINI D</t>
  </si>
  <si>
    <t>24AD165</t>
  </si>
  <si>
    <t>PRIYADHARSHINI KS</t>
  </si>
  <si>
    <t>abhinav.k2024aids@sece.ac.in</t>
  </si>
  <si>
    <t>Team GodLike</t>
  </si>
  <si>
    <t>24AD003</t>
  </si>
  <si>
    <t>ABHINAV K</t>
  </si>
  <si>
    <t>24AD033</t>
  </si>
  <si>
    <t>BHUVANESH S</t>
  </si>
  <si>
    <t>24AD004</t>
  </si>
  <si>
    <t>ABHINAV PRAVEEN</t>
  </si>
  <si>
    <t>24AD036</t>
  </si>
  <si>
    <t>24AD053</t>
  </si>
  <si>
    <t>DWARKESH R M</t>
  </si>
  <si>
    <t>24CC043</t>
  </si>
  <si>
    <t>RITHANYA K</t>
  </si>
  <si>
    <t>gokulanathan.m2024aids@sece.ac.in</t>
  </si>
  <si>
    <t>HEXA VISION</t>
  </si>
  <si>
    <t xml:space="preserve">24AD059 </t>
  </si>
  <si>
    <t>GOKULANATHAN M</t>
  </si>
  <si>
    <t>24AD016</t>
  </si>
  <si>
    <t>ALLIMUTHU S</t>
  </si>
  <si>
    <t>24AD046</t>
  </si>
  <si>
    <t>DHARUN KUMAR K</t>
  </si>
  <si>
    <t>24AD009</t>
  </si>
  <si>
    <t>ADHIPAN P</t>
  </si>
  <si>
    <t>24AD242</t>
  </si>
  <si>
    <t>VARSHINI C R</t>
  </si>
  <si>
    <t>24AM099</t>
  </si>
  <si>
    <t>SOWMIGHA K A</t>
  </si>
  <si>
    <t>oviya.r2024aids@sece.ac.in</t>
  </si>
  <si>
    <t>SPARK SPECTRUM</t>
  </si>
  <si>
    <t>24AD150</t>
  </si>
  <si>
    <t>OVIYA R</t>
  </si>
  <si>
    <t xml:space="preserve">oviya.r2024aids@sece.ac.in </t>
  </si>
  <si>
    <t xml:space="preserve">24AD153 </t>
  </si>
  <si>
    <t>PRADEEPA C</t>
  </si>
  <si>
    <t>24AD183</t>
  </si>
  <si>
    <t>SAMEERA T</t>
  </si>
  <si>
    <t>24AD157</t>
  </si>
  <si>
    <t>PRANAVI S</t>
  </si>
  <si>
    <t>24EE020</t>
  </si>
  <si>
    <t>KISHORE C</t>
  </si>
  <si>
    <t>24EE060</t>
  </si>
  <si>
    <t>VARSHA D</t>
  </si>
  <si>
    <t>devaranjan.j2025aiml@sece.ac.in</t>
  </si>
  <si>
    <t>ASPRINT NINJAS</t>
  </si>
  <si>
    <t>25AM016</t>
  </si>
  <si>
    <t>DEVARANJAN J</t>
  </si>
  <si>
    <t>25AM003</t>
  </si>
  <si>
    <t>ABISHEK K S</t>
  </si>
  <si>
    <t>25AM013</t>
  </si>
  <si>
    <t>BIRUNDHA S</t>
  </si>
  <si>
    <t>25AM039</t>
  </si>
  <si>
    <t>25EC169</t>
  </si>
  <si>
    <t>SUJAN RAJA B</t>
  </si>
  <si>
    <t>25EC145</t>
  </si>
  <si>
    <t>SANTHOSH BALA P</t>
  </si>
  <si>
    <t>karthickraja.tm2024aiml@sece.ac.in</t>
  </si>
  <si>
    <t>Team Omnitrix</t>
  </si>
  <si>
    <t>24AM044</t>
  </si>
  <si>
    <t>KARTHICK RAJA T M</t>
  </si>
  <si>
    <t>24AM004</t>
  </si>
  <si>
    <t>AKASH B</t>
  </si>
  <si>
    <t>24AM046</t>
  </si>
  <si>
    <t xml:space="preserve">KAVINDRA E M </t>
  </si>
  <si>
    <t>24AM040</t>
  </si>
  <si>
    <t>JOVIA A J</t>
  </si>
  <si>
    <t>24AD013</t>
  </si>
  <si>
    <t>AJENDRA A S</t>
  </si>
  <si>
    <t>24AD037</t>
  </si>
  <si>
    <t>DEEPAN R</t>
  </si>
  <si>
    <t>dhevatharshini.v2025aiml@sece.ac.in</t>
  </si>
  <si>
    <t xml:space="preserve">INFINITE INSIGHTS </t>
  </si>
  <si>
    <t>25AM015</t>
  </si>
  <si>
    <t>CHANDRU S</t>
  </si>
  <si>
    <t>90035 05655</t>
  </si>
  <si>
    <t>chandru.s2025aiml@sece.ac.in</t>
  </si>
  <si>
    <t>25AM023</t>
  </si>
  <si>
    <t>DHEVATHARSHINI V</t>
  </si>
  <si>
    <t>25AM014</t>
  </si>
  <si>
    <t>BOOVIHA M</t>
  </si>
  <si>
    <t>25AM061</t>
  </si>
  <si>
    <t>MAHIMA S</t>
  </si>
  <si>
    <t>25EC146</t>
  </si>
  <si>
    <t>SARVESH</t>
  </si>
  <si>
    <t>25EC177</t>
  </si>
  <si>
    <t>UDHAYAKUMAR M</t>
  </si>
  <si>
    <t>viswashini.sr2025ece@sece.ac.in</t>
  </si>
  <si>
    <t>INOVEX</t>
  </si>
  <si>
    <t>25EC173</t>
  </si>
  <si>
    <t>SURIYA PRAKASH S</t>
  </si>
  <si>
    <t>suriyaprakash.s2025ece@sece.ac.in</t>
  </si>
  <si>
    <t>25EC186</t>
  </si>
  <si>
    <t xml:space="preserve">VISWASHINI SR </t>
  </si>
  <si>
    <t>25EC137</t>
  </si>
  <si>
    <t>RENU SHREE SJ</t>
  </si>
  <si>
    <t>25AM082</t>
  </si>
  <si>
    <t>SAJNA A</t>
  </si>
  <si>
    <t>25AD150</t>
  </si>
  <si>
    <t>PRAJIT R</t>
  </si>
  <si>
    <t>25ME015</t>
  </si>
  <si>
    <t>MANUSHANTON.A</t>
  </si>
  <si>
    <t>kirit.ps2024aiml@sece.ac.in</t>
  </si>
  <si>
    <t>EPIC INNOVATORS</t>
  </si>
  <si>
    <t>24AM048</t>
  </si>
  <si>
    <t>KIRIT P S</t>
  </si>
  <si>
    <t>24AM049</t>
  </si>
  <si>
    <t>KISHORE V R</t>
  </si>
  <si>
    <t>24AM023</t>
  </si>
  <si>
    <t>EETHAMUKKALA RAMDAS PAVAN</t>
  </si>
  <si>
    <t>24AM060</t>
  </si>
  <si>
    <t>MITHILAN K</t>
  </si>
  <si>
    <t>25AD131</t>
  </si>
  <si>
    <t>NIKILA R</t>
  </si>
  <si>
    <t>25AD173</t>
  </si>
  <si>
    <t>RUPASRI C</t>
  </si>
  <si>
    <t>srinivasan.r2024aiml@sece.ac.in</t>
  </si>
  <si>
    <t xml:space="preserve">CRUSADERS </t>
  </si>
  <si>
    <t>24AM105</t>
  </si>
  <si>
    <t xml:space="preserve">SURYA PRABHA P </t>
  </si>
  <si>
    <t>suryaprabha.p2024aiml@sece.ac.in</t>
  </si>
  <si>
    <t xml:space="preserve">24AM103 </t>
  </si>
  <si>
    <t>SRINIVASAN R</t>
  </si>
  <si>
    <t xml:space="preserve">24AM079 </t>
  </si>
  <si>
    <t>ROHITH K</t>
  </si>
  <si>
    <t>24AM098</t>
  </si>
  <si>
    <t xml:space="preserve">SINDHUJA SS </t>
  </si>
  <si>
    <t>25IT037</t>
  </si>
  <si>
    <t>NISHANTH L</t>
  </si>
  <si>
    <t>25IT008</t>
  </si>
  <si>
    <t>BAVAN NIVESH SS</t>
  </si>
  <si>
    <t>manjunath.sm2024aiml@sece.ac.in</t>
  </si>
  <si>
    <t xml:space="preserve">Team Zephyrus </t>
  </si>
  <si>
    <t>24AM057</t>
  </si>
  <si>
    <t>MANJUNATH S M</t>
  </si>
  <si>
    <t>24AM012</t>
  </si>
  <si>
    <t>DEEPA SAHANA G</t>
  </si>
  <si>
    <t>24AD178</t>
  </si>
  <si>
    <t>SAAIPRASATH S</t>
  </si>
  <si>
    <t>24AM062</t>
  </si>
  <si>
    <t>MONHITRAJU L</t>
  </si>
  <si>
    <t>24IT046</t>
  </si>
  <si>
    <t>SANTHOSH S</t>
  </si>
  <si>
    <t>24AM039</t>
  </si>
  <si>
    <t>JOTHINI V</t>
  </si>
  <si>
    <t>bhavatharini.k2024it@sece.ac.in</t>
  </si>
  <si>
    <t>23CS084</t>
  </si>
  <si>
    <t xml:space="preserve">manobalan.m2023cse@sece.ac.in  </t>
  </si>
  <si>
    <t>24IT004</t>
  </si>
  <si>
    <t>ABISREE T M</t>
  </si>
  <si>
    <t>24IT008</t>
  </si>
  <si>
    <t>BHAVATHARINI K</t>
  </si>
  <si>
    <t>24CS047</t>
  </si>
  <si>
    <t>DEVADHARSHINI S</t>
  </si>
  <si>
    <t>24EE007</t>
  </si>
  <si>
    <t>ANUSHYA JS</t>
  </si>
  <si>
    <t>24EE063</t>
  </si>
  <si>
    <t>VINISHA J</t>
  </si>
  <si>
    <t>abishek.ks2024laids@sece.ac.in</t>
  </si>
  <si>
    <t>TEAM ELITE FUSION</t>
  </si>
  <si>
    <t>24AD301</t>
  </si>
  <si>
    <t>24AD041</t>
  </si>
  <si>
    <t xml:space="preserve">DHARANEESH J </t>
  </si>
  <si>
    <t>24AD002</t>
  </si>
  <si>
    <t>ABDUL HAKKIM T</t>
  </si>
  <si>
    <t>24ME303</t>
  </si>
  <si>
    <t>NITHESH M</t>
  </si>
  <si>
    <t>24CS067</t>
  </si>
  <si>
    <t>GOPIKA S</t>
  </si>
  <si>
    <t>24IT053</t>
  </si>
  <si>
    <t>SHRINIDHI K M</t>
  </si>
  <si>
    <t>nilavarasan.g2025aiml@sece.ac.in</t>
  </si>
  <si>
    <t>TEAM DAKAITS</t>
  </si>
  <si>
    <t>25AM118</t>
  </si>
  <si>
    <t>VINAY VIGHNESH S</t>
  </si>
  <si>
    <t>vinagvignesh.s2025aiml@sece.ac.in</t>
  </si>
  <si>
    <t>25AM069</t>
  </si>
  <si>
    <t>NILAVARASAN G</t>
  </si>
  <si>
    <t>25AM124</t>
  </si>
  <si>
    <t xml:space="preserve">YUGESH KUMAR S A </t>
  </si>
  <si>
    <t>25AM068</t>
  </si>
  <si>
    <t>NICKSAN RAJ N U</t>
  </si>
  <si>
    <t>25CB022</t>
  </si>
  <si>
    <t xml:space="preserve"> Kanika S</t>
  </si>
  <si>
    <t>25CC035</t>
  </si>
  <si>
    <t>Nikita sri M</t>
  </si>
  <si>
    <t>deepika.d2024aiml@sece.ac.in</t>
  </si>
  <si>
    <t>Neural Havens</t>
  </si>
  <si>
    <t>24AM054</t>
  </si>
  <si>
    <t xml:space="preserve">Lina G </t>
  </si>
  <si>
    <t>lina.g2024aiml@sece.ac.in</t>
  </si>
  <si>
    <t>24AM042</t>
  </si>
  <si>
    <t>Kanimozhi R</t>
  </si>
  <si>
    <t>24AM015</t>
  </si>
  <si>
    <t>Deepika D</t>
  </si>
  <si>
    <t>24AM037</t>
  </si>
  <si>
    <t>Janavi Mirundha S A</t>
  </si>
  <si>
    <t>24EC056</t>
  </si>
  <si>
    <t>Hemavarshini G S</t>
  </si>
  <si>
    <t>24EC054</t>
  </si>
  <si>
    <t>Hariprasath P</t>
  </si>
  <si>
    <t>yaswanth.ps2025cys@sece.ac.in</t>
  </si>
  <si>
    <t>25SY040</t>
  </si>
  <si>
    <t>mowlishwar.t2025cys@sece.ac.in</t>
  </si>
  <si>
    <t>25SY039</t>
  </si>
  <si>
    <t>MOHAMMED ISHAQ A</t>
  </si>
  <si>
    <t>25SY063</t>
  </si>
  <si>
    <t>YASWANTH PS</t>
  </si>
  <si>
    <t>25EC156</t>
  </si>
  <si>
    <t>SOWBARANI S</t>
  </si>
  <si>
    <t>25EC135</t>
  </si>
  <si>
    <t>RAKSHANA SA</t>
  </si>
  <si>
    <t>25EE055</t>
  </si>
  <si>
    <t>THANUSHA M</t>
  </si>
  <si>
    <t>dineshkumar.s2024aids@sece.ac.in</t>
  </si>
  <si>
    <t>CODE BROSKIES</t>
  </si>
  <si>
    <t>24AD014</t>
  </si>
  <si>
    <t xml:space="preserve">AKSHAY BHARATHI </t>
  </si>
  <si>
    <t>95009 63227</t>
  </si>
  <si>
    <t>akshaybharathi.rs2024aids@sece.ac.in</t>
  </si>
  <si>
    <t>24AD049</t>
  </si>
  <si>
    <t>DINESHKUMAR S</t>
  </si>
  <si>
    <t>24AD062</t>
  </si>
  <si>
    <t>GURU ARAVINTHAN S</t>
  </si>
  <si>
    <t>24CS069</t>
  </si>
  <si>
    <t>GUGAN M R</t>
  </si>
  <si>
    <t>24EE012</t>
  </si>
  <si>
    <t>GOBIKA R</t>
  </si>
  <si>
    <t>24EE045</t>
  </si>
  <si>
    <t>SHAMLI R K</t>
  </si>
  <si>
    <t>madhanika.kk2025aiml@sece.ac.in</t>
  </si>
  <si>
    <t>TEAM NEXUS</t>
  </si>
  <si>
    <t>25AM058</t>
  </si>
  <si>
    <t xml:space="preserve">MADHANIKA K K </t>
  </si>
  <si>
    <t>25AM010</t>
  </si>
  <si>
    <t>BARANI N</t>
  </si>
  <si>
    <t>25AM004</t>
  </si>
  <si>
    <t xml:space="preserve">AJAY VISHNU P </t>
  </si>
  <si>
    <t>25AM007</t>
  </si>
  <si>
    <t>ARUN KUMAR M</t>
  </si>
  <si>
    <t xml:space="preserve"> 25ME002</t>
  </si>
  <si>
    <t xml:space="preserve">BALASUBRAMANIAN R </t>
  </si>
  <si>
    <t>25ME022</t>
  </si>
  <si>
    <t>RUTHISH S B</t>
  </si>
  <si>
    <t>mathanika.r2025aids@sece.ac.in</t>
  </si>
  <si>
    <t>ByteBloom</t>
  </si>
  <si>
    <t>25AD119</t>
  </si>
  <si>
    <t xml:space="preserve">Mathanika R </t>
  </si>
  <si>
    <t>25AD096</t>
  </si>
  <si>
    <t>KAVIMALAR.M</t>
  </si>
  <si>
    <t>25AD122</t>
  </si>
  <si>
    <t>MOHITH.S</t>
  </si>
  <si>
    <t>25AD107</t>
  </si>
  <si>
    <t>KRISHKARTHIK.S</t>
  </si>
  <si>
    <t>25IT047</t>
  </si>
  <si>
    <t>SATHIYA PRIYAN R</t>
  </si>
  <si>
    <t>25CC029</t>
  </si>
  <si>
    <t>MANORANJAN V</t>
  </si>
  <si>
    <t>karthika.a2024cse@sece.ac.in</t>
  </si>
  <si>
    <t>24CS122</t>
  </si>
  <si>
    <t>lavanya.r20242cse@sece.ac.in</t>
  </si>
  <si>
    <t>24CS096</t>
  </si>
  <si>
    <t>JENITHA M</t>
  </si>
  <si>
    <t>24CS106</t>
  </si>
  <si>
    <t>KARTHIKA A</t>
  </si>
  <si>
    <t>24AD048</t>
  </si>
  <si>
    <t>DINESH KUMAR B</t>
  </si>
  <si>
    <t>24AM070</t>
  </si>
  <si>
    <t>PRANAV SHANKAR D</t>
  </si>
  <si>
    <t>24AM102</t>
  </si>
  <si>
    <t>SRINISANTH R J</t>
  </si>
  <si>
    <t>sathish.p2024cse@sece.ac.in</t>
  </si>
  <si>
    <t>CODASTRA</t>
  </si>
  <si>
    <t>24CS217</t>
  </si>
  <si>
    <t>SATHISH P</t>
  </si>
  <si>
    <t>24CS208</t>
  </si>
  <si>
    <t>SAISAKTHI T</t>
  </si>
  <si>
    <t>24CS237</t>
  </si>
  <si>
    <t>SRIVARSHAN R</t>
  </si>
  <si>
    <t>24CS226</t>
  </si>
  <si>
    <t>SHEWAK S</t>
  </si>
  <si>
    <t>24CS246</t>
  </si>
  <si>
    <t>SURYA P</t>
  </si>
  <si>
    <t>24AD198</t>
  </si>
  <si>
    <t>Shahanaa Parveen MJ</t>
  </si>
  <si>
    <t>manisha.r2024csecs@sece.ac.in</t>
  </si>
  <si>
    <t>NovaMinds</t>
  </si>
  <si>
    <t>24SY032</t>
  </si>
  <si>
    <t>Manisha R</t>
  </si>
  <si>
    <t>manish12r2006@gmail.com</t>
  </si>
  <si>
    <t>24SY019</t>
  </si>
  <si>
    <t>JAMUNA R</t>
  </si>
  <si>
    <t>24SY045</t>
  </si>
  <si>
    <t>SELVAPRIYA R</t>
  </si>
  <si>
    <t>24EE034</t>
  </si>
  <si>
    <t>NITHRA P</t>
  </si>
  <si>
    <t>24EE023</t>
  </si>
  <si>
    <t>MAHALAKSHMI J</t>
  </si>
  <si>
    <t>24CS060</t>
  </si>
  <si>
    <t>ESWARAKUMAR R</t>
  </si>
  <si>
    <t>janani.n2024aids@sece.ac.in</t>
  </si>
  <si>
    <t>NEURA NOVA</t>
  </si>
  <si>
    <t>24AD075</t>
  </si>
  <si>
    <t>24AD122</t>
  </si>
  <si>
    <t>MIDHULA V</t>
  </si>
  <si>
    <t>24AD079</t>
  </si>
  <si>
    <t>JAYADHARANI M</t>
  </si>
  <si>
    <t>24AD112</t>
  </si>
  <si>
    <t>LOGESWARI M</t>
  </si>
  <si>
    <t>24EC053</t>
  </si>
  <si>
    <t>HARINI M V</t>
  </si>
  <si>
    <t>24CS155</t>
  </si>
  <si>
    <t>NEEMA SREE K</t>
  </si>
  <si>
    <t>keerthimathi.k2025eee@sece.ac.in</t>
  </si>
  <si>
    <t>SIEG</t>
  </si>
  <si>
    <t>25SY003</t>
  </si>
  <si>
    <t xml:space="preserve">ADHITHYA V K </t>
  </si>
  <si>
    <t>adhithya.vk2025cys@sece.ac.in</t>
  </si>
  <si>
    <t>25AM109</t>
  </si>
  <si>
    <t>THARUN P K</t>
  </si>
  <si>
    <t>25AD135</t>
  </si>
  <si>
    <t>NIRANJANKUKAR S</t>
  </si>
  <si>
    <t>25CC026</t>
  </si>
  <si>
    <t>LEELATHARAN R A</t>
  </si>
  <si>
    <t>25EE024</t>
  </si>
  <si>
    <t xml:space="preserve">KEERTHIMATHI K </t>
  </si>
  <si>
    <t>24CC014</t>
  </si>
  <si>
    <t>DHEVAVARSHANA D K</t>
  </si>
  <si>
    <t>gnanapprakash.a2024aids@sece.ac.in</t>
  </si>
  <si>
    <t>Visionary Vanguards</t>
  </si>
  <si>
    <t>24AD057</t>
  </si>
  <si>
    <t>GNANAPPRAKASH A</t>
  </si>
  <si>
    <t>24AD020</t>
  </si>
  <si>
    <t>ANISH S</t>
  </si>
  <si>
    <t>24AD031</t>
  </si>
  <si>
    <t>BHARANIDHARAN S</t>
  </si>
  <si>
    <t>24AD034</t>
  </si>
  <si>
    <t>BIRUNDALAKSHMI R</t>
  </si>
  <si>
    <t>24AM078</t>
  </si>
  <si>
    <t>RITHISH BARATH S R</t>
  </si>
  <si>
    <t>24AM067</t>
  </si>
  <si>
    <t>NIVASH M</t>
  </si>
  <si>
    <t>manikandan.d2024it@sece.ac.in</t>
  </si>
  <si>
    <t xml:space="preserve">Sinister Six </t>
  </si>
  <si>
    <t>24IT026</t>
  </si>
  <si>
    <t>Manikandan D</t>
  </si>
  <si>
    <t>24IT049</t>
  </si>
  <si>
    <t>Shakthi Logitha H</t>
  </si>
  <si>
    <t>24IT001</t>
  </si>
  <si>
    <t>Aarthi V</t>
  </si>
  <si>
    <t>24IT020</t>
  </si>
  <si>
    <t>Kanimozhi E</t>
  </si>
  <si>
    <t>24IT052</t>
  </si>
  <si>
    <t>Shivani R</t>
  </si>
  <si>
    <t>24AD005</t>
  </si>
  <si>
    <t>Abi Vignesh S</t>
  </si>
  <si>
    <t>divyadharshini.k2024csecs@sece.ac.in</t>
  </si>
  <si>
    <t>Code Storm</t>
  </si>
  <si>
    <t>24SY020</t>
  </si>
  <si>
    <t>JEEVA DHARSHINI P</t>
  </si>
  <si>
    <t>jeevadharshini.p2024csecs@sece.ac.in</t>
  </si>
  <si>
    <t>24SY014</t>
  </si>
  <si>
    <t>DIVYA DHARSHINI K</t>
  </si>
  <si>
    <t>THEJESWINI S</t>
  </si>
  <si>
    <t>24SY035</t>
  </si>
  <si>
    <t>MONISHA T</t>
  </si>
  <si>
    <t>24SY028</t>
  </si>
  <si>
    <t xml:space="preserve"> LATHIKA ABHI SHRI J</t>
  </si>
  <si>
    <t>24SY053</t>
  </si>
  <si>
    <t>SRI RAJANAYAGI B</t>
  </si>
  <si>
    <t>nithinjoshwa.j2024aiml@sece.ac.in</t>
  </si>
  <si>
    <t>Code Boosters</t>
  </si>
  <si>
    <t>24AM110</t>
  </si>
  <si>
    <t xml:space="preserve">THICKISH S </t>
  </si>
  <si>
    <t>thickish.s2024aiml@sece.ac.in</t>
  </si>
  <si>
    <t>24AM065</t>
  </si>
  <si>
    <t>NITHIN JOSHUA J</t>
  </si>
  <si>
    <t>24AM097</t>
  </si>
  <si>
    <t>SHUNMUGARAJ R</t>
  </si>
  <si>
    <t>24AM304</t>
  </si>
  <si>
    <t>ROHITH M</t>
  </si>
  <si>
    <t>24AM122</t>
  </si>
  <si>
    <t>YADESH D</t>
  </si>
  <si>
    <t>24AM305</t>
  </si>
  <si>
    <t>SRILEKA B</t>
  </si>
  <si>
    <t>thippusulthan.a2024mech@sece.ac.in</t>
  </si>
  <si>
    <t>TALES</t>
  </si>
  <si>
    <t>24ME026</t>
  </si>
  <si>
    <t>THIPPUSULTHAN A</t>
  </si>
  <si>
    <t>24AM063</t>
  </si>
  <si>
    <t>NADISH R</t>
  </si>
  <si>
    <t>24EC038</t>
  </si>
  <si>
    <t>DHYAN SANTHOSH K</t>
  </si>
  <si>
    <t>24AM010</t>
  </si>
  <si>
    <t>BALAGUGAN S</t>
  </si>
  <si>
    <t>24AM009</t>
  </si>
  <si>
    <t>ASHWITA S</t>
  </si>
  <si>
    <t>24ME006</t>
  </si>
  <si>
    <t>DHIPAA SAINDHAVI G</t>
  </si>
  <si>
    <t>sachinvignesh.s2024it@sece.ac.in</t>
  </si>
  <si>
    <t>X FORCE</t>
  </si>
  <si>
    <t>24IT042</t>
  </si>
  <si>
    <t>SACHIN VIGNESH S</t>
  </si>
  <si>
    <t>24EC036</t>
  </si>
  <si>
    <t>DHARUNAADHITYA S T</t>
  </si>
  <si>
    <t>24AM014</t>
  </si>
  <si>
    <t>DEEPAK R</t>
  </si>
  <si>
    <t>24EC039</t>
  </si>
  <si>
    <t>DIVYA SHREE P</t>
  </si>
  <si>
    <t>24AM056</t>
  </si>
  <si>
    <t>MAHA KESHAV P</t>
  </si>
  <si>
    <t>24EC042</t>
  </si>
  <si>
    <t>GOWDAM M</t>
  </si>
  <si>
    <t>yashwanthelamurugan.s2025cse@sece.ac.in</t>
  </si>
  <si>
    <t>25IT028</t>
  </si>
  <si>
    <t>lathika.s2025it@sece.ac.in</t>
  </si>
  <si>
    <t>25IT022</t>
  </si>
  <si>
    <t>JAKATHSURYA K</t>
  </si>
  <si>
    <t>25EE009</t>
  </si>
  <si>
    <t>DHARSHINI N</t>
  </si>
  <si>
    <t>25IT024</t>
  </si>
  <si>
    <t>KALAIARASAN S</t>
  </si>
  <si>
    <t>25CS131</t>
  </si>
  <si>
    <t>MOHAMED SUHAIL I</t>
  </si>
  <si>
    <t>25CS252</t>
  </si>
  <si>
    <t xml:space="preserve">YASHWANTH ELAMURUGAN S </t>
  </si>
  <si>
    <t>hariharan.vs2024aiml@sece.ac.in</t>
  </si>
  <si>
    <t>24AM031</t>
  </si>
  <si>
    <t>24AM016</t>
  </si>
  <si>
    <t>DEVIPRIYA K</t>
  </si>
  <si>
    <t>24AM028</t>
  </si>
  <si>
    <t>GOKULAVASAN B</t>
  </si>
  <si>
    <t>24AM006</t>
  </si>
  <si>
    <t>AKSHATHA J</t>
  </si>
  <si>
    <t>24CS140</t>
  </si>
  <si>
    <t>MOHAN KAARTHICK C</t>
  </si>
  <si>
    <t>24EC022</t>
  </si>
  <si>
    <t>lalithprabu.sg2025aiml@sece.ac.in</t>
  </si>
  <si>
    <t>Buddy Nexus 7</t>
  </si>
  <si>
    <t xml:space="preserve">Lalith prabu S G </t>
  </si>
  <si>
    <t>lalithprabu1@gmail.com</t>
  </si>
  <si>
    <t>25AM038</t>
  </si>
  <si>
    <t>HARIKRISHNAN K</t>
  </si>
  <si>
    <t>25AM028</t>
  </si>
  <si>
    <t>GAYATHRI SS</t>
  </si>
  <si>
    <t>25IT046</t>
  </si>
  <si>
    <t>SANJAY SRINIVASH S</t>
  </si>
  <si>
    <t>25IT050</t>
  </si>
  <si>
    <t>SHOBAN AADHITHYA P</t>
  </si>
  <si>
    <t>25IT042</t>
  </si>
  <si>
    <t>shivatharun.s2024csecs@sece.ac.in</t>
  </si>
  <si>
    <t>STARKTECH</t>
  </si>
  <si>
    <t>24SY024</t>
  </si>
  <si>
    <t>KAVITHAIPRIYA K</t>
  </si>
  <si>
    <t>kavithaipriya.k2024csecs@sece.ac.in</t>
  </si>
  <si>
    <t>24SY027</t>
  </si>
  <si>
    <t xml:space="preserve">KURALOVIYAN P </t>
  </si>
  <si>
    <t>24SY048</t>
  </si>
  <si>
    <t xml:space="preserve">SHIVATHARUN S </t>
  </si>
  <si>
    <t>24AM084</t>
  </si>
  <si>
    <t>SAMPHINEHAS S</t>
  </si>
  <si>
    <t>24AM088</t>
  </si>
  <si>
    <t>SANJITH SENTHIL KUMAR</t>
  </si>
  <si>
    <t>24AM069</t>
  </si>
  <si>
    <t>POOJALAKSHMI PRATHAA D</t>
  </si>
  <si>
    <t>amirthavarshini.nj2024cse@sece.ac.in</t>
  </si>
  <si>
    <t>Astra</t>
  </si>
  <si>
    <t>24CS016</t>
  </si>
  <si>
    <t>Amirtha Varshini N J</t>
  </si>
  <si>
    <t>24CS264</t>
  </si>
  <si>
    <t>Vihashini K S</t>
  </si>
  <si>
    <t>24CS260</t>
  </si>
  <si>
    <t>Vasanth M</t>
  </si>
  <si>
    <t>24CS265</t>
  </si>
  <si>
    <t>Vimal V</t>
  </si>
  <si>
    <t>24AD076</t>
  </si>
  <si>
    <t>Jaswan L</t>
  </si>
  <si>
    <t>24CS273</t>
  </si>
  <si>
    <t>Yokesh G</t>
  </si>
  <si>
    <t>jayanthpravin.rp2024aids@sece.ac.in</t>
  </si>
  <si>
    <t xml:space="preserve">Carpe Diem </t>
  </si>
  <si>
    <t>24AD082</t>
  </si>
  <si>
    <t xml:space="preserve">Jayanth Pravin R P </t>
  </si>
  <si>
    <t>24AM104</t>
  </si>
  <si>
    <t>Sruthi R</t>
  </si>
  <si>
    <t>24AD070</t>
  </si>
  <si>
    <t>Iniyaa M</t>
  </si>
  <si>
    <t>24EC168</t>
  </si>
  <si>
    <t>Surya Jayakumar</t>
  </si>
  <si>
    <t>24AD087</t>
  </si>
  <si>
    <t>Kaaviyanesh M</t>
  </si>
  <si>
    <t>25AD176</t>
  </si>
  <si>
    <t xml:space="preserve">Sachin sidharth </t>
  </si>
  <si>
    <t>jayasuriya.s2025aiml@sece.ac.in</t>
  </si>
  <si>
    <t>TEAM EVRIC</t>
  </si>
  <si>
    <t>25AM026</t>
  </si>
  <si>
    <t>GAUTHAM M A</t>
  </si>
  <si>
    <t xml:space="preserve">gautham.ma2025aiml@sece.ac.in  </t>
  </si>
  <si>
    <t>25AM025</t>
  </si>
  <si>
    <t>DIVYA K</t>
  </si>
  <si>
    <t>25AM046</t>
  </si>
  <si>
    <t>JAYASURIYA S</t>
  </si>
  <si>
    <t>25AM041</t>
  </si>
  <si>
    <t>HARSHADHA M</t>
  </si>
  <si>
    <t>25EC009</t>
  </si>
  <si>
    <t>AJAYVISHNU A</t>
  </si>
  <si>
    <t>25AM060</t>
  </si>
  <si>
    <t>MAGILESH M B</t>
  </si>
  <si>
    <t>lavanya.g2025lcsbs@sece.ac.in</t>
  </si>
  <si>
    <t>Team Ind   o</t>
  </si>
  <si>
    <t>25CB301</t>
  </si>
  <si>
    <t>Lavanya G</t>
  </si>
  <si>
    <t>25CB059</t>
  </si>
  <si>
    <t>Vishali S</t>
  </si>
  <si>
    <t>25CB037</t>
  </si>
  <si>
    <t>Rinitha M</t>
  </si>
  <si>
    <t>25CB036</t>
  </si>
  <si>
    <t>Prem Rohsan S</t>
  </si>
  <si>
    <t>25EC052</t>
  </si>
  <si>
    <t>HariKrishnan.M</t>
  </si>
  <si>
    <t>25CS242</t>
  </si>
  <si>
    <t>vasanthakumari V R</t>
  </si>
  <si>
    <t>dharunkumar.s2024aiml@sece.ac.in</t>
  </si>
  <si>
    <t>24AM021</t>
  </si>
  <si>
    <t>24AM022</t>
  </si>
  <si>
    <t>DIVYANANDH A S</t>
  </si>
  <si>
    <t>24AM036</t>
  </si>
  <si>
    <t>JANANISHREE G</t>
  </si>
  <si>
    <t>24AM002</t>
  </si>
  <si>
    <t>ADITH V C</t>
  </si>
  <si>
    <t>24AD136</t>
  </si>
  <si>
    <t>MUKILAN MUTHUKUMAR K</t>
  </si>
  <si>
    <t>25AM070</t>
  </si>
  <si>
    <t xml:space="preserve">NISHALINI R K </t>
  </si>
  <si>
    <t>harshini.b2025aids@sece.ac.in</t>
  </si>
  <si>
    <t xml:space="preserve">THINKSPHERE </t>
  </si>
  <si>
    <t>25AD070</t>
  </si>
  <si>
    <t>HARSHINI B</t>
  </si>
  <si>
    <t>25AD079</t>
  </si>
  <si>
    <t>JAYAVARSHA K</t>
  </si>
  <si>
    <t>25AD082</t>
  </si>
  <si>
    <t>JEEVITHA U</t>
  </si>
  <si>
    <t>25AD049</t>
  </si>
  <si>
    <t>ELAMUHIL K</t>
  </si>
  <si>
    <t>25AD061</t>
  </si>
  <si>
    <t>HARIHARAN E M</t>
  </si>
  <si>
    <t>IC26BTecL0053</t>
  </si>
  <si>
    <t>SUBHA SHREE M</t>
  </si>
  <si>
    <t>hemavarshini.d2025aids@sece.ac.in</t>
  </si>
  <si>
    <t>JEYANTH J</t>
  </si>
  <si>
    <t>25AD085</t>
  </si>
  <si>
    <t>jeyanth.j2025aids@sece.ac.in</t>
  </si>
  <si>
    <t>25AD071</t>
  </si>
  <si>
    <t>HEMAVARSHINI D</t>
  </si>
  <si>
    <t>25AD114</t>
  </si>
  <si>
    <t>MADHAVAN P</t>
  </si>
  <si>
    <t>25AM022</t>
  </si>
  <si>
    <t>DHARSHINI.RP</t>
  </si>
  <si>
    <t>25AM021</t>
  </si>
  <si>
    <t>DHARSHINI .P</t>
  </si>
  <si>
    <t>IC26BtecL0020</t>
  </si>
  <si>
    <t>SIDDHARTH R.K</t>
  </si>
  <si>
    <t>shathigulmahdhi.sa2024csecs@sece.ac.in</t>
  </si>
  <si>
    <t>24SY015</t>
  </si>
  <si>
    <t>elangovan.s2024csecs@sece.ac.in</t>
  </si>
  <si>
    <t>24SY047</t>
  </si>
  <si>
    <t>SHATHIGUL MAHDHI S A</t>
  </si>
  <si>
    <t>24SY007</t>
  </si>
  <si>
    <t>BALASARAVANAN K</t>
  </si>
  <si>
    <t>24AD126</t>
  </si>
  <si>
    <t>MOHAMED SAFWAAN M I</t>
  </si>
  <si>
    <t>24CC003</t>
  </si>
  <si>
    <t>AISHWARYA S</t>
  </si>
  <si>
    <t>24CC044</t>
  </si>
  <si>
    <t>SABARIKARTHIKA S</t>
  </si>
  <si>
    <t>vigneshwara.p2024aids@sece.ac.in</t>
  </si>
  <si>
    <t>Axion</t>
  </si>
  <si>
    <t>24AD194</t>
  </si>
  <si>
    <t>Sasi Tharan MS</t>
  </si>
  <si>
    <t xml:space="preserve"> 79049 81173</t>
  </si>
  <si>
    <t>sasitharan.ms2024aids@sece.ac.in</t>
  </si>
  <si>
    <t xml:space="preserve">24AD246 </t>
  </si>
  <si>
    <t xml:space="preserve">Vigneshwara P </t>
  </si>
  <si>
    <t>24AD245</t>
  </si>
  <si>
    <t>Vignesh VI</t>
  </si>
  <si>
    <t>24AD249</t>
  </si>
  <si>
    <t>Vimal Suriya K</t>
  </si>
  <si>
    <t>24EC045</t>
  </si>
  <si>
    <t>Guruprasath R</t>
  </si>
  <si>
    <t>24AD204</t>
  </si>
  <si>
    <t>Shona B</t>
  </si>
  <si>
    <t>yaswanth.v2024cse@sece.ac.in</t>
  </si>
  <si>
    <t>Phoenix Squad</t>
  </si>
  <si>
    <t>24CS271</t>
  </si>
  <si>
    <t>Yaswanth V</t>
  </si>
  <si>
    <t>24CS234</t>
  </si>
  <si>
    <t>SRINATH D</t>
  </si>
  <si>
    <t>24CS267</t>
  </si>
  <si>
    <t>VISHAL V</t>
  </si>
  <si>
    <t>24CS245</t>
  </si>
  <si>
    <t>SURENDAR PRAKASH</t>
  </si>
  <si>
    <t>24CS272</t>
  </si>
  <si>
    <t>Yeswanthira S</t>
  </si>
  <si>
    <t>24CS244</t>
  </si>
  <si>
    <t>SUREKA T</t>
  </si>
  <si>
    <t>soorya.k2024aids@sece.ac.in</t>
  </si>
  <si>
    <t>VORTEX</t>
  </si>
  <si>
    <t>24AD211</t>
  </si>
  <si>
    <t>SOORYA K</t>
  </si>
  <si>
    <t>24AD207</t>
  </si>
  <si>
    <t xml:space="preserve">SIVA BARATH S </t>
  </si>
  <si>
    <t>24AD206</t>
  </si>
  <si>
    <t>SHYAM K</t>
  </si>
  <si>
    <t>24AD199</t>
  </si>
  <si>
    <t>SHAMBAVI P V</t>
  </si>
  <si>
    <t>24EC073</t>
  </si>
  <si>
    <t>KEERTHIKA R</t>
  </si>
  <si>
    <t>24EC112</t>
  </si>
  <si>
    <t xml:space="preserve">PRADISHA M S </t>
  </si>
  <si>
    <t>vijairoshan.j2025aids@sece.ac.in</t>
  </si>
  <si>
    <t>Obscura</t>
  </si>
  <si>
    <t>25AD238</t>
  </si>
  <si>
    <t>VIJAI ROSHAN J P</t>
  </si>
  <si>
    <t>25AD194</t>
  </si>
  <si>
    <t>Shamil S J</t>
  </si>
  <si>
    <t>25CS132</t>
  </si>
  <si>
    <t>RIHAN SYED S</t>
  </si>
  <si>
    <t>25AD237</t>
  </si>
  <si>
    <t>VIGNESH R</t>
  </si>
  <si>
    <t>25AD251</t>
  </si>
  <si>
    <t>YOKHESH CHANDER L P</t>
  </si>
  <si>
    <t>25AM050</t>
  </si>
  <si>
    <t>Karthika Devi S</t>
  </si>
  <si>
    <t>ramya.s2024cse@sece.ac.in</t>
  </si>
  <si>
    <t>Inta-X</t>
  </si>
  <si>
    <t xml:space="preserve">24CS188 </t>
  </si>
  <si>
    <t>Ramya S</t>
  </si>
  <si>
    <t>24CS195</t>
  </si>
  <si>
    <t>Ridhanyaa Devie A S</t>
  </si>
  <si>
    <t>24CS193</t>
  </si>
  <si>
    <t>Rethanya V</t>
  </si>
  <si>
    <t>24CS170</t>
  </si>
  <si>
    <t>Pavithra P</t>
  </si>
  <si>
    <t xml:space="preserve">  24AD040</t>
  </si>
  <si>
    <t xml:space="preserve">Dhanushree A  </t>
  </si>
  <si>
    <t xml:space="preserve"> 24AD035</t>
  </si>
  <si>
    <t xml:space="preserve">Brindha Devi R </t>
  </si>
  <si>
    <t>viswajothi.r2024aiml@sece.ac.in</t>
  </si>
  <si>
    <t>BYTEBLENDERS</t>
  </si>
  <si>
    <t>24AM120</t>
  </si>
  <si>
    <t>VISWAJOTHI R</t>
  </si>
  <si>
    <t>24AM119</t>
  </si>
  <si>
    <t>VISHVA KUMAR B</t>
  </si>
  <si>
    <t>24AM007</t>
  </si>
  <si>
    <t>AMIRTHAVARSHINI S</t>
  </si>
  <si>
    <t>24IT055</t>
  </si>
  <si>
    <t>SIVABHARATHI K</t>
  </si>
  <si>
    <t xml:space="preserve"> 24IT002</t>
  </si>
  <si>
    <t xml:space="preserve">ABDUL KANI B </t>
  </si>
  <si>
    <t xml:space="preserve"> 25AD143</t>
  </si>
  <si>
    <t xml:space="preserve">Pookuzhali G </t>
  </si>
  <si>
    <t>naveenkarthik.b2024cse@sece.ac.in</t>
  </si>
  <si>
    <t>24CS141</t>
  </si>
  <si>
    <t>mohitKumar.ks2024@sece.ac.in</t>
  </si>
  <si>
    <t>24CS161</t>
  </si>
  <si>
    <t>NISANTHU P</t>
  </si>
  <si>
    <t>24CS149</t>
  </si>
  <si>
    <t>NANDITAA PS</t>
  </si>
  <si>
    <t>24CS150</t>
  </si>
  <si>
    <t>NAVEEN KARTHIK B</t>
  </si>
  <si>
    <t>24CS202</t>
  </si>
  <si>
    <t>SABITHRA M</t>
  </si>
  <si>
    <t>24AM123</t>
  </si>
  <si>
    <t>YOGESHWARAN K</t>
  </si>
  <si>
    <t>vinitha.m2024csecs@sece.ac.in</t>
  </si>
  <si>
    <t>SECURITY SENTINELS</t>
  </si>
  <si>
    <t>24SY063</t>
  </si>
  <si>
    <t>VINITHA M</t>
  </si>
  <si>
    <t>24SY054</t>
  </si>
  <si>
    <t>SRINITHI S</t>
  </si>
  <si>
    <t>24SY060</t>
  </si>
  <si>
    <t>UMASANKARI M</t>
  </si>
  <si>
    <t>24SY008</t>
  </si>
  <si>
    <t>BHAVADHARINI R</t>
  </si>
  <si>
    <t>24SY025</t>
  </si>
  <si>
    <t>KEERTHI LAKSANA K</t>
  </si>
  <si>
    <t>24SY009</t>
  </si>
  <si>
    <t>DEECHANYA S J</t>
  </si>
  <si>
    <t>lokitha.p2023aiml@sece.ac.in</t>
  </si>
  <si>
    <t>MAVERICKS</t>
  </si>
  <si>
    <t>23AM032</t>
  </si>
  <si>
    <t>LOKITHA P</t>
  </si>
  <si>
    <t>23AM031</t>
  </si>
  <si>
    <t>KOUSHIKA V</t>
  </si>
  <si>
    <t>23AM014</t>
  </si>
  <si>
    <t>23AM301</t>
  </si>
  <si>
    <t>HARIHARPRADEEP J</t>
  </si>
  <si>
    <t>23AM063</t>
  </si>
  <si>
    <t>YAZHINI R</t>
  </si>
  <si>
    <t>23CB060</t>
  </si>
  <si>
    <t>salmonangelo.s2025aiml@sece.ac.in</t>
  </si>
  <si>
    <t>The Orchestrators</t>
  </si>
  <si>
    <t>25AM104</t>
  </si>
  <si>
    <t>SRINITHI R</t>
  </si>
  <si>
    <t>+91 93617 79326</t>
  </si>
  <si>
    <t>srinithi.r2025aiml@sece.ac.in</t>
  </si>
  <si>
    <t>25AM181</t>
  </si>
  <si>
    <t>SAMYUKTA R</t>
  </si>
  <si>
    <t xml:space="preserve">25AD141 </t>
  </si>
  <si>
    <t>PAVITHRAN P N</t>
  </si>
  <si>
    <t>25AD104</t>
  </si>
  <si>
    <t>KIRUBASHINI V</t>
  </si>
  <si>
    <t>25AM084</t>
  </si>
  <si>
    <t>SALMON ANGELO S</t>
  </si>
  <si>
    <t>23AD088</t>
  </si>
  <si>
    <t>NITHIN PRANAV</t>
  </si>
  <si>
    <t>mugesh.r2024cse@sece.ac.in</t>
  </si>
  <si>
    <t>LOGIDEVS</t>
  </si>
  <si>
    <t>24CS144</t>
  </si>
  <si>
    <t>MUGESH R</t>
  </si>
  <si>
    <t>24CS147</t>
  </si>
  <si>
    <t>NAGUL A</t>
  </si>
  <si>
    <t>24CS207</t>
  </si>
  <si>
    <t>SAIRAM D</t>
  </si>
  <si>
    <t>24CS184</t>
  </si>
  <si>
    <t>PUVIARASU S E</t>
  </si>
  <si>
    <t>24CC051</t>
  </si>
  <si>
    <t>SHRUTHILAYA N S</t>
  </si>
  <si>
    <t>24CC040</t>
  </si>
  <si>
    <t>PRATHEKSHA S</t>
  </si>
  <si>
    <t>aishwarya.sr2024cse@sece.ac.in</t>
  </si>
  <si>
    <t>DIGITAL PIRATES</t>
  </si>
  <si>
    <t>24SY057</t>
  </si>
  <si>
    <t>SURYAGANTHAN R</t>
  </si>
  <si>
    <t>suryaganthan.r2024csecs@sece.ac.in</t>
  </si>
  <si>
    <t>24SY046</t>
  </si>
  <si>
    <t>SHABHIKA S</t>
  </si>
  <si>
    <t xml:space="preserve">24CS009 </t>
  </si>
  <si>
    <t>AISHWARYA S R</t>
  </si>
  <si>
    <t>24CS007</t>
  </si>
  <si>
    <t>AHMED RIFAZ M</t>
  </si>
  <si>
    <t>24SY005</t>
  </si>
  <si>
    <t>ASWIN M S</t>
  </si>
  <si>
    <t>24CS206</t>
  </si>
  <si>
    <t>SAI KRISHNAN S</t>
  </si>
  <si>
    <t>abinivas.gs2024aiml@sece.ac.in</t>
  </si>
  <si>
    <t>CATALYST CREW</t>
  </si>
  <si>
    <t xml:space="preserve">24AM001 </t>
  </si>
  <si>
    <t xml:space="preserve">G S ABINIVAS </t>
  </si>
  <si>
    <t>24AM024</t>
  </si>
  <si>
    <t>Enoch Jason J</t>
  </si>
  <si>
    <t>24CS012</t>
  </si>
  <si>
    <t>Akilesh Saravanan</t>
  </si>
  <si>
    <t>24CS043</t>
  </si>
  <si>
    <t>Deepan G</t>
  </si>
  <si>
    <t>24CB064</t>
  </si>
  <si>
    <t>Visnu Visalini K K</t>
  </si>
  <si>
    <t>24CC045</t>
  </si>
  <si>
    <t>Sadhana V</t>
  </si>
  <si>
    <t>boopana.m2024cce@sece.ac.in</t>
  </si>
  <si>
    <t>Kinetiq</t>
  </si>
  <si>
    <t>24CC008</t>
  </si>
  <si>
    <t>BOOPANA M</t>
  </si>
  <si>
    <t>24EE015</t>
  </si>
  <si>
    <t>HARI HARAN R</t>
  </si>
  <si>
    <t>24EE018</t>
  </si>
  <si>
    <t>24CC010</t>
  </si>
  <si>
    <t>DEEPIGA R S</t>
  </si>
  <si>
    <t>24EC064</t>
  </si>
  <si>
    <t>JOSHUA ISRAEL S</t>
  </si>
  <si>
    <t>24CS157</t>
  </si>
  <si>
    <t>dharshinipriya.r2024aids@sece.ac.in</t>
  </si>
  <si>
    <t>VISION X 2</t>
  </si>
  <si>
    <t>24AD044</t>
  </si>
  <si>
    <t>DHARSHINI PRIYA R</t>
  </si>
  <si>
    <t>25AD164</t>
  </si>
  <si>
    <t>RAMANISRI S</t>
  </si>
  <si>
    <t>25AD133</t>
  </si>
  <si>
    <t>NILANISRI B</t>
  </si>
  <si>
    <t>25AD129</t>
  </si>
  <si>
    <t>NETHRA V</t>
  </si>
  <si>
    <t>25SY014</t>
  </si>
  <si>
    <t>DHARSHAN S</t>
  </si>
  <si>
    <t>25SY029</t>
  </si>
  <si>
    <t xml:space="preserve">KARTHIK KOUSHAL </t>
  </si>
  <si>
    <t>s.gobika2024cse@sece.ac.in</t>
  </si>
  <si>
    <t>Fortune-14</t>
  </si>
  <si>
    <t>24CS302</t>
  </si>
  <si>
    <t>ABINIVESH M</t>
  </si>
  <si>
    <t>abinivesh.m2024lcse@sece.ac.in</t>
  </si>
  <si>
    <t>24CS004</t>
  </si>
  <si>
    <t>ABI SHREE R</t>
  </si>
  <si>
    <t>24CS028</t>
  </si>
  <si>
    <t>BALASURYA S</t>
  </si>
  <si>
    <t>24CS066</t>
  </si>
  <si>
    <t>GOBIKA S</t>
  </si>
  <si>
    <t>24EC026</t>
  </si>
  <si>
    <t>BRIDLEEN P</t>
  </si>
  <si>
    <t>24EC046</t>
  </si>
  <si>
    <t>GURU PRASSANNA P</t>
  </si>
  <si>
    <t>sandhanakumar.b2025cse@sece.ac.in</t>
  </si>
  <si>
    <t>FUTURE FUSION</t>
  </si>
  <si>
    <t>25AD125</t>
  </si>
  <si>
    <t>NANDHINI R</t>
  </si>
  <si>
    <t>79049 42350</t>
  </si>
  <si>
    <t>nandhini.r2025aids@sece.ac.in</t>
  </si>
  <si>
    <t>25CS194</t>
  </si>
  <si>
    <t>SANDHANAKUMAR B</t>
  </si>
  <si>
    <t>25AD081</t>
  </si>
  <si>
    <t>JEEVAN A</t>
  </si>
  <si>
    <t>25CS227</t>
  </si>
  <si>
    <t>SUJEETHKUMAR A</t>
  </si>
  <si>
    <t>25AD118</t>
  </si>
  <si>
    <t>MANJUSHA SA</t>
  </si>
  <si>
    <t>25ME014</t>
  </si>
  <si>
    <t>MANIKANDAN A</t>
  </si>
  <si>
    <t>raksanaa.s2024aids@sece.ac.in</t>
  </si>
  <si>
    <t>Innov</t>
  </si>
  <si>
    <t xml:space="preserve">24AD171 </t>
  </si>
  <si>
    <t xml:space="preserve">RAKSANAA.S </t>
  </si>
  <si>
    <t>24CS073</t>
  </si>
  <si>
    <t>HARINI.C</t>
  </si>
  <si>
    <t>24CS128</t>
  </si>
  <si>
    <t>MANASADEVICHAPAGAIN</t>
  </si>
  <si>
    <t xml:space="preserve">  24CS098 </t>
  </si>
  <si>
    <t>JUMAANAHBASHEETH</t>
  </si>
  <si>
    <t>24CS095</t>
  </si>
  <si>
    <t>JEFFJEROMEJABEZ</t>
  </si>
  <si>
    <t>24CS317</t>
  </si>
  <si>
    <t>Sujay S</t>
  </si>
  <si>
    <t>jeyasuriya.j2024ece@sece.ac.in</t>
  </si>
  <si>
    <t>SMART CRAFTERS</t>
  </si>
  <si>
    <t>24EC063</t>
  </si>
  <si>
    <t xml:space="preserve">JEYASURIYA J </t>
  </si>
  <si>
    <t>24AD212</t>
  </si>
  <si>
    <t>SREEJA NAIR M S</t>
  </si>
  <si>
    <t>24AM072</t>
  </si>
  <si>
    <t>PRIYAVARSHINI V</t>
  </si>
  <si>
    <t>24CS077</t>
  </si>
  <si>
    <t>HARIPRIYAN A</t>
  </si>
  <si>
    <t>24CS175</t>
  </si>
  <si>
    <t>PRADEEP P</t>
  </si>
  <si>
    <t>PRIYANKA T M</t>
  </si>
  <si>
    <t>sanjit.m2024aiml@sece.ac.in</t>
  </si>
  <si>
    <t>HEISENBERG</t>
  </si>
  <si>
    <t>24AM087</t>
  </si>
  <si>
    <t>SANJIT M</t>
  </si>
  <si>
    <t>Sanjit.m2024aiml@sece.ac.in</t>
  </si>
  <si>
    <t>24AM082</t>
  </si>
  <si>
    <t>SAHANAA K</t>
  </si>
  <si>
    <t>24AM125</t>
  </si>
  <si>
    <t>ZIDANE ASHIK</t>
  </si>
  <si>
    <t>24AM118</t>
  </si>
  <si>
    <t>VISHNU PRIYAN PR</t>
  </si>
  <si>
    <t>24CM029</t>
  </si>
  <si>
    <t>POOJITHA SK</t>
  </si>
  <si>
    <t>24AD154</t>
  </si>
  <si>
    <t>PRAGALYA s</t>
  </si>
  <si>
    <t>praveenkanth.p2024ece@sece.ac.in</t>
  </si>
  <si>
    <t>THE WHITES</t>
  </si>
  <si>
    <t>24EC120</t>
  </si>
  <si>
    <t>PRAVEEN KANTH P</t>
  </si>
  <si>
    <t>24EC123</t>
  </si>
  <si>
    <t>PRIYAN U</t>
  </si>
  <si>
    <t>24EC095</t>
  </si>
  <si>
    <t>MOUNISH S</t>
  </si>
  <si>
    <t>24IT024</t>
  </si>
  <si>
    <t>MADAN PA</t>
  </si>
  <si>
    <t>24CS104</t>
  </si>
  <si>
    <t>25EC147</t>
  </si>
  <si>
    <t>SASMITA V</t>
  </si>
  <si>
    <t>narenkrishnaperumal.a2024aids@sece.ac.in</t>
  </si>
  <si>
    <t>NOVACORE</t>
  </si>
  <si>
    <t>24AD080</t>
  </si>
  <si>
    <t>Jayanarayan Menon Nettath</t>
  </si>
  <si>
    <t>jayanarayanmenonnettath.2024aids@sece.ac.in</t>
  </si>
  <si>
    <t>24AD139</t>
  </si>
  <si>
    <t>Naren Krishna Perumal A</t>
  </si>
  <si>
    <t>24AD170</t>
  </si>
  <si>
    <t>Rahul R</t>
  </si>
  <si>
    <t>24CS180</t>
  </si>
  <si>
    <t>Priyadarshini AS</t>
  </si>
  <si>
    <t>24CC046</t>
  </si>
  <si>
    <t>Sakthi Kamalam G</t>
  </si>
  <si>
    <t>24EC175</t>
  </si>
  <si>
    <t>Thrishna M</t>
  </si>
  <si>
    <t>kungumapriyaa.m2024aids@sece.ac.in</t>
  </si>
  <si>
    <t>OMNISCIENTOPS</t>
  </si>
  <si>
    <t>24AD107</t>
  </si>
  <si>
    <t>Kungumapriyaa M</t>
  </si>
  <si>
    <t>24AD081</t>
  </si>
  <si>
    <t>JAYANTH E</t>
  </si>
  <si>
    <t>24AD155</t>
  </si>
  <si>
    <t>PRAMOD K</t>
  </si>
  <si>
    <t>23AD074</t>
  </si>
  <si>
    <t>MITHUN M</t>
  </si>
  <si>
    <t>23EC151</t>
  </si>
  <si>
    <t>SOUJANYA S</t>
  </si>
  <si>
    <t>VIJAY SACHIN</t>
  </si>
  <si>
    <t>sathurvika.r2025cce@sece.ac.in</t>
  </si>
  <si>
    <t>Team CodeX</t>
  </si>
  <si>
    <t>25CC048</t>
  </si>
  <si>
    <t xml:space="preserve">SATHURVIKA R </t>
  </si>
  <si>
    <t>25CC044</t>
  </si>
  <si>
    <t>SAMYUKTHA P</t>
  </si>
  <si>
    <t>25EC139</t>
  </si>
  <si>
    <t>RUPESH NS</t>
  </si>
  <si>
    <t>25AM105</t>
  </si>
  <si>
    <t>SUDHAN AC</t>
  </si>
  <si>
    <t>25EC153</t>
  </si>
  <si>
    <t>SIVAKARTHIK RS</t>
  </si>
  <si>
    <t>25EC142</t>
  </si>
  <si>
    <t>SANJAY CHARI S</t>
  </si>
  <si>
    <t>harishni.ss2024csbs@sece.ac.in</t>
  </si>
  <si>
    <t>Team Ekalavya</t>
  </si>
  <si>
    <t>24CB009</t>
  </si>
  <si>
    <t>Dhanwanth DJ</t>
  </si>
  <si>
    <t>dhanwanth.dj2024csbs@sece.ac.in</t>
  </si>
  <si>
    <t xml:space="preserve">24CB015 </t>
  </si>
  <si>
    <t xml:space="preserve">Harishni S.S </t>
  </si>
  <si>
    <t>24CB025</t>
  </si>
  <si>
    <t xml:space="preserve">Midulaa S </t>
  </si>
  <si>
    <t>24CB027</t>
  </si>
  <si>
    <t>Namisha D</t>
  </si>
  <si>
    <t>24AD030</t>
  </si>
  <si>
    <t>Barath Roshan S</t>
  </si>
  <si>
    <t>24CB021</t>
  </si>
  <si>
    <t>Karthik K</t>
  </si>
  <si>
    <t>tamilselvan.p2024cse@sece.ac.in</t>
  </si>
  <si>
    <t>Survex</t>
  </si>
  <si>
    <t>24CS249</t>
  </si>
  <si>
    <t>TAMILSELVAN P</t>
  </si>
  <si>
    <t>24CS248</t>
  </si>
  <si>
    <t>Suryaprakash S</t>
  </si>
  <si>
    <t>24CS230</t>
  </si>
  <si>
    <t>Sowmya C</t>
  </si>
  <si>
    <t>24CS210</t>
  </si>
  <si>
    <t>Sangamitra P</t>
  </si>
  <si>
    <t>24CS241</t>
  </si>
  <si>
    <t>Sugatha G</t>
  </si>
  <si>
    <t>24AM076</t>
  </si>
  <si>
    <t>Reegan Ferdinand K</t>
  </si>
  <si>
    <t>kaielash.b2023ece@sece.ac.in</t>
  </si>
  <si>
    <t>Team TechSankalp</t>
  </si>
  <si>
    <t>23EC055</t>
  </si>
  <si>
    <t>Kaielash B</t>
  </si>
  <si>
    <t>23EC029</t>
  </si>
  <si>
    <t>Enbarasu S</t>
  </si>
  <si>
    <t>24AD012</t>
  </si>
  <si>
    <t>Aishwarya J</t>
  </si>
  <si>
    <t>24AD038</t>
  </si>
  <si>
    <t>25CS303</t>
  </si>
  <si>
    <t>Kathir.N S</t>
  </si>
  <si>
    <t>25ME013</t>
  </si>
  <si>
    <t>Kamalesh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</si>
</sst>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Cambria"/>
    </font>
    <font/>
    <font>
      <b/>
      <sz val="12.0"/>
      <color theme="1"/>
      <name val="Cambria"/>
    </font>
    <font>
      <color theme="1"/>
      <name val="Arial"/>
      <scheme val="minor"/>
    </font>
    <font>
      <sz val="12.0"/>
      <color theme="1"/>
      <name val="Cambria"/>
    </font>
    <font>
      <b/>
      <u/>
      <sz val="12.0"/>
      <color rgb="FFFFFFFF"/>
      <name val="Cambria"/>
    </font>
    <font>
      <b/>
      <sz val="12.0"/>
      <color theme="1"/>
      <name val="Times New Roman"/>
    </font>
    <font>
      <b/>
      <sz val="12.0"/>
      <color rgb="FF0000FF"/>
      <name val="Cambria"/>
    </font>
    <font>
      <b/>
      <color theme="1"/>
      <name val="Montserrat"/>
    </font>
    <font>
      <color theme="1"/>
      <name val="Roboto"/>
    </font>
    <font>
      <u/>
      <sz val="12.0"/>
      <color rgb="FF0000FF"/>
      <name val="Cambria"/>
    </font>
    <font>
      <u/>
      <color rgb="FF0000FF"/>
      <name val="Roboto"/>
    </font>
    <font>
      <u/>
      <sz val="12.0"/>
      <color rgb="FF0000FF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4" numFmtId="0" xfId="0" applyAlignment="1" applyBorder="1" applyFill="1" applyFont="1">
      <alignment horizontal="center" readingOrder="0" vertical="bottom"/>
    </xf>
    <xf borderId="6" fillId="3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0"/>
    </xf>
    <xf borderId="6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6" fillId="5" fontId="6" numFmtId="0" xfId="0" applyAlignment="1" applyBorder="1" applyFill="1" applyFont="1">
      <alignment horizontal="center" vertical="center"/>
    </xf>
    <xf borderId="0" fillId="4" fontId="6" numFmtId="0" xfId="0" applyAlignment="1" applyFont="1">
      <alignment horizontal="center" vertical="center"/>
    </xf>
    <xf borderId="6" fillId="0" fontId="6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6" fillId="5" fontId="6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0" fillId="0" fontId="1" numFmtId="0" xfId="0" applyFont="1"/>
    <xf borderId="6" fillId="0" fontId="6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6" fillId="3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7" fillId="0" fontId="3" numFmtId="0" xfId="0" applyBorder="1" applyFont="1"/>
    <xf borderId="0" fillId="5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8" numFmtId="0" xfId="0" applyAlignment="1" applyBorder="1" applyFont="1">
      <alignment vertical="bottom"/>
    </xf>
    <xf borderId="6" fillId="3" fontId="8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6" fillId="2" fontId="2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shrinkToFit="0" vertical="top" wrapText="1"/>
    </xf>
    <xf borderId="0" fillId="5" fontId="11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5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5" fontId="12" numFmtId="0" xfId="0" applyAlignment="1" applyFont="1">
      <alignment horizontal="center" vertical="center"/>
    </xf>
    <xf quotePrefix="1" borderId="0" fillId="0" fontId="5" numFmtId="0" xfId="0" applyAlignment="1" applyFont="1">
      <alignment readingOrder="0" shrinkToFit="0" vertical="center" wrapText="0"/>
    </xf>
    <xf borderId="0" fillId="0" fontId="5" numFmtId="11" xfId="0" applyAlignment="1" applyFont="1" applyNumberForma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5" fontId="5" numFmtId="164" xfId="0" applyAlignment="1" applyFont="1" applyNumberFormat="1">
      <alignment readingOrder="0" shrinkToFit="0" vertical="center" wrapText="0"/>
    </xf>
    <xf borderId="0" fillId="5" fontId="5" numFmtId="0" xfId="0" applyFont="1"/>
    <xf borderId="1" fillId="0" fontId="6" numFmtId="0" xfId="0" applyAlignment="1" applyBorder="1" applyFont="1">
      <alignment horizontal="center" readingOrder="0" vertical="center"/>
    </xf>
    <xf borderId="6" fillId="0" fontId="6" numFmtId="11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alid Team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274" displayName="Form_Responses" name="Form_Responses" id="1">
  <tableColumns count="31">
    <tableColumn name="Timestamp" id="1"/>
    <tableColumn name="Email Address" id="2"/>
    <tableColumn name="Team Name" id="3"/>
    <tableColumn name="SIH Interested Category" id="4"/>
    <tableColumn name="Team Leader Roll Number (Member 1)" id="5"/>
    <tableColumn name="Team Leader Name (Member 1)" id="6"/>
    <tableColumn name="Team Leader Year of Study (Member 1)" id="7"/>
    <tableColumn name="Team Leader Department (Member 1)" id="8"/>
    <tableColumn name="Team Leader Contact Number (Member 1)" id="9"/>
    <tableColumn name="Team Leader College Mail ID (Member 1)" id="10"/>
    <tableColumn name="Roll Number (Member 2)" id="11"/>
    <tableColumn name="Student Name (Member 2)" id="12"/>
    <tableColumn name="Year of Study (Member 2)" id="13"/>
    <tableColumn name="Department (Member 2)" id="14"/>
    <tableColumn name="Roll Number (Member 3)" id="15"/>
    <tableColumn name="Student Name (Member 3)" id="16"/>
    <tableColumn name="Year of Study (Member 3)" id="17"/>
    <tableColumn name="Department (Member 3)" id="18"/>
    <tableColumn name="Roll Number (Member 4)" id="19"/>
    <tableColumn name="Student Name (Member 4)" id="20"/>
    <tableColumn name="Year of Study (Member 4)" id="21"/>
    <tableColumn name="Department (Member 4)" id="22"/>
    <tableColumn name="Roll Number (Member 5)" id="23"/>
    <tableColumn name="Student Name (Member 5)" id="24"/>
    <tableColumn name="Year of Study (Member 5)" id="25"/>
    <tableColumn name="Department (Member 5)" id="26"/>
    <tableColumn name="Roll Number (Member 6)" id="27"/>
    <tableColumn name="Student Name (Member 6)" id="28"/>
    <tableColumn name="Year of Study (Member 6)" id="29"/>
    <tableColumn name="Department (Member 6)" id="30"/>
    <tableColumn name=" Acknowledgment  " id="31"/>
  </tableColumns>
  <tableStyleInfo name="Form Responses-style" showColumnStripes="0" showFirstColumn="1" showLastColumn="1" showRowStripes="1"/>
</table>
</file>

<file path=xl/tables/table2.xml><?xml version="1.0" encoding="utf-8"?>
<table xmlns="http://schemas.openxmlformats.org/spreadsheetml/2006/main" ref="A1:C95" displayName="Table1" name="Table1" id="2">
  <tableColumns count="3">
    <tableColumn name="Team Name" id="1"/>
    <tableColumn name="Reason" id="2"/>
    <tableColumn name="Details" id="3"/>
  </tableColumns>
  <tableStyleInfo name="Invalid 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sha.sv" TargetMode="External"/><Relationship Id="rId2" Type="http://schemas.openxmlformats.org/officeDocument/2006/relationships/hyperlink" Target="http://gokul.pn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gokul.pn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0.63"/>
    <col customWidth="1" min="3" max="3" width="18.88"/>
    <col customWidth="1" min="4" max="4" width="22.63"/>
    <col customWidth="1" min="5" max="5" width="33.0"/>
    <col customWidth="1" min="6" max="6" width="28.5"/>
    <col customWidth="1" min="7" max="7" width="33.75"/>
    <col customWidth="1" min="8" max="8" width="32.63"/>
    <col customWidth="1" min="9" max="9" width="36.0"/>
    <col customWidth="1" min="10" max="10" width="34.88"/>
    <col customWidth="1" min="11" max="11" width="23.25"/>
    <col customWidth="1" min="12" max="12" width="24.63"/>
    <col customWidth="1" min="13" max="13" width="23.88"/>
    <col customWidth="1" min="14" max="14" width="22.88"/>
    <col customWidth="1" min="15" max="15" width="23.25"/>
    <col customWidth="1" min="16" max="16" width="24.63"/>
    <col customWidth="1" min="17" max="17" width="23.88"/>
    <col customWidth="1" min="18" max="18" width="22.88"/>
    <col customWidth="1" min="19" max="19" width="23.25"/>
    <col customWidth="1" min="20" max="20" width="24.63"/>
    <col customWidth="1" min="21" max="21" width="23.88"/>
    <col customWidth="1" min="22" max="22" width="22.88"/>
    <col customWidth="1" min="23" max="23" width="23.25"/>
    <col customWidth="1" min="24" max="24" width="24.63"/>
    <col customWidth="1" min="25" max="25" width="23.88"/>
    <col customWidth="1" min="26" max="26" width="22.88"/>
    <col customWidth="1" min="27" max="27" width="23.25"/>
    <col customWidth="1" min="28" max="28" width="24.63"/>
    <col customWidth="1" min="29" max="29" width="23.88"/>
    <col customWidth="1" min="30" max="30" width="22.88"/>
    <col customWidth="1" min="31" max="31" width="193.13"/>
    <col customWidth="1" min="32" max="37" width="18.88"/>
  </cols>
  <sheetData>
    <row r="1" ht="22.5" customHeight="1">
      <c r="A1" s="11" t="s">
        <v>7</v>
      </c>
      <c r="B1" s="11" t="s">
        <v>13</v>
      </c>
      <c r="C1" s="11" t="s">
        <v>8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20</v>
      </c>
      <c r="I1" s="11" t="s">
        <v>24</v>
      </c>
      <c r="J1" s="11" t="s">
        <v>26</v>
      </c>
      <c r="K1" s="11" t="s">
        <v>27</v>
      </c>
      <c r="L1" s="11" t="s">
        <v>30</v>
      </c>
      <c r="M1" s="11" t="s">
        <v>33</v>
      </c>
      <c r="N1" s="11" t="s">
        <v>34</v>
      </c>
      <c r="O1" s="11" t="s">
        <v>35</v>
      </c>
      <c r="P1" s="11" t="s">
        <v>36</v>
      </c>
      <c r="Q1" s="11" t="s">
        <v>39</v>
      </c>
      <c r="R1" s="11" t="s">
        <v>41</v>
      </c>
      <c r="S1" s="11" t="s">
        <v>42</v>
      </c>
      <c r="T1" s="11" t="s">
        <v>46</v>
      </c>
      <c r="U1" s="11" t="s">
        <v>48</v>
      </c>
      <c r="V1" s="11" t="s">
        <v>49</v>
      </c>
      <c r="W1" s="11" t="s">
        <v>52</v>
      </c>
      <c r="X1" s="11" t="s">
        <v>53</v>
      </c>
      <c r="Y1" s="11" t="s">
        <v>54</v>
      </c>
      <c r="Z1" s="11" t="s">
        <v>58</v>
      </c>
      <c r="AA1" s="11" t="s">
        <v>59</v>
      </c>
      <c r="AB1" s="11" t="s">
        <v>60</v>
      </c>
      <c r="AC1" s="11" t="s">
        <v>63</v>
      </c>
      <c r="AD1" s="11" t="s">
        <v>65</v>
      </c>
      <c r="AE1" s="11" t="s">
        <v>67</v>
      </c>
    </row>
    <row r="2" ht="22.5" customHeight="1">
      <c r="A2" s="19">
        <v>46238.49319178241</v>
      </c>
      <c r="B2" s="20" t="s">
        <v>75</v>
      </c>
      <c r="C2" s="20" t="s">
        <v>80</v>
      </c>
      <c r="D2" s="20" t="s">
        <v>82</v>
      </c>
      <c r="E2" s="20" t="s">
        <v>86</v>
      </c>
      <c r="F2" s="20" t="s">
        <v>87</v>
      </c>
      <c r="G2" s="20" t="s">
        <v>89</v>
      </c>
      <c r="H2" s="20" t="s">
        <v>94</v>
      </c>
      <c r="I2" s="20">
        <v>8.220563218E9</v>
      </c>
      <c r="J2" s="20" t="s">
        <v>75</v>
      </c>
      <c r="K2" s="20" t="s">
        <v>98</v>
      </c>
      <c r="L2" s="20" t="s">
        <v>99</v>
      </c>
      <c r="M2" s="20" t="s">
        <v>23</v>
      </c>
      <c r="N2" s="20" t="s">
        <v>69</v>
      </c>
      <c r="O2" s="20" t="s">
        <v>103</v>
      </c>
      <c r="P2" s="20" t="s">
        <v>106</v>
      </c>
      <c r="Q2" s="20" t="s">
        <v>31</v>
      </c>
      <c r="R2" s="20" t="s">
        <v>94</v>
      </c>
      <c r="S2" s="20" t="s">
        <v>113</v>
      </c>
      <c r="T2" s="20" t="s">
        <v>117</v>
      </c>
      <c r="U2" s="20" t="s">
        <v>31</v>
      </c>
      <c r="V2" s="20" t="s">
        <v>94</v>
      </c>
      <c r="W2" s="20" t="s">
        <v>121</v>
      </c>
      <c r="X2" s="20" t="s">
        <v>124</v>
      </c>
      <c r="Y2" s="20" t="s">
        <v>31</v>
      </c>
      <c r="Z2" s="20" t="s">
        <v>126</v>
      </c>
      <c r="AA2" s="20" t="s">
        <v>129</v>
      </c>
      <c r="AB2" s="20" t="s">
        <v>131</v>
      </c>
      <c r="AC2" s="20" t="s">
        <v>31</v>
      </c>
      <c r="AD2" s="20" t="s">
        <v>94</v>
      </c>
      <c r="AE2" s="20" t="s">
        <v>134</v>
      </c>
    </row>
    <row r="3" ht="22.5" customHeight="1">
      <c r="A3" s="28">
        <v>46238.49953170139</v>
      </c>
      <c r="B3" s="30" t="s">
        <v>138</v>
      </c>
      <c r="C3" s="30" t="s">
        <v>141</v>
      </c>
      <c r="D3" s="30" t="s">
        <v>82</v>
      </c>
      <c r="E3" s="30" t="s">
        <v>145</v>
      </c>
      <c r="F3" s="30" t="s">
        <v>148</v>
      </c>
      <c r="G3" s="30" t="s">
        <v>31</v>
      </c>
      <c r="H3" s="30" t="s">
        <v>22</v>
      </c>
      <c r="I3" s="30">
        <v>9.361137378E9</v>
      </c>
      <c r="J3" s="30" t="s">
        <v>152</v>
      </c>
      <c r="K3" s="30" t="s">
        <v>153</v>
      </c>
      <c r="L3" s="30" t="s">
        <v>156</v>
      </c>
      <c r="M3" s="30" t="s">
        <v>23</v>
      </c>
      <c r="N3" s="30" t="s">
        <v>78</v>
      </c>
      <c r="O3" s="30" t="s">
        <v>160</v>
      </c>
      <c r="P3" s="30" t="s">
        <v>164</v>
      </c>
      <c r="Q3" s="30" t="s">
        <v>31</v>
      </c>
      <c r="R3" s="30" t="s">
        <v>22</v>
      </c>
      <c r="S3" s="30" t="s">
        <v>168</v>
      </c>
      <c r="T3" s="30" t="s">
        <v>169</v>
      </c>
      <c r="U3" s="30" t="s">
        <v>31</v>
      </c>
      <c r="V3" s="30" t="s">
        <v>22</v>
      </c>
      <c r="W3" s="30" t="s">
        <v>174</v>
      </c>
      <c r="X3" s="30" t="s">
        <v>177</v>
      </c>
      <c r="Y3" s="30" t="s">
        <v>31</v>
      </c>
      <c r="Z3" s="30" t="s">
        <v>178</v>
      </c>
      <c r="AA3" s="30" t="s">
        <v>181</v>
      </c>
      <c r="AB3" s="30" t="s">
        <v>183</v>
      </c>
      <c r="AC3" s="30" t="s">
        <v>31</v>
      </c>
      <c r="AD3" s="30" t="s">
        <v>178</v>
      </c>
      <c r="AE3" s="30" t="s">
        <v>134</v>
      </c>
    </row>
    <row r="4" ht="22.5" customHeight="1">
      <c r="A4" s="28">
        <v>46238.61285711806</v>
      </c>
      <c r="B4" s="30" t="s">
        <v>188</v>
      </c>
      <c r="C4" s="30" t="s">
        <v>190</v>
      </c>
      <c r="D4" s="30" t="s">
        <v>193</v>
      </c>
      <c r="E4" s="30" t="s">
        <v>194</v>
      </c>
      <c r="F4" s="30" t="s">
        <v>195</v>
      </c>
      <c r="G4" s="30" t="s">
        <v>23</v>
      </c>
      <c r="H4" s="30" t="s">
        <v>22</v>
      </c>
      <c r="I4" s="30">
        <v>9.08046364E9</v>
      </c>
      <c r="J4" s="30" t="s">
        <v>188</v>
      </c>
      <c r="K4" s="30" t="s">
        <v>202</v>
      </c>
      <c r="L4" s="30" t="s">
        <v>205</v>
      </c>
      <c r="M4" s="30" t="s">
        <v>23</v>
      </c>
      <c r="N4" s="30" t="s">
        <v>22</v>
      </c>
      <c r="O4" s="30" t="s">
        <v>209</v>
      </c>
      <c r="P4" s="30" t="s">
        <v>212</v>
      </c>
      <c r="Q4" s="30" t="s">
        <v>23</v>
      </c>
      <c r="R4" s="30" t="s">
        <v>22</v>
      </c>
      <c r="S4" s="30" t="s">
        <v>216</v>
      </c>
      <c r="T4" s="30" t="s">
        <v>220</v>
      </c>
      <c r="U4" s="30" t="s">
        <v>23</v>
      </c>
      <c r="V4" s="30" t="s">
        <v>22</v>
      </c>
      <c r="W4" s="30" t="s">
        <v>224</v>
      </c>
      <c r="X4" s="30" t="s">
        <v>226</v>
      </c>
      <c r="Y4" s="30" t="s">
        <v>23</v>
      </c>
      <c r="Z4" s="30" t="s">
        <v>94</v>
      </c>
      <c r="AA4" s="30" t="s">
        <v>230</v>
      </c>
      <c r="AB4" s="30" t="s">
        <v>231</v>
      </c>
      <c r="AC4" s="30" t="s">
        <v>23</v>
      </c>
      <c r="AD4" s="30" t="s">
        <v>94</v>
      </c>
      <c r="AE4" s="30" t="s">
        <v>134</v>
      </c>
    </row>
    <row r="5" ht="22.5" customHeight="1">
      <c r="A5" s="28">
        <v>46238.616327905096</v>
      </c>
      <c r="B5" s="30" t="s">
        <v>239</v>
      </c>
      <c r="C5" s="30" t="s">
        <v>240</v>
      </c>
      <c r="D5" s="30" t="s">
        <v>193</v>
      </c>
      <c r="E5" s="30" t="s">
        <v>245</v>
      </c>
      <c r="F5" s="30" t="s">
        <v>246</v>
      </c>
      <c r="G5" s="30" t="s">
        <v>23</v>
      </c>
      <c r="H5" s="30" t="s">
        <v>78</v>
      </c>
      <c r="I5" s="30">
        <v>8.270404017E9</v>
      </c>
      <c r="J5" s="30" t="s">
        <v>239</v>
      </c>
      <c r="K5" s="30" t="s">
        <v>252</v>
      </c>
      <c r="L5" s="30" t="s">
        <v>253</v>
      </c>
      <c r="M5" s="30" t="s">
        <v>23</v>
      </c>
      <c r="N5" s="30" t="s">
        <v>78</v>
      </c>
      <c r="O5" s="30" t="s">
        <v>256</v>
      </c>
      <c r="P5" s="30" t="s">
        <v>260</v>
      </c>
      <c r="Q5" s="30" t="s">
        <v>23</v>
      </c>
      <c r="R5" s="30" t="s">
        <v>78</v>
      </c>
      <c r="S5" s="30" t="s">
        <v>264</v>
      </c>
      <c r="T5" s="30" t="s">
        <v>265</v>
      </c>
      <c r="U5" s="30" t="s">
        <v>23</v>
      </c>
      <c r="V5" s="30" t="s">
        <v>78</v>
      </c>
      <c r="W5" s="30" t="s">
        <v>270</v>
      </c>
      <c r="X5" s="30" t="s">
        <v>271</v>
      </c>
      <c r="Y5" s="30" t="s">
        <v>23</v>
      </c>
      <c r="Z5" s="30" t="s">
        <v>78</v>
      </c>
      <c r="AA5" s="30" t="s">
        <v>275</v>
      </c>
      <c r="AB5" s="30" t="s">
        <v>276</v>
      </c>
      <c r="AC5" s="30" t="s">
        <v>23</v>
      </c>
      <c r="AD5" s="30" t="s">
        <v>22</v>
      </c>
      <c r="AE5" s="30" t="s">
        <v>134</v>
      </c>
    </row>
    <row r="6" ht="22.5" customHeight="1">
      <c r="A6" s="28">
        <v>46238.92691971065</v>
      </c>
      <c r="B6" s="30" t="s">
        <v>283</v>
      </c>
      <c r="C6" s="30" t="s">
        <v>284</v>
      </c>
      <c r="D6" s="30" t="s">
        <v>82</v>
      </c>
      <c r="E6" s="30" t="s">
        <v>287</v>
      </c>
      <c r="F6" s="30" t="s">
        <v>289</v>
      </c>
      <c r="G6" s="30" t="s">
        <v>31</v>
      </c>
      <c r="H6" s="30" t="s">
        <v>69</v>
      </c>
      <c r="I6" s="30">
        <v>8.0727421E9</v>
      </c>
      <c r="J6" s="30" t="s">
        <v>295</v>
      </c>
      <c r="K6" s="30" t="s">
        <v>296</v>
      </c>
      <c r="L6" s="30" t="s">
        <v>297</v>
      </c>
      <c r="M6" s="30" t="s">
        <v>31</v>
      </c>
      <c r="N6" s="30" t="s">
        <v>126</v>
      </c>
      <c r="O6" s="30" t="s">
        <v>298</v>
      </c>
      <c r="P6" s="30" t="s">
        <v>301</v>
      </c>
      <c r="Q6" s="30" t="s">
        <v>31</v>
      </c>
      <c r="R6" s="30" t="s">
        <v>126</v>
      </c>
      <c r="S6" s="30" t="s">
        <v>304</v>
      </c>
      <c r="T6" s="30" t="s">
        <v>305</v>
      </c>
      <c r="U6" s="30" t="s">
        <v>31</v>
      </c>
      <c r="V6" s="30" t="s">
        <v>126</v>
      </c>
      <c r="W6" s="30" t="s">
        <v>307</v>
      </c>
      <c r="X6" s="30" t="s">
        <v>311</v>
      </c>
      <c r="Y6" s="30" t="s">
        <v>31</v>
      </c>
      <c r="Z6" s="30" t="s">
        <v>313</v>
      </c>
      <c r="AA6" s="30" t="s">
        <v>316</v>
      </c>
      <c r="AB6" s="30" t="s">
        <v>317</v>
      </c>
      <c r="AC6" s="30" t="s">
        <v>31</v>
      </c>
      <c r="AD6" s="30" t="s">
        <v>94</v>
      </c>
      <c r="AE6" s="30" t="s">
        <v>134</v>
      </c>
    </row>
    <row r="7" ht="22.5" customHeight="1">
      <c r="A7" s="28">
        <v>46239.389865300924</v>
      </c>
      <c r="B7" s="30" t="s">
        <v>321</v>
      </c>
      <c r="C7" s="30" t="s">
        <v>324</v>
      </c>
      <c r="D7" s="30" t="s">
        <v>193</v>
      </c>
      <c r="E7" s="30" t="s">
        <v>326</v>
      </c>
      <c r="F7" s="30" t="s">
        <v>329</v>
      </c>
      <c r="G7" s="30" t="s">
        <v>23</v>
      </c>
      <c r="H7" s="30" t="s">
        <v>94</v>
      </c>
      <c r="I7" s="30">
        <v>9.159156405E9</v>
      </c>
      <c r="J7" s="30" t="s">
        <v>321</v>
      </c>
      <c r="K7" s="30" t="s">
        <v>334</v>
      </c>
      <c r="L7" s="30" t="s">
        <v>336</v>
      </c>
      <c r="M7" s="30" t="s">
        <v>23</v>
      </c>
      <c r="N7" s="30" t="s">
        <v>94</v>
      </c>
      <c r="O7" s="30" t="s">
        <v>339</v>
      </c>
      <c r="P7" s="30" t="s">
        <v>342</v>
      </c>
      <c r="Q7" s="30" t="s">
        <v>23</v>
      </c>
      <c r="R7" s="30" t="s">
        <v>94</v>
      </c>
      <c r="S7" s="30" t="s">
        <v>346</v>
      </c>
      <c r="T7" s="30" t="s">
        <v>347</v>
      </c>
      <c r="U7" s="30" t="s">
        <v>31</v>
      </c>
      <c r="V7" s="30" t="s">
        <v>94</v>
      </c>
      <c r="W7" s="30" t="s">
        <v>351</v>
      </c>
      <c r="X7" s="30" t="s">
        <v>354</v>
      </c>
      <c r="Y7" s="30" t="s">
        <v>31</v>
      </c>
      <c r="Z7" s="30" t="s">
        <v>357</v>
      </c>
      <c r="AA7" s="30" t="s">
        <v>358</v>
      </c>
      <c r="AB7" s="30" t="s">
        <v>359</v>
      </c>
      <c r="AC7" s="30" t="s">
        <v>31</v>
      </c>
      <c r="AD7" s="30" t="s">
        <v>78</v>
      </c>
      <c r="AE7" s="30" t="s">
        <v>134</v>
      </c>
    </row>
    <row r="8" ht="22.5" customHeight="1">
      <c r="A8" s="28">
        <v>46239.56692869213</v>
      </c>
      <c r="B8" s="30" t="s">
        <v>364</v>
      </c>
      <c r="C8" s="30" t="s">
        <v>367</v>
      </c>
      <c r="D8" s="30" t="s">
        <v>193</v>
      </c>
      <c r="E8" s="30" t="s">
        <v>369</v>
      </c>
      <c r="F8" s="30" t="s">
        <v>370</v>
      </c>
      <c r="G8" s="30" t="s">
        <v>89</v>
      </c>
      <c r="H8" s="30" t="s">
        <v>78</v>
      </c>
      <c r="I8" s="30">
        <v>9.003467635E9</v>
      </c>
      <c r="J8" s="30" t="s">
        <v>364</v>
      </c>
      <c r="K8" s="30" t="s">
        <v>378</v>
      </c>
      <c r="L8" s="30" t="s">
        <v>379</v>
      </c>
      <c r="M8" s="30" t="s">
        <v>89</v>
      </c>
      <c r="N8" s="30" t="s">
        <v>78</v>
      </c>
      <c r="O8" s="30" t="s">
        <v>382</v>
      </c>
      <c r="P8" s="30" t="s">
        <v>383</v>
      </c>
      <c r="Q8" s="30" t="s">
        <v>89</v>
      </c>
      <c r="R8" s="30" t="s">
        <v>22</v>
      </c>
      <c r="S8" s="30" t="s">
        <v>384</v>
      </c>
      <c r="T8" s="30" t="s">
        <v>386</v>
      </c>
      <c r="U8" s="30" t="s">
        <v>89</v>
      </c>
      <c r="V8" s="30" t="s">
        <v>78</v>
      </c>
      <c r="W8" s="30" t="s">
        <v>387</v>
      </c>
      <c r="X8" s="30" t="s">
        <v>388</v>
      </c>
      <c r="Y8" s="30" t="s">
        <v>89</v>
      </c>
      <c r="Z8" s="30" t="s">
        <v>69</v>
      </c>
      <c r="AA8" s="30" t="s">
        <v>389</v>
      </c>
      <c r="AB8" s="30" t="s">
        <v>390</v>
      </c>
      <c r="AC8" s="30" t="s">
        <v>89</v>
      </c>
      <c r="AD8" s="30" t="s">
        <v>22</v>
      </c>
      <c r="AE8" s="30" t="s">
        <v>134</v>
      </c>
    </row>
    <row r="9" ht="22.5" customHeight="1">
      <c r="A9" s="28">
        <v>46239.61729357639</v>
      </c>
      <c r="B9" s="30" t="s">
        <v>391</v>
      </c>
      <c r="C9" s="30" t="s">
        <v>132</v>
      </c>
      <c r="D9" s="30" t="s">
        <v>193</v>
      </c>
      <c r="E9" s="30" t="s">
        <v>392</v>
      </c>
      <c r="F9" s="30" t="s">
        <v>133</v>
      </c>
      <c r="G9" s="30" t="s">
        <v>31</v>
      </c>
      <c r="H9" s="30" t="s">
        <v>94</v>
      </c>
      <c r="I9" s="30">
        <v>7.873737353E9</v>
      </c>
      <c r="J9" s="30" t="s">
        <v>391</v>
      </c>
      <c r="K9" s="30" t="s">
        <v>393</v>
      </c>
      <c r="L9" s="30" t="s">
        <v>394</v>
      </c>
      <c r="M9" s="30" t="s">
        <v>31</v>
      </c>
      <c r="N9" s="30" t="s">
        <v>94</v>
      </c>
      <c r="O9" s="30" t="s">
        <v>395</v>
      </c>
      <c r="P9" s="30" t="s">
        <v>396</v>
      </c>
      <c r="Q9" s="30" t="s">
        <v>31</v>
      </c>
      <c r="R9" s="30" t="s">
        <v>94</v>
      </c>
      <c r="S9" s="30" t="s">
        <v>397</v>
      </c>
      <c r="T9" s="30" t="s">
        <v>398</v>
      </c>
      <c r="U9" s="30" t="s">
        <v>31</v>
      </c>
      <c r="V9" s="30" t="s">
        <v>94</v>
      </c>
      <c r="W9" s="30" t="s">
        <v>399</v>
      </c>
      <c r="X9" s="30" t="s">
        <v>401</v>
      </c>
      <c r="Y9" s="30" t="s">
        <v>31</v>
      </c>
      <c r="Z9" s="30" t="s">
        <v>94</v>
      </c>
      <c r="AA9" s="30" t="s">
        <v>402</v>
      </c>
      <c r="AB9" s="30" t="s">
        <v>403</v>
      </c>
      <c r="AC9" s="30" t="s">
        <v>31</v>
      </c>
      <c r="AD9" s="30" t="s">
        <v>94</v>
      </c>
      <c r="AE9" s="30" t="s">
        <v>134</v>
      </c>
    </row>
    <row r="10" ht="22.5" customHeight="1">
      <c r="A10" s="28">
        <v>46239.62752268519</v>
      </c>
      <c r="B10" s="30" t="s">
        <v>405</v>
      </c>
      <c r="C10" s="30" t="s">
        <v>406</v>
      </c>
      <c r="D10" s="30" t="s">
        <v>193</v>
      </c>
      <c r="E10" s="30" t="s">
        <v>407</v>
      </c>
      <c r="F10" s="30" t="s">
        <v>409</v>
      </c>
      <c r="G10" s="30" t="s">
        <v>31</v>
      </c>
      <c r="H10" s="30" t="s">
        <v>78</v>
      </c>
      <c r="I10" s="30">
        <v>6.369201441E9</v>
      </c>
      <c r="J10" s="30" t="s">
        <v>405</v>
      </c>
      <c r="K10" s="30" t="s">
        <v>410</v>
      </c>
      <c r="L10" s="30" t="s">
        <v>411</v>
      </c>
      <c r="M10" s="30" t="s">
        <v>31</v>
      </c>
      <c r="N10" s="30" t="s">
        <v>78</v>
      </c>
      <c r="O10" s="30" t="s">
        <v>412</v>
      </c>
      <c r="P10" s="30" t="s">
        <v>413</v>
      </c>
      <c r="Q10" s="30" t="s">
        <v>31</v>
      </c>
      <c r="R10" s="30" t="s">
        <v>78</v>
      </c>
      <c r="S10" s="30" t="s">
        <v>414</v>
      </c>
      <c r="T10" s="30" t="s">
        <v>415</v>
      </c>
      <c r="U10" s="30" t="s">
        <v>31</v>
      </c>
      <c r="V10" s="30" t="s">
        <v>78</v>
      </c>
      <c r="W10" s="30" t="s">
        <v>416</v>
      </c>
      <c r="X10" s="30" t="s">
        <v>417</v>
      </c>
      <c r="Y10" s="30" t="s">
        <v>31</v>
      </c>
      <c r="Z10" s="30" t="s">
        <v>126</v>
      </c>
      <c r="AA10" s="30" t="s">
        <v>418</v>
      </c>
      <c r="AB10" s="30" t="s">
        <v>419</v>
      </c>
      <c r="AC10" s="30" t="s">
        <v>31</v>
      </c>
      <c r="AD10" s="30" t="s">
        <v>126</v>
      </c>
      <c r="AE10" s="30" t="s">
        <v>134</v>
      </c>
    </row>
    <row r="11" ht="22.5" customHeight="1">
      <c r="A11" s="28">
        <v>46239.63245502315</v>
      </c>
      <c r="B11" s="30" t="s">
        <v>420</v>
      </c>
      <c r="C11" s="30" t="s">
        <v>421</v>
      </c>
      <c r="D11" s="30" t="s">
        <v>82</v>
      </c>
      <c r="E11" s="30" t="s">
        <v>422</v>
      </c>
      <c r="F11" s="30" t="s">
        <v>423</v>
      </c>
      <c r="G11" s="30" t="s">
        <v>31</v>
      </c>
      <c r="H11" s="30" t="s">
        <v>94</v>
      </c>
      <c r="I11" s="30" t="s">
        <v>424</v>
      </c>
      <c r="J11" s="30" t="s">
        <v>426</v>
      </c>
      <c r="K11" s="30" t="s">
        <v>427</v>
      </c>
      <c r="L11" s="30" t="s">
        <v>428</v>
      </c>
      <c r="M11" s="30" t="s">
        <v>31</v>
      </c>
      <c r="N11" s="30" t="s">
        <v>94</v>
      </c>
      <c r="O11" s="30" t="s">
        <v>429</v>
      </c>
      <c r="P11" s="30" t="s">
        <v>430</v>
      </c>
      <c r="Q11" s="30" t="s">
        <v>31</v>
      </c>
      <c r="R11" s="30" t="s">
        <v>22</v>
      </c>
      <c r="S11" s="30" t="s">
        <v>431</v>
      </c>
      <c r="T11" s="30" t="s">
        <v>432</v>
      </c>
      <c r="U11" s="30" t="s">
        <v>31</v>
      </c>
      <c r="V11" s="30" t="s">
        <v>22</v>
      </c>
      <c r="W11" s="30" t="s">
        <v>433</v>
      </c>
      <c r="X11" s="30" t="s">
        <v>434</v>
      </c>
      <c r="Y11" s="30" t="s">
        <v>31</v>
      </c>
      <c r="Z11" s="30" t="s">
        <v>22</v>
      </c>
      <c r="AA11" s="30" t="s">
        <v>435</v>
      </c>
      <c r="AB11" s="30" t="s">
        <v>436</v>
      </c>
      <c r="AC11" s="30" t="s">
        <v>31</v>
      </c>
      <c r="AD11" s="30" t="s">
        <v>219</v>
      </c>
      <c r="AE11" s="30" t="s">
        <v>134</v>
      </c>
    </row>
    <row r="12" ht="22.5" customHeight="1">
      <c r="A12" s="28">
        <v>46239.650776712966</v>
      </c>
      <c r="B12" s="30" t="s">
        <v>437</v>
      </c>
      <c r="C12" s="30" t="s">
        <v>136</v>
      </c>
      <c r="D12" s="30" t="s">
        <v>193</v>
      </c>
      <c r="E12" s="30" t="s">
        <v>438</v>
      </c>
      <c r="F12" s="30" t="s">
        <v>137</v>
      </c>
      <c r="G12" s="30" t="s">
        <v>31</v>
      </c>
      <c r="H12" s="30" t="s">
        <v>94</v>
      </c>
      <c r="I12" s="30">
        <v>8.680008969E9</v>
      </c>
      <c r="J12" s="30" t="s">
        <v>439</v>
      </c>
      <c r="K12" s="30" t="s">
        <v>440</v>
      </c>
      <c r="L12" s="30" t="s">
        <v>441</v>
      </c>
      <c r="M12" s="30" t="s">
        <v>31</v>
      </c>
      <c r="N12" s="30" t="s">
        <v>94</v>
      </c>
      <c r="O12" s="30" t="s">
        <v>442</v>
      </c>
      <c r="P12" s="30" t="s">
        <v>443</v>
      </c>
      <c r="Q12" s="30" t="s">
        <v>31</v>
      </c>
      <c r="R12" s="30" t="s">
        <v>94</v>
      </c>
      <c r="S12" s="30" t="s">
        <v>444</v>
      </c>
      <c r="T12" s="30" t="s">
        <v>445</v>
      </c>
      <c r="U12" s="30" t="s">
        <v>31</v>
      </c>
      <c r="V12" s="30" t="s">
        <v>94</v>
      </c>
      <c r="W12" s="30" t="s">
        <v>446</v>
      </c>
      <c r="X12" s="30" t="s">
        <v>447</v>
      </c>
      <c r="Y12" s="30" t="s">
        <v>31</v>
      </c>
      <c r="Z12" s="30" t="s">
        <v>94</v>
      </c>
      <c r="AA12" s="30" t="s">
        <v>448</v>
      </c>
      <c r="AB12" s="30" t="s">
        <v>449</v>
      </c>
      <c r="AC12" s="30" t="s">
        <v>31</v>
      </c>
      <c r="AD12" s="30" t="s">
        <v>126</v>
      </c>
      <c r="AE12" s="30" t="s">
        <v>134</v>
      </c>
    </row>
    <row r="13" ht="22.5" customHeight="1">
      <c r="A13" s="28">
        <v>46239.70915949074</v>
      </c>
      <c r="B13" s="30" t="s">
        <v>450</v>
      </c>
      <c r="C13" s="30" t="s">
        <v>451</v>
      </c>
      <c r="D13" s="30" t="s">
        <v>193</v>
      </c>
      <c r="E13" s="30" t="s">
        <v>452</v>
      </c>
      <c r="F13" s="30" t="s">
        <v>453</v>
      </c>
      <c r="G13" s="30" t="s">
        <v>31</v>
      </c>
      <c r="H13" s="30" t="s">
        <v>22</v>
      </c>
      <c r="I13" s="30">
        <v>9.025116542E9</v>
      </c>
      <c r="J13" s="30" t="s">
        <v>450</v>
      </c>
      <c r="K13" s="30" t="s">
        <v>454</v>
      </c>
      <c r="L13" s="30" t="s">
        <v>455</v>
      </c>
      <c r="M13" s="30" t="s">
        <v>31</v>
      </c>
      <c r="N13" s="30" t="s">
        <v>22</v>
      </c>
      <c r="O13" s="30" t="s">
        <v>456</v>
      </c>
      <c r="P13" s="30" t="s">
        <v>457</v>
      </c>
      <c r="Q13" s="30" t="s">
        <v>31</v>
      </c>
      <c r="R13" s="30" t="s">
        <v>22</v>
      </c>
      <c r="S13" s="30" t="s">
        <v>458</v>
      </c>
      <c r="T13" s="30" t="s">
        <v>459</v>
      </c>
      <c r="U13" s="30" t="s">
        <v>31</v>
      </c>
      <c r="V13" s="30" t="s">
        <v>126</v>
      </c>
      <c r="W13" s="30" t="s">
        <v>460</v>
      </c>
      <c r="X13" s="30" t="s">
        <v>461</v>
      </c>
      <c r="Y13" s="30" t="s">
        <v>31</v>
      </c>
      <c r="Z13" s="30" t="s">
        <v>126</v>
      </c>
      <c r="AA13" s="30" t="s">
        <v>462</v>
      </c>
      <c r="AB13" s="30" t="s">
        <v>463</v>
      </c>
      <c r="AC13" s="30" t="s">
        <v>31</v>
      </c>
      <c r="AD13" s="30" t="s">
        <v>69</v>
      </c>
      <c r="AE13" s="30" t="s">
        <v>134</v>
      </c>
    </row>
    <row r="14" ht="22.5" customHeight="1">
      <c r="A14" s="28">
        <v>46239.72089824074</v>
      </c>
      <c r="B14" s="30" t="s">
        <v>465</v>
      </c>
      <c r="C14" s="30" t="s">
        <v>466</v>
      </c>
      <c r="D14" s="30" t="s">
        <v>82</v>
      </c>
      <c r="E14" s="30" t="s">
        <v>467</v>
      </c>
      <c r="F14" s="30" t="s">
        <v>468</v>
      </c>
      <c r="G14" s="30" t="s">
        <v>31</v>
      </c>
      <c r="H14" s="30" t="s">
        <v>178</v>
      </c>
      <c r="I14" s="30" t="s">
        <v>469</v>
      </c>
      <c r="J14" s="30" t="s">
        <v>470</v>
      </c>
      <c r="K14" s="30" t="s">
        <v>471</v>
      </c>
      <c r="L14" s="30" t="s">
        <v>472</v>
      </c>
      <c r="M14" s="30" t="s">
        <v>31</v>
      </c>
      <c r="N14" s="30" t="s">
        <v>178</v>
      </c>
      <c r="O14" s="30" t="s">
        <v>473</v>
      </c>
      <c r="P14" s="30" t="s">
        <v>474</v>
      </c>
      <c r="Q14" s="30" t="s">
        <v>31</v>
      </c>
      <c r="R14" s="30" t="s">
        <v>178</v>
      </c>
      <c r="S14" s="30" t="s">
        <v>475</v>
      </c>
      <c r="T14" s="30" t="s">
        <v>476</v>
      </c>
      <c r="U14" s="30" t="s">
        <v>31</v>
      </c>
      <c r="V14" s="30" t="s">
        <v>94</v>
      </c>
      <c r="W14" s="30" t="s">
        <v>479</v>
      </c>
      <c r="X14" s="30" t="s">
        <v>480</v>
      </c>
      <c r="Y14" s="30" t="s">
        <v>31</v>
      </c>
      <c r="Z14" s="30" t="s">
        <v>94</v>
      </c>
      <c r="AA14" s="30" t="s">
        <v>481</v>
      </c>
      <c r="AB14" s="30" t="s">
        <v>482</v>
      </c>
      <c r="AC14" s="30" t="s">
        <v>31</v>
      </c>
      <c r="AD14" s="30" t="s">
        <v>22</v>
      </c>
      <c r="AE14" s="30" t="s">
        <v>134</v>
      </c>
    </row>
    <row r="15" ht="22.5" customHeight="1">
      <c r="A15" s="28">
        <v>46239.72513196759</v>
      </c>
      <c r="B15" s="30" t="s">
        <v>483</v>
      </c>
      <c r="C15" s="30" t="s">
        <v>484</v>
      </c>
      <c r="D15" s="30" t="s">
        <v>82</v>
      </c>
      <c r="E15" s="30" t="s">
        <v>485</v>
      </c>
      <c r="F15" s="30" t="s">
        <v>294</v>
      </c>
      <c r="G15" s="30" t="s">
        <v>31</v>
      </c>
      <c r="H15" s="30" t="s">
        <v>126</v>
      </c>
      <c r="I15" s="30">
        <v>8.667452377E9</v>
      </c>
      <c r="J15" s="30" t="s">
        <v>483</v>
      </c>
      <c r="K15" s="30" t="s">
        <v>486</v>
      </c>
      <c r="L15" s="30" t="s">
        <v>487</v>
      </c>
      <c r="M15" s="30" t="s">
        <v>31</v>
      </c>
      <c r="N15" s="30" t="s">
        <v>126</v>
      </c>
      <c r="O15" s="30" t="s">
        <v>488</v>
      </c>
      <c r="P15" s="30" t="s">
        <v>489</v>
      </c>
      <c r="Q15" s="30" t="s">
        <v>31</v>
      </c>
      <c r="R15" s="30" t="s">
        <v>126</v>
      </c>
      <c r="S15" s="30" t="s">
        <v>490</v>
      </c>
      <c r="T15" s="30" t="s">
        <v>491</v>
      </c>
      <c r="U15" s="30" t="s">
        <v>31</v>
      </c>
      <c r="V15" s="30" t="s">
        <v>126</v>
      </c>
      <c r="W15" s="30" t="s">
        <v>492</v>
      </c>
      <c r="X15" s="30" t="s">
        <v>493</v>
      </c>
      <c r="Y15" s="30" t="s">
        <v>31</v>
      </c>
      <c r="Z15" s="30" t="s">
        <v>126</v>
      </c>
      <c r="AA15" s="30" t="s">
        <v>494</v>
      </c>
      <c r="AB15" s="30" t="s">
        <v>495</v>
      </c>
      <c r="AC15" s="30" t="s">
        <v>31</v>
      </c>
      <c r="AD15" s="30" t="s">
        <v>178</v>
      </c>
      <c r="AE15" s="30" t="s">
        <v>134</v>
      </c>
    </row>
    <row r="16" ht="22.5" customHeight="1">
      <c r="A16" s="28">
        <v>46239.75108793982</v>
      </c>
      <c r="B16" s="30" t="s">
        <v>496</v>
      </c>
      <c r="C16" s="30" t="s">
        <v>497</v>
      </c>
      <c r="D16" s="30" t="s">
        <v>193</v>
      </c>
      <c r="E16" s="30" t="s">
        <v>498</v>
      </c>
      <c r="F16" s="30" t="s">
        <v>499</v>
      </c>
      <c r="G16" s="30" t="s">
        <v>31</v>
      </c>
      <c r="H16" s="30" t="s">
        <v>22</v>
      </c>
      <c r="I16" s="30">
        <v>9.345054448E9</v>
      </c>
      <c r="J16" s="30" t="s">
        <v>501</v>
      </c>
      <c r="K16" s="30" t="s">
        <v>502</v>
      </c>
      <c r="L16" s="30" t="s">
        <v>503</v>
      </c>
      <c r="M16" s="30" t="s">
        <v>31</v>
      </c>
      <c r="N16" s="30" t="s">
        <v>22</v>
      </c>
      <c r="O16" s="30" t="s">
        <v>504</v>
      </c>
      <c r="P16" s="30" t="s">
        <v>505</v>
      </c>
      <c r="Q16" s="30" t="s">
        <v>31</v>
      </c>
      <c r="R16" s="30" t="s">
        <v>22</v>
      </c>
      <c r="S16" s="30" t="s">
        <v>506</v>
      </c>
      <c r="T16" s="30" t="s">
        <v>507</v>
      </c>
      <c r="U16" s="30" t="s">
        <v>31</v>
      </c>
      <c r="V16" s="30" t="s">
        <v>22</v>
      </c>
      <c r="W16" s="30" t="s">
        <v>508</v>
      </c>
      <c r="X16" s="30" t="s">
        <v>509</v>
      </c>
      <c r="Y16" s="30" t="s">
        <v>31</v>
      </c>
      <c r="Z16" s="30" t="s">
        <v>69</v>
      </c>
      <c r="AA16" s="30" t="s">
        <v>510</v>
      </c>
      <c r="AB16" s="30" t="s">
        <v>511</v>
      </c>
      <c r="AC16" s="30" t="s">
        <v>31</v>
      </c>
      <c r="AD16" s="30" t="s">
        <v>69</v>
      </c>
      <c r="AE16" s="30" t="s">
        <v>134</v>
      </c>
    </row>
    <row r="17" ht="22.5" customHeight="1">
      <c r="A17" s="28">
        <v>46239.76618280093</v>
      </c>
      <c r="B17" s="30" t="s">
        <v>512</v>
      </c>
      <c r="C17" s="30" t="s">
        <v>513</v>
      </c>
      <c r="D17" s="30" t="s">
        <v>193</v>
      </c>
      <c r="E17" s="30" t="s">
        <v>514</v>
      </c>
      <c r="F17" s="30" t="s">
        <v>515</v>
      </c>
      <c r="G17" s="30" t="s">
        <v>23</v>
      </c>
      <c r="H17" s="30" t="s">
        <v>280</v>
      </c>
      <c r="I17" s="30">
        <v>9.786881013E9</v>
      </c>
      <c r="J17" s="30" t="s">
        <v>516</v>
      </c>
      <c r="K17" s="30" t="s">
        <v>517</v>
      </c>
      <c r="L17" s="30" t="s">
        <v>518</v>
      </c>
      <c r="M17" s="30" t="s">
        <v>23</v>
      </c>
      <c r="N17" s="30" t="s">
        <v>280</v>
      </c>
      <c r="O17" s="30" t="s">
        <v>519</v>
      </c>
      <c r="P17" s="30" t="s">
        <v>520</v>
      </c>
      <c r="Q17" s="30" t="s">
        <v>23</v>
      </c>
      <c r="R17" s="30" t="s">
        <v>280</v>
      </c>
      <c r="S17" s="30" t="s">
        <v>521</v>
      </c>
      <c r="T17" s="30" t="s">
        <v>522</v>
      </c>
      <c r="U17" s="30" t="s">
        <v>23</v>
      </c>
      <c r="V17" s="30" t="s">
        <v>94</v>
      </c>
      <c r="W17" s="30" t="s">
        <v>523</v>
      </c>
      <c r="X17" s="30" t="s">
        <v>524</v>
      </c>
      <c r="Y17" s="30" t="s">
        <v>23</v>
      </c>
      <c r="Z17" s="30" t="s">
        <v>280</v>
      </c>
      <c r="AA17" s="30" t="s">
        <v>525</v>
      </c>
      <c r="AB17" s="30" t="s">
        <v>526</v>
      </c>
      <c r="AC17" s="30" t="s">
        <v>23</v>
      </c>
      <c r="AD17" s="30" t="s">
        <v>178</v>
      </c>
      <c r="AE17" s="30" t="s">
        <v>134</v>
      </c>
    </row>
    <row r="18" ht="22.5" customHeight="1">
      <c r="A18" s="28">
        <v>46239.795503483794</v>
      </c>
      <c r="B18" s="30" t="s">
        <v>527</v>
      </c>
      <c r="C18" s="30" t="s">
        <v>528</v>
      </c>
      <c r="D18" s="30" t="s">
        <v>82</v>
      </c>
      <c r="E18" s="30" t="s">
        <v>529</v>
      </c>
      <c r="F18" s="30" t="s">
        <v>530</v>
      </c>
      <c r="G18" s="30" t="s">
        <v>31</v>
      </c>
      <c r="H18" s="30" t="s">
        <v>22</v>
      </c>
      <c r="I18" s="30">
        <v>8.754696646E9</v>
      </c>
      <c r="J18" s="30" t="s">
        <v>527</v>
      </c>
      <c r="K18" s="30" t="s">
        <v>531</v>
      </c>
      <c r="L18" s="30" t="s">
        <v>532</v>
      </c>
      <c r="M18" s="30" t="s">
        <v>31</v>
      </c>
      <c r="N18" s="30" t="s">
        <v>22</v>
      </c>
      <c r="O18" s="30" t="s">
        <v>533</v>
      </c>
      <c r="P18" s="30" t="s">
        <v>534</v>
      </c>
      <c r="Q18" s="30" t="s">
        <v>31</v>
      </c>
      <c r="R18" s="30" t="s">
        <v>22</v>
      </c>
      <c r="S18" s="30" t="s">
        <v>535</v>
      </c>
      <c r="T18" s="30" t="s">
        <v>536</v>
      </c>
      <c r="U18" s="30" t="s">
        <v>31</v>
      </c>
      <c r="V18" s="30" t="s">
        <v>126</v>
      </c>
      <c r="W18" s="30" t="s">
        <v>537</v>
      </c>
      <c r="X18" s="30" t="s">
        <v>538</v>
      </c>
      <c r="Y18" s="30" t="s">
        <v>31</v>
      </c>
      <c r="Z18" s="30" t="s">
        <v>22</v>
      </c>
      <c r="AA18" s="30" t="s">
        <v>539</v>
      </c>
      <c r="AB18" s="30" t="s">
        <v>540</v>
      </c>
      <c r="AC18" s="30" t="s">
        <v>31</v>
      </c>
      <c r="AD18" s="30" t="s">
        <v>22</v>
      </c>
      <c r="AE18" s="30" t="s">
        <v>134</v>
      </c>
    </row>
    <row r="19" ht="22.5" customHeight="1">
      <c r="A19" s="28">
        <v>46239.797534756945</v>
      </c>
      <c r="B19" s="30" t="s">
        <v>541</v>
      </c>
      <c r="C19" s="30" t="s">
        <v>542</v>
      </c>
      <c r="D19" s="30" t="s">
        <v>82</v>
      </c>
      <c r="E19" s="30" t="s">
        <v>543</v>
      </c>
      <c r="F19" s="30" t="s">
        <v>544</v>
      </c>
      <c r="G19" s="30" t="s">
        <v>31</v>
      </c>
      <c r="H19" s="30" t="s">
        <v>94</v>
      </c>
      <c r="I19" s="30">
        <v>8.870936233E9</v>
      </c>
      <c r="J19" s="30" t="s">
        <v>541</v>
      </c>
      <c r="K19" s="30" t="s">
        <v>545</v>
      </c>
      <c r="L19" s="30" t="s">
        <v>546</v>
      </c>
      <c r="M19" s="30" t="s">
        <v>31</v>
      </c>
      <c r="N19" s="30" t="s">
        <v>94</v>
      </c>
      <c r="O19" s="30" t="s">
        <v>547</v>
      </c>
      <c r="P19" s="30" t="s">
        <v>548</v>
      </c>
      <c r="Q19" s="30" t="s">
        <v>31</v>
      </c>
      <c r="R19" s="30" t="s">
        <v>94</v>
      </c>
      <c r="S19" s="30" t="s">
        <v>549</v>
      </c>
      <c r="T19" s="30" t="s">
        <v>550</v>
      </c>
      <c r="U19" s="30" t="s">
        <v>31</v>
      </c>
      <c r="V19" s="30" t="s">
        <v>94</v>
      </c>
      <c r="W19" s="30" t="s">
        <v>551</v>
      </c>
      <c r="X19" s="30" t="s">
        <v>552</v>
      </c>
      <c r="Y19" s="30" t="s">
        <v>31</v>
      </c>
      <c r="Z19" s="30" t="s">
        <v>78</v>
      </c>
      <c r="AA19" s="30" t="s">
        <v>553</v>
      </c>
      <c r="AB19" s="30" t="s">
        <v>554</v>
      </c>
      <c r="AC19" s="30" t="s">
        <v>31</v>
      </c>
      <c r="AD19" s="30" t="s">
        <v>280</v>
      </c>
      <c r="AE19" s="30" t="s">
        <v>134</v>
      </c>
    </row>
    <row r="20" ht="22.5" customHeight="1">
      <c r="A20" s="28">
        <v>46239.82425440972</v>
      </c>
      <c r="B20" s="30" t="s">
        <v>555</v>
      </c>
      <c r="C20" s="30" t="s">
        <v>83</v>
      </c>
      <c r="D20" s="30" t="s">
        <v>193</v>
      </c>
      <c r="E20" s="30" t="s">
        <v>556</v>
      </c>
      <c r="F20" s="30" t="s">
        <v>84</v>
      </c>
      <c r="G20" s="30" t="s">
        <v>23</v>
      </c>
      <c r="H20" s="30" t="s">
        <v>78</v>
      </c>
      <c r="I20" s="30">
        <v>6.374788857E9</v>
      </c>
      <c r="J20" s="30" t="s">
        <v>557</v>
      </c>
      <c r="K20" s="30" t="s">
        <v>558</v>
      </c>
      <c r="L20" s="30" t="s">
        <v>559</v>
      </c>
      <c r="M20" s="30" t="s">
        <v>23</v>
      </c>
      <c r="N20" s="30" t="s">
        <v>78</v>
      </c>
      <c r="O20" s="30" t="s">
        <v>560</v>
      </c>
      <c r="P20" s="30" t="s">
        <v>561</v>
      </c>
      <c r="Q20" s="30" t="s">
        <v>23</v>
      </c>
      <c r="R20" s="30" t="s">
        <v>78</v>
      </c>
      <c r="S20" s="30" t="s">
        <v>562</v>
      </c>
      <c r="T20" s="30" t="s">
        <v>563</v>
      </c>
      <c r="U20" s="30" t="s">
        <v>23</v>
      </c>
      <c r="V20" s="30" t="s">
        <v>78</v>
      </c>
      <c r="W20" s="30" t="s">
        <v>564</v>
      </c>
      <c r="X20" s="30" t="s">
        <v>565</v>
      </c>
      <c r="Y20" s="30" t="s">
        <v>23</v>
      </c>
      <c r="Z20" s="30" t="s">
        <v>78</v>
      </c>
      <c r="AA20" s="30" t="s">
        <v>566</v>
      </c>
      <c r="AB20" s="30" t="s">
        <v>567</v>
      </c>
      <c r="AC20" s="30" t="s">
        <v>23</v>
      </c>
      <c r="AD20" s="30" t="s">
        <v>219</v>
      </c>
      <c r="AE20" s="30" t="s">
        <v>134</v>
      </c>
    </row>
    <row r="21" ht="22.5" customHeight="1">
      <c r="A21" s="28">
        <v>46239.864665138884</v>
      </c>
      <c r="B21" s="30" t="s">
        <v>568</v>
      </c>
      <c r="C21" s="30" t="s">
        <v>142</v>
      </c>
      <c r="D21" s="30" t="s">
        <v>193</v>
      </c>
      <c r="E21" s="30" t="s">
        <v>569</v>
      </c>
      <c r="F21" s="30" t="s">
        <v>143</v>
      </c>
      <c r="G21" s="30" t="s">
        <v>31</v>
      </c>
      <c r="H21" s="30" t="s">
        <v>94</v>
      </c>
      <c r="I21" s="30">
        <v>9.384481724E9</v>
      </c>
      <c r="J21" s="30" t="s">
        <v>568</v>
      </c>
      <c r="K21" s="30" t="s">
        <v>570</v>
      </c>
      <c r="L21" s="30" t="s">
        <v>571</v>
      </c>
      <c r="M21" s="30" t="s">
        <v>31</v>
      </c>
      <c r="N21" s="30" t="s">
        <v>94</v>
      </c>
      <c r="O21" s="30" t="s">
        <v>572</v>
      </c>
      <c r="P21" s="30" t="s">
        <v>573</v>
      </c>
      <c r="Q21" s="30" t="s">
        <v>31</v>
      </c>
      <c r="R21" s="30" t="s">
        <v>94</v>
      </c>
      <c r="S21" s="30" t="s">
        <v>574</v>
      </c>
      <c r="T21" s="30" t="s">
        <v>575</v>
      </c>
      <c r="U21" s="30" t="s">
        <v>31</v>
      </c>
      <c r="V21" s="30" t="s">
        <v>94</v>
      </c>
      <c r="W21" s="30" t="s">
        <v>576</v>
      </c>
      <c r="X21" s="30" t="s">
        <v>577</v>
      </c>
      <c r="Y21" s="30" t="s">
        <v>89</v>
      </c>
      <c r="Z21" s="30" t="s">
        <v>94</v>
      </c>
      <c r="AA21" s="30" t="s">
        <v>578</v>
      </c>
      <c r="AB21" s="30" t="s">
        <v>579</v>
      </c>
      <c r="AC21" s="30" t="s">
        <v>31</v>
      </c>
      <c r="AD21" s="30" t="s">
        <v>219</v>
      </c>
      <c r="AE21" s="30" t="s">
        <v>134</v>
      </c>
    </row>
    <row r="22" ht="22.5" customHeight="1">
      <c r="A22" s="28">
        <v>46239.880161203706</v>
      </c>
      <c r="B22" s="30" t="s">
        <v>580</v>
      </c>
      <c r="C22" s="30" t="s">
        <v>581</v>
      </c>
      <c r="D22" s="30" t="s">
        <v>82</v>
      </c>
      <c r="E22" s="30" t="s">
        <v>582</v>
      </c>
      <c r="F22" s="30" t="s">
        <v>583</v>
      </c>
      <c r="G22" s="30" t="s">
        <v>23</v>
      </c>
      <c r="H22" s="30" t="s">
        <v>178</v>
      </c>
      <c r="I22" s="30">
        <v>8.870904088E9</v>
      </c>
      <c r="J22" s="30" t="s">
        <v>580</v>
      </c>
      <c r="K22" s="30" t="s">
        <v>584</v>
      </c>
      <c r="L22" s="30" t="s">
        <v>585</v>
      </c>
      <c r="M22" s="30" t="s">
        <v>23</v>
      </c>
      <c r="N22" s="30" t="s">
        <v>94</v>
      </c>
      <c r="O22" s="30" t="s">
        <v>586</v>
      </c>
      <c r="P22" s="30" t="s">
        <v>587</v>
      </c>
      <c r="Q22" s="30" t="s">
        <v>23</v>
      </c>
      <c r="R22" s="30" t="s">
        <v>243</v>
      </c>
      <c r="S22" s="30" t="s">
        <v>588</v>
      </c>
      <c r="T22" s="30" t="s">
        <v>589</v>
      </c>
      <c r="U22" s="30" t="s">
        <v>23</v>
      </c>
      <c r="V22" s="30" t="s">
        <v>178</v>
      </c>
      <c r="W22" s="30" t="s">
        <v>590</v>
      </c>
      <c r="X22" s="30" t="s">
        <v>591</v>
      </c>
      <c r="Y22" s="30" t="s">
        <v>23</v>
      </c>
      <c r="Z22" s="30" t="s">
        <v>178</v>
      </c>
      <c r="AA22" s="30" t="s">
        <v>592</v>
      </c>
      <c r="AB22" s="30" t="s">
        <v>593</v>
      </c>
      <c r="AC22" s="30" t="s">
        <v>31</v>
      </c>
      <c r="AD22" s="30" t="s">
        <v>178</v>
      </c>
      <c r="AE22" s="30" t="s">
        <v>134</v>
      </c>
    </row>
    <row r="23" ht="22.5" customHeight="1">
      <c r="A23" s="28">
        <v>46239.89616767361</v>
      </c>
      <c r="B23" s="30" t="s">
        <v>594</v>
      </c>
      <c r="C23" s="30" t="s">
        <v>595</v>
      </c>
      <c r="D23" s="30" t="s">
        <v>82</v>
      </c>
      <c r="E23" s="30" t="s">
        <v>596</v>
      </c>
      <c r="F23" s="30" t="s">
        <v>597</v>
      </c>
      <c r="G23" s="30" t="s">
        <v>31</v>
      </c>
      <c r="H23" s="30" t="s">
        <v>126</v>
      </c>
      <c r="I23" s="30">
        <v>8.610081832E9</v>
      </c>
      <c r="J23" s="30" t="s">
        <v>594</v>
      </c>
      <c r="K23" s="30" t="s">
        <v>598</v>
      </c>
      <c r="L23" s="30" t="s">
        <v>599</v>
      </c>
      <c r="M23" s="30" t="s">
        <v>31</v>
      </c>
      <c r="N23" s="30" t="s">
        <v>126</v>
      </c>
      <c r="O23" s="30" t="s">
        <v>600</v>
      </c>
      <c r="P23" s="30" t="s">
        <v>601</v>
      </c>
      <c r="Q23" s="30" t="s">
        <v>31</v>
      </c>
      <c r="R23" s="30" t="s">
        <v>126</v>
      </c>
      <c r="S23" s="30" t="s">
        <v>602</v>
      </c>
      <c r="T23" s="30" t="s">
        <v>603</v>
      </c>
      <c r="U23" s="30" t="s">
        <v>31</v>
      </c>
      <c r="V23" s="30" t="s">
        <v>78</v>
      </c>
      <c r="W23" s="30" t="s">
        <v>604</v>
      </c>
      <c r="X23" s="30" t="s">
        <v>605</v>
      </c>
      <c r="Y23" s="30" t="s">
        <v>31</v>
      </c>
      <c r="Z23" s="30" t="s">
        <v>78</v>
      </c>
      <c r="AA23" s="30" t="s">
        <v>606</v>
      </c>
      <c r="AB23" s="30" t="s">
        <v>607</v>
      </c>
      <c r="AC23" s="30" t="s">
        <v>31</v>
      </c>
      <c r="AD23" s="30" t="s">
        <v>22</v>
      </c>
      <c r="AE23" s="30" t="s">
        <v>134</v>
      </c>
    </row>
    <row r="24" ht="22.5" customHeight="1">
      <c r="A24" s="28">
        <v>46239.90268215278</v>
      </c>
      <c r="B24" s="30" t="s">
        <v>608</v>
      </c>
      <c r="C24" s="30" t="s">
        <v>609</v>
      </c>
      <c r="D24" s="30" t="s">
        <v>82</v>
      </c>
      <c r="E24" s="30" t="s">
        <v>610</v>
      </c>
      <c r="F24" s="30" t="s">
        <v>611</v>
      </c>
      <c r="G24" s="30" t="s">
        <v>31</v>
      </c>
      <c r="H24" s="30" t="s">
        <v>126</v>
      </c>
      <c r="I24" s="30">
        <v>8.248439655E9</v>
      </c>
      <c r="J24" s="30" t="s">
        <v>608</v>
      </c>
      <c r="K24" s="30" t="s">
        <v>612</v>
      </c>
      <c r="L24" s="30" t="s">
        <v>613</v>
      </c>
      <c r="M24" s="30" t="s">
        <v>31</v>
      </c>
      <c r="N24" s="30" t="s">
        <v>280</v>
      </c>
      <c r="O24" s="30" t="s">
        <v>614</v>
      </c>
      <c r="P24" s="30" t="s">
        <v>615</v>
      </c>
      <c r="Q24" s="30" t="s">
        <v>31</v>
      </c>
      <c r="R24" s="30" t="s">
        <v>69</v>
      </c>
      <c r="S24" s="30" t="s">
        <v>616</v>
      </c>
      <c r="T24" s="30" t="s">
        <v>617</v>
      </c>
      <c r="U24" s="30" t="s">
        <v>31</v>
      </c>
      <c r="V24" s="30" t="s">
        <v>126</v>
      </c>
      <c r="W24" s="30" t="s">
        <v>618</v>
      </c>
      <c r="X24" s="30" t="s">
        <v>619</v>
      </c>
      <c r="Y24" s="30" t="s">
        <v>31</v>
      </c>
      <c r="Z24" s="30" t="s">
        <v>126</v>
      </c>
      <c r="AA24" s="30" t="s">
        <v>620</v>
      </c>
      <c r="AB24" s="30" t="s">
        <v>621</v>
      </c>
      <c r="AC24" s="30" t="s">
        <v>31</v>
      </c>
      <c r="AD24" s="30" t="s">
        <v>126</v>
      </c>
      <c r="AE24" s="30" t="s">
        <v>134</v>
      </c>
    </row>
    <row r="25" ht="22.5" customHeight="1">
      <c r="A25" s="28">
        <v>46239.911839872686</v>
      </c>
      <c r="B25" s="30" t="s">
        <v>622</v>
      </c>
      <c r="C25" s="30" t="s">
        <v>623</v>
      </c>
      <c r="D25" s="30" t="s">
        <v>82</v>
      </c>
      <c r="E25" s="30" t="s">
        <v>624</v>
      </c>
      <c r="F25" s="30" t="s">
        <v>625</v>
      </c>
      <c r="G25" s="30" t="s">
        <v>31</v>
      </c>
      <c r="H25" s="30" t="s">
        <v>126</v>
      </c>
      <c r="I25" s="30">
        <v>8.1488933E9</v>
      </c>
      <c r="J25" s="30" t="s">
        <v>626</v>
      </c>
      <c r="K25" s="30" t="s">
        <v>627</v>
      </c>
      <c r="L25" s="30" t="s">
        <v>628</v>
      </c>
      <c r="M25" s="30" t="s">
        <v>31</v>
      </c>
      <c r="N25" s="30" t="s">
        <v>126</v>
      </c>
      <c r="O25" s="30" t="s">
        <v>629</v>
      </c>
      <c r="P25" s="30" t="s">
        <v>630</v>
      </c>
      <c r="Q25" s="30" t="s">
        <v>31</v>
      </c>
      <c r="R25" s="30" t="s">
        <v>126</v>
      </c>
      <c r="S25" s="30" t="s">
        <v>631</v>
      </c>
      <c r="T25" s="30" t="s">
        <v>632</v>
      </c>
      <c r="U25" s="30" t="s">
        <v>31</v>
      </c>
      <c r="V25" s="30" t="s">
        <v>219</v>
      </c>
      <c r="W25" s="30" t="s">
        <v>633</v>
      </c>
      <c r="X25" s="30" t="s">
        <v>634</v>
      </c>
      <c r="Y25" s="30" t="s">
        <v>31</v>
      </c>
      <c r="Z25" s="30" t="s">
        <v>94</v>
      </c>
      <c r="AA25" s="30" t="s">
        <v>635</v>
      </c>
      <c r="AB25" s="30" t="s">
        <v>636</v>
      </c>
      <c r="AC25" s="30" t="s">
        <v>31</v>
      </c>
      <c r="AD25" s="30" t="s">
        <v>22</v>
      </c>
      <c r="AE25" s="30" t="s">
        <v>134</v>
      </c>
    </row>
    <row r="26" ht="22.5" customHeight="1">
      <c r="A26" s="28">
        <v>46239.91731621527</v>
      </c>
      <c r="B26" s="30" t="s">
        <v>637</v>
      </c>
      <c r="C26" s="30" t="s">
        <v>638</v>
      </c>
      <c r="D26" s="30" t="s">
        <v>193</v>
      </c>
      <c r="E26" s="30" t="s">
        <v>639</v>
      </c>
      <c r="F26" s="30" t="s">
        <v>640</v>
      </c>
      <c r="G26" s="30" t="s">
        <v>23</v>
      </c>
      <c r="H26" s="30" t="s">
        <v>94</v>
      </c>
      <c r="I26" s="30" t="s">
        <v>641</v>
      </c>
      <c r="J26" s="30" t="s">
        <v>642</v>
      </c>
      <c r="K26" s="30" t="s">
        <v>643</v>
      </c>
      <c r="L26" s="30" t="s">
        <v>644</v>
      </c>
      <c r="M26" s="30" t="s">
        <v>23</v>
      </c>
      <c r="N26" s="30" t="s">
        <v>94</v>
      </c>
      <c r="O26" s="30" t="s">
        <v>645</v>
      </c>
      <c r="P26" s="30" t="s">
        <v>646</v>
      </c>
      <c r="Q26" s="30" t="s">
        <v>23</v>
      </c>
      <c r="R26" s="30" t="s">
        <v>94</v>
      </c>
      <c r="S26" s="30" t="s">
        <v>647</v>
      </c>
      <c r="T26" s="30" t="s">
        <v>648</v>
      </c>
      <c r="U26" s="30" t="s">
        <v>23</v>
      </c>
      <c r="V26" s="30" t="s">
        <v>69</v>
      </c>
      <c r="W26" s="30" t="s">
        <v>649</v>
      </c>
      <c r="X26" s="30" t="s">
        <v>650</v>
      </c>
      <c r="Y26" s="30" t="s">
        <v>23</v>
      </c>
      <c r="Z26" s="30" t="s">
        <v>69</v>
      </c>
      <c r="AA26" s="30" t="s">
        <v>651</v>
      </c>
      <c r="AB26" s="30" t="s">
        <v>652</v>
      </c>
      <c r="AC26" s="30" t="s">
        <v>23</v>
      </c>
      <c r="AD26" s="30" t="s">
        <v>94</v>
      </c>
      <c r="AE26" s="30" t="s">
        <v>134</v>
      </c>
    </row>
    <row r="27" ht="22.5" customHeight="1">
      <c r="A27" s="28">
        <v>46239.92369484954</v>
      </c>
      <c r="B27" s="30" t="s">
        <v>653</v>
      </c>
      <c r="C27" s="30" t="s">
        <v>66</v>
      </c>
      <c r="D27" s="30" t="s">
        <v>193</v>
      </c>
      <c r="E27" s="30" t="s">
        <v>654</v>
      </c>
      <c r="F27" s="30" t="s">
        <v>68</v>
      </c>
      <c r="G27" s="30" t="s">
        <v>23</v>
      </c>
      <c r="H27" s="30" t="s">
        <v>69</v>
      </c>
      <c r="I27" s="30">
        <v>7.871736516E9</v>
      </c>
      <c r="J27" s="30" t="s">
        <v>653</v>
      </c>
      <c r="K27" s="30" t="s">
        <v>655</v>
      </c>
      <c r="L27" s="30" t="s">
        <v>656</v>
      </c>
      <c r="M27" s="30" t="s">
        <v>23</v>
      </c>
      <c r="N27" s="30" t="s">
        <v>69</v>
      </c>
      <c r="O27" s="30" t="s">
        <v>657</v>
      </c>
      <c r="P27" s="30" t="s">
        <v>658</v>
      </c>
      <c r="Q27" s="30" t="s">
        <v>23</v>
      </c>
      <c r="R27" s="30" t="s">
        <v>69</v>
      </c>
      <c r="S27" s="30" t="s">
        <v>659</v>
      </c>
      <c r="T27" s="30" t="s">
        <v>660</v>
      </c>
      <c r="U27" s="30" t="s">
        <v>23</v>
      </c>
      <c r="V27" s="30" t="s">
        <v>69</v>
      </c>
      <c r="W27" s="30" t="s">
        <v>661</v>
      </c>
      <c r="X27" s="30" t="s">
        <v>662</v>
      </c>
      <c r="Y27" s="30" t="s">
        <v>23</v>
      </c>
      <c r="Z27" s="30" t="s">
        <v>94</v>
      </c>
      <c r="AA27" s="30" t="s">
        <v>663</v>
      </c>
      <c r="AB27" s="30" t="s">
        <v>664</v>
      </c>
      <c r="AC27" s="30" t="s">
        <v>23</v>
      </c>
      <c r="AD27" s="30" t="s">
        <v>78</v>
      </c>
      <c r="AE27" s="30" t="s">
        <v>134</v>
      </c>
    </row>
    <row r="28" ht="22.5" customHeight="1">
      <c r="A28" s="28">
        <v>46239.93229300926</v>
      </c>
      <c r="B28" s="30" t="s">
        <v>665</v>
      </c>
      <c r="C28" s="30" t="s">
        <v>666</v>
      </c>
      <c r="D28" s="30" t="s">
        <v>193</v>
      </c>
      <c r="E28" s="30" t="s">
        <v>667</v>
      </c>
      <c r="F28" s="30" t="s">
        <v>668</v>
      </c>
      <c r="G28" s="30" t="s">
        <v>23</v>
      </c>
      <c r="H28" s="30" t="s">
        <v>94</v>
      </c>
      <c r="I28" s="30">
        <v>9.344945496E9</v>
      </c>
      <c r="J28" s="30" t="s">
        <v>669</v>
      </c>
      <c r="K28" s="30" t="s">
        <v>670</v>
      </c>
      <c r="L28" s="30" t="s">
        <v>671</v>
      </c>
      <c r="M28" s="30" t="s">
        <v>23</v>
      </c>
      <c r="N28" s="30" t="s">
        <v>94</v>
      </c>
      <c r="O28" s="30" t="s">
        <v>672</v>
      </c>
      <c r="P28" s="30" t="s">
        <v>673</v>
      </c>
      <c r="Q28" s="30" t="s">
        <v>23</v>
      </c>
      <c r="R28" s="30" t="s">
        <v>94</v>
      </c>
      <c r="S28" s="30" t="s">
        <v>674</v>
      </c>
      <c r="T28" s="30" t="s">
        <v>675</v>
      </c>
      <c r="U28" s="30" t="s">
        <v>23</v>
      </c>
      <c r="V28" s="30" t="s">
        <v>94</v>
      </c>
      <c r="W28" s="30" t="s">
        <v>676</v>
      </c>
      <c r="X28" s="30" t="s">
        <v>677</v>
      </c>
      <c r="Y28" s="30" t="s">
        <v>23</v>
      </c>
      <c r="Z28" s="30" t="s">
        <v>94</v>
      </c>
      <c r="AA28" s="30" t="s">
        <v>678</v>
      </c>
      <c r="AB28" s="30" t="s">
        <v>679</v>
      </c>
      <c r="AC28" s="30" t="s">
        <v>23</v>
      </c>
      <c r="AD28" s="30" t="s">
        <v>94</v>
      </c>
      <c r="AE28" s="30" t="s">
        <v>134</v>
      </c>
    </row>
    <row r="29" ht="22.5" customHeight="1">
      <c r="A29" s="28">
        <v>46239.933000613426</v>
      </c>
      <c r="B29" s="30" t="s">
        <v>680</v>
      </c>
      <c r="C29" s="30" t="s">
        <v>88</v>
      </c>
      <c r="D29" s="30" t="s">
        <v>193</v>
      </c>
      <c r="E29" s="30" t="s">
        <v>681</v>
      </c>
      <c r="F29" s="30" t="s">
        <v>90</v>
      </c>
      <c r="G29" s="30" t="s">
        <v>31</v>
      </c>
      <c r="H29" s="30" t="s">
        <v>78</v>
      </c>
      <c r="I29" s="30" t="s">
        <v>91</v>
      </c>
      <c r="J29" s="30" t="s">
        <v>682</v>
      </c>
      <c r="K29" s="30" t="s">
        <v>683</v>
      </c>
      <c r="L29" s="30" t="s">
        <v>684</v>
      </c>
      <c r="M29" s="30" t="s">
        <v>31</v>
      </c>
      <c r="N29" s="30" t="s">
        <v>78</v>
      </c>
      <c r="O29" s="30" t="s">
        <v>685</v>
      </c>
      <c r="P29" s="30" t="s">
        <v>686</v>
      </c>
      <c r="Q29" s="30" t="s">
        <v>31</v>
      </c>
      <c r="R29" s="30" t="s">
        <v>78</v>
      </c>
      <c r="S29" s="30" t="s">
        <v>687</v>
      </c>
      <c r="T29" s="30" t="s">
        <v>688</v>
      </c>
      <c r="U29" s="30" t="s">
        <v>31</v>
      </c>
      <c r="V29" s="30" t="s">
        <v>219</v>
      </c>
      <c r="W29" s="30" t="s">
        <v>689</v>
      </c>
      <c r="X29" s="30" t="s">
        <v>690</v>
      </c>
      <c r="Y29" s="30" t="s">
        <v>31</v>
      </c>
      <c r="Z29" s="30" t="s">
        <v>219</v>
      </c>
      <c r="AA29" s="30" t="s">
        <v>691</v>
      </c>
      <c r="AB29" s="30" t="s">
        <v>692</v>
      </c>
      <c r="AC29" s="30" t="s">
        <v>31</v>
      </c>
      <c r="AD29" s="30" t="s">
        <v>219</v>
      </c>
      <c r="AE29" s="30" t="s">
        <v>134</v>
      </c>
    </row>
    <row r="30" ht="22.5" customHeight="1">
      <c r="A30" s="28">
        <v>46239.93929721064</v>
      </c>
      <c r="B30" s="30" t="s">
        <v>693</v>
      </c>
      <c r="C30" s="30" t="s">
        <v>694</v>
      </c>
      <c r="D30" s="30" t="s">
        <v>82</v>
      </c>
      <c r="E30" s="30" t="s">
        <v>695</v>
      </c>
      <c r="F30" s="30" t="s">
        <v>694</v>
      </c>
      <c r="G30" s="30" t="s">
        <v>31</v>
      </c>
      <c r="H30" s="30" t="s">
        <v>126</v>
      </c>
      <c r="I30" s="30">
        <v>7.550248012E9</v>
      </c>
      <c r="J30" s="30" t="s">
        <v>693</v>
      </c>
      <c r="K30" s="30" t="s">
        <v>696</v>
      </c>
      <c r="L30" s="30" t="s">
        <v>697</v>
      </c>
      <c r="M30" s="30" t="s">
        <v>31</v>
      </c>
      <c r="N30" s="30" t="s">
        <v>126</v>
      </c>
      <c r="O30" s="30" t="s">
        <v>698</v>
      </c>
      <c r="P30" s="30" t="s">
        <v>699</v>
      </c>
      <c r="Q30" s="30" t="s">
        <v>31</v>
      </c>
      <c r="R30" s="30" t="s">
        <v>126</v>
      </c>
      <c r="S30" s="30" t="s">
        <v>700</v>
      </c>
      <c r="T30" s="30" t="s">
        <v>701</v>
      </c>
      <c r="U30" s="30" t="s">
        <v>31</v>
      </c>
      <c r="V30" s="30" t="s">
        <v>126</v>
      </c>
      <c r="W30" s="30" t="s">
        <v>702</v>
      </c>
      <c r="X30" s="30" t="s">
        <v>703</v>
      </c>
      <c r="Y30" s="30" t="s">
        <v>31</v>
      </c>
      <c r="Z30" s="30" t="s">
        <v>22</v>
      </c>
      <c r="AA30" s="30" t="s">
        <v>704</v>
      </c>
      <c r="AB30" s="30" t="s">
        <v>705</v>
      </c>
      <c r="AC30" s="30" t="s">
        <v>31</v>
      </c>
      <c r="AD30" s="30" t="s">
        <v>22</v>
      </c>
      <c r="AE30" s="30" t="s">
        <v>134</v>
      </c>
    </row>
    <row r="31" ht="22.5" customHeight="1">
      <c r="A31" s="28">
        <v>46239.94932111111</v>
      </c>
      <c r="B31" s="30" t="s">
        <v>706</v>
      </c>
      <c r="C31" s="30" t="s">
        <v>707</v>
      </c>
      <c r="D31" s="30" t="s">
        <v>82</v>
      </c>
      <c r="E31" s="30" t="s">
        <v>708</v>
      </c>
      <c r="F31" s="30" t="s">
        <v>707</v>
      </c>
      <c r="G31" s="30" t="s">
        <v>31</v>
      </c>
      <c r="H31" s="30" t="s">
        <v>126</v>
      </c>
      <c r="I31" s="30">
        <v>7.871391706E9</v>
      </c>
      <c r="J31" s="30" t="s">
        <v>706</v>
      </c>
      <c r="K31" s="30" t="s">
        <v>709</v>
      </c>
      <c r="L31" s="30" t="s">
        <v>710</v>
      </c>
      <c r="M31" s="30" t="s">
        <v>31</v>
      </c>
      <c r="N31" s="30" t="s">
        <v>126</v>
      </c>
      <c r="O31" s="30" t="s">
        <v>711</v>
      </c>
      <c r="P31" s="30" t="s">
        <v>712</v>
      </c>
      <c r="Q31" s="30" t="s">
        <v>31</v>
      </c>
      <c r="R31" s="30" t="s">
        <v>126</v>
      </c>
      <c r="S31" s="30" t="s">
        <v>713</v>
      </c>
      <c r="T31" s="30" t="s">
        <v>714</v>
      </c>
      <c r="U31" s="30" t="s">
        <v>31</v>
      </c>
      <c r="V31" s="30" t="s">
        <v>126</v>
      </c>
      <c r="W31" s="30" t="s">
        <v>715</v>
      </c>
      <c r="X31" s="30" t="s">
        <v>716</v>
      </c>
      <c r="Y31" s="30" t="s">
        <v>31</v>
      </c>
      <c r="Z31" s="30" t="s">
        <v>94</v>
      </c>
      <c r="AA31" s="30" t="s">
        <v>717</v>
      </c>
      <c r="AB31" s="30" t="s">
        <v>718</v>
      </c>
      <c r="AC31" s="30" t="s">
        <v>31</v>
      </c>
      <c r="AD31" s="30" t="s">
        <v>126</v>
      </c>
      <c r="AE31" s="30" t="s">
        <v>134</v>
      </c>
    </row>
    <row r="32" ht="22.5" customHeight="1">
      <c r="A32" s="28">
        <v>46239.94945164352</v>
      </c>
      <c r="B32" s="30" t="s">
        <v>719</v>
      </c>
      <c r="C32" s="30" t="s">
        <v>720</v>
      </c>
      <c r="D32" s="30" t="s">
        <v>193</v>
      </c>
      <c r="E32" s="30" t="s">
        <v>721</v>
      </c>
      <c r="F32" s="30" t="s">
        <v>722</v>
      </c>
      <c r="G32" s="30" t="s">
        <v>31</v>
      </c>
      <c r="H32" s="30" t="s">
        <v>94</v>
      </c>
      <c r="I32" s="30">
        <v>8.248914818E9</v>
      </c>
      <c r="J32" s="30" t="s">
        <v>723</v>
      </c>
      <c r="K32" s="30" t="s">
        <v>724</v>
      </c>
      <c r="L32" s="30" t="s">
        <v>725</v>
      </c>
      <c r="M32" s="30" t="s">
        <v>31</v>
      </c>
      <c r="N32" s="30" t="s">
        <v>94</v>
      </c>
      <c r="O32" s="30" t="s">
        <v>726</v>
      </c>
      <c r="P32" s="30" t="s">
        <v>727</v>
      </c>
      <c r="Q32" s="30" t="s">
        <v>31</v>
      </c>
      <c r="R32" s="30" t="s">
        <v>94</v>
      </c>
      <c r="S32" s="30" t="s">
        <v>728</v>
      </c>
      <c r="T32" s="30" t="s">
        <v>729</v>
      </c>
      <c r="U32" s="30" t="s">
        <v>31</v>
      </c>
      <c r="V32" s="30" t="s">
        <v>94</v>
      </c>
      <c r="W32" s="30" t="s">
        <v>730</v>
      </c>
      <c r="X32" s="30" t="s">
        <v>731</v>
      </c>
      <c r="Y32" s="30" t="s">
        <v>31</v>
      </c>
      <c r="Z32" s="30" t="s">
        <v>94</v>
      </c>
      <c r="AA32" s="30" t="s">
        <v>732</v>
      </c>
      <c r="AB32" s="30" t="s">
        <v>733</v>
      </c>
      <c r="AC32" s="30" t="s">
        <v>31</v>
      </c>
      <c r="AD32" s="30" t="s">
        <v>126</v>
      </c>
      <c r="AE32" s="30" t="s">
        <v>134</v>
      </c>
    </row>
    <row r="33" ht="22.5" customHeight="1">
      <c r="A33" s="28">
        <v>46239.96809015046</v>
      </c>
      <c r="B33" s="30" t="s">
        <v>734</v>
      </c>
      <c r="C33" s="30" t="s">
        <v>735</v>
      </c>
      <c r="D33" s="30" t="s">
        <v>82</v>
      </c>
      <c r="E33" s="30" t="s">
        <v>736</v>
      </c>
      <c r="F33" s="30" t="s">
        <v>737</v>
      </c>
      <c r="G33" s="30" t="s">
        <v>31</v>
      </c>
      <c r="H33" s="30" t="s">
        <v>126</v>
      </c>
      <c r="I33" s="30">
        <v>6.381417054E9</v>
      </c>
      <c r="J33" s="30" t="s">
        <v>734</v>
      </c>
      <c r="K33" s="30" t="s">
        <v>738</v>
      </c>
      <c r="L33" s="30" t="s">
        <v>739</v>
      </c>
      <c r="M33" s="30" t="s">
        <v>31</v>
      </c>
      <c r="N33" s="30" t="s">
        <v>126</v>
      </c>
      <c r="O33" s="30" t="s">
        <v>740</v>
      </c>
      <c r="P33" s="30" t="s">
        <v>741</v>
      </c>
      <c r="Q33" s="30" t="s">
        <v>31</v>
      </c>
      <c r="R33" s="30" t="s">
        <v>126</v>
      </c>
      <c r="S33" s="30" t="s">
        <v>742</v>
      </c>
      <c r="T33" s="30" t="s">
        <v>743</v>
      </c>
      <c r="U33" s="30" t="s">
        <v>31</v>
      </c>
      <c r="V33" s="30" t="s">
        <v>22</v>
      </c>
      <c r="W33" s="30" t="s">
        <v>744</v>
      </c>
      <c r="X33" s="30" t="s">
        <v>745</v>
      </c>
      <c r="Y33" s="30" t="s">
        <v>31</v>
      </c>
      <c r="Z33" s="30" t="s">
        <v>22</v>
      </c>
      <c r="AA33" s="30" t="s">
        <v>746</v>
      </c>
      <c r="AB33" s="30" t="s">
        <v>747</v>
      </c>
      <c r="AC33" s="30" t="s">
        <v>31</v>
      </c>
      <c r="AD33" s="30" t="s">
        <v>126</v>
      </c>
      <c r="AE33" s="30" t="s">
        <v>134</v>
      </c>
    </row>
    <row r="34" ht="22.5" customHeight="1">
      <c r="A34" s="28">
        <v>46239.96886940973</v>
      </c>
      <c r="B34" s="30" t="s">
        <v>748</v>
      </c>
      <c r="C34" s="30" t="s">
        <v>749</v>
      </c>
      <c r="D34" s="30" t="s">
        <v>193</v>
      </c>
      <c r="E34" s="30" t="s">
        <v>750</v>
      </c>
      <c r="F34" s="30" t="s">
        <v>751</v>
      </c>
      <c r="G34" s="30" t="s">
        <v>23</v>
      </c>
      <c r="H34" s="30" t="s">
        <v>94</v>
      </c>
      <c r="I34" s="30">
        <v>7.342718702E9</v>
      </c>
      <c r="J34" s="30" t="s">
        <v>748</v>
      </c>
      <c r="K34" s="30" t="s">
        <v>752</v>
      </c>
      <c r="L34" s="30" t="s">
        <v>753</v>
      </c>
      <c r="M34" s="30" t="s">
        <v>23</v>
      </c>
      <c r="N34" s="30" t="s">
        <v>94</v>
      </c>
      <c r="O34" s="30" t="s">
        <v>754</v>
      </c>
      <c r="P34" s="30" t="s">
        <v>755</v>
      </c>
      <c r="Q34" s="30" t="s">
        <v>23</v>
      </c>
      <c r="R34" s="30" t="s">
        <v>94</v>
      </c>
      <c r="S34" s="30" t="s">
        <v>756</v>
      </c>
      <c r="T34" s="30" t="s">
        <v>757</v>
      </c>
      <c r="U34" s="30" t="s">
        <v>23</v>
      </c>
      <c r="V34" s="30" t="s">
        <v>94</v>
      </c>
      <c r="W34" s="30" t="s">
        <v>758</v>
      </c>
      <c r="X34" s="30" t="s">
        <v>759</v>
      </c>
      <c r="Y34" s="30" t="s">
        <v>23</v>
      </c>
      <c r="Z34" s="30" t="s">
        <v>94</v>
      </c>
      <c r="AA34" s="30" t="s">
        <v>760</v>
      </c>
      <c r="AB34" s="30" t="s">
        <v>761</v>
      </c>
      <c r="AC34" s="30" t="s">
        <v>23</v>
      </c>
      <c r="AD34" s="30" t="s">
        <v>94</v>
      </c>
      <c r="AE34" s="30" t="s">
        <v>134</v>
      </c>
    </row>
    <row r="35" ht="22.5" customHeight="1">
      <c r="A35" s="28">
        <v>46239.98140804398</v>
      </c>
      <c r="B35" s="30" t="s">
        <v>762</v>
      </c>
      <c r="C35" s="30" t="s">
        <v>763</v>
      </c>
      <c r="D35" s="30" t="s">
        <v>82</v>
      </c>
      <c r="E35" s="30" t="s">
        <v>764</v>
      </c>
      <c r="F35" s="30" t="s">
        <v>765</v>
      </c>
      <c r="G35" s="30" t="s">
        <v>31</v>
      </c>
      <c r="H35" s="30" t="s">
        <v>126</v>
      </c>
      <c r="I35" s="30">
        <v>8.778893145E9</v>
      </c>
      <c r="J35" s="30" t="s">
        <v>766</v>
      </c>
      <c r="K35" s="30" t="s">
        <v>767</v>
      </c>
      <c r="L35" s="30" t="s">
        <v>768</v>
      </c>
      <c r="M35" s="30" t="s">
        <v>31</v>
      </c>
      <c r="N35" s="30" t="s">
        <v>126</v>
      </c>
      <c r="O35" s="30" t="s">
        <v>769</v>
      </c>
      <c r="P35" s="30" t="s">
        <v>770</v>
      </c>
      <c r="Q35" s="30" t="s">
        <v>31</v>
      </c>
      <c r="R35" s="30" t="s">
        <v>126</v>
      </c>
      <c r="S35" s="30" t="s">
        <v>771</v>
      </c>
      <c r="T35" s="30" t="s">
        <v>772</v>
      </c>
      <c r="U35" s="30" t="s">
        <v>31</v>
      </c>
      <c r="V35" s="30" t="s">
        <v>126</v>
      </c>
      <c r="W35" s="30" t="s">
        <v>773</v>
      </c>
      <c r="X35" s="30" t="s">
        <v>774</v>
      </c>
      <c r="Y35" s="30" t="s">
        <v>31</v>
      </c>
      <c r="Z35" s="30" t="s">
        <v>22</v>
      </c>
      <c r="AA35" s="30" t="s">
        <v>775</v>
      </c>
      <c r="AB35" s="30" t="s">
        <v>776</v>
      </c>
      <c r="AC35" s="30" t="s">
        <v>31</v>
      </c>
      <c r="AD35" s="30" t="s">
        <v>219</v>
      </c>
      <c r="AE35" s="30" t="s">
        <v>134</v>
      </c>
    </row>
    <row r="36" ht="22.5" customHeight="1">
      <c r="A36" s="28">
        <v>46239.98289864583</v>
      </c>
      <c r="B36" s="30" t="s">
        <v>777</v>
      </c>
      <c r="C36" s="30" t="s">
        <v>778</v>
      </c>
      <c r="D36" s="30" t="s">
        <v>82</v>
      </c>
      <c r="E36" s="30" t="s">
        <v>779</v>
      </c>
      <c r="F36" s="30" t="s">
        <v>778</v>
      </c>
      <c r="G36" s="30" t="s">
        <v>23</v>
      </c>
      <c r="H36" s="30" t="s">
        <v>126</v>
      </c>
      <c r="I36" s="30">
        <v>8.77860931E9</v>
      </c>
      <c r="J36" s="30" t="s">
        <v>777</v>
      </c>
      <c r="K36" s="30" t="s">
        <v>780</v>
      </c>
      <c r="L36" s="30" t="s">
        <v>781</v>
      </c>
      <c r="M36" s="30" t="s">
        <v>23</v>
      </c>
      <c r="N36" s="30" t="s">
        <v>126</v>
      </c>
      <c r="O36" s="30" t="s">
        <v>782</v>
      </c>
      <c r="P36" s="30" t="s">
        <v>783</v>
      </c>
      <c r="Q36" s="30" t="s">
        <v>23</v>
      </c>
      <c r="R36" s="30" t="s">
        <v>126</v>
      </c>
      <c r="S36" s="30" t="s">
        <v>784</v>
      </c>
      <c r="T36" s="30" t="s">
        <v>785</v>
      </c>
      <c r="U36" s="30" t="s">
        <v>23</v>
      </c>
      <c r="V36" s="30" t="s">
        <v>126</v>
      </c>
      <c r="W36" s="30" t="s">
        <v>786</v>
      </c>
      <c r="X36" s="30" t="s">
        <v>787</v>
      </c>
      <c r="Y36" s="30" t="s">
        <v>23</v>
      </c>
      <c r="Z36" s="30" t="s">
        <v>22</v>
      </c>
      <c r="AA36" s="30" t="s">
        <v>788</v>
      </c>
      <c r="AB36" s="30" t="s">
        <v>789</v>
      </c>
      <c r="AC36" s="30" t="s">
        <v>23</v>
      </c>
      <c r="AD36" s="30" t="s">
        <v>22</v>
      </c>
      <c r="AE36" s="30" t="s">
        <v>134</v>
      </c>
    </row>
    <row r="37" ht="22.5" customHeight="1">
      <c r="A37" s="28">
        <v>46240.358086631946</v>
      </c>
      <c r="B37" s="30" t="s">
        <v>790</v>
      </c>
      <c r="C37" s="30" t="s">
        <v>791</v>
      </c>
      <c r="D37" s="30" t="s">
        <v>193</v>
      </c>
      <c r="E37" s="30" t="s">
        <v>792</v>
      </c>
      <c r="F37" s="30" t="s">
        <v>793</v>
      </c>
      <c r="G37" s="30" t="s">
        <v>23</v>
      </c>
      <c r="H37" s="30" t="s">
        <v>22</v>
      </c>
      <c r="I37" s="30">
        <v>9.361006457E9</v>
      </c>
      <c r="J37" s="30" t="s">
        <v>794</v>
      </c>
      <c r="K37" s="30" t="s">
        <v>795</v>
      </c>
      <c r="L37" s="30" t="s">
        <v>796</v>
      </c>
      <c r="M37" s="30" t="s">
        <v>31</v>
      </c>
      <c r="N37" s="30" t="s">
        <v>22</v>
      </c>
      <c r="O37" s="30" t="s">
        <v>797</v>
      </c>
      <c r="P37" s="30" t="s">
        <v>798</v>
      </c>
      <c r="Q37" s="30" t="s">
        <v>31</v>
      </c>
      <c r="R37" s="30" t="s">
        <v>126</v>
      </c>
      <c r="S37" s="30" t="s">
        <v>799</v>
      </c>
      <c r="T37" s="30" t="s">
        <v>800</v>
      </c>
      <c r="U37" s="30" t="s">
        <v>23</v>
      </c>
      <c r="V37" s="30" t="s">
        <v>22</v>
      </c>
      <c r="W37" s="30" t="s">
        <v>801</v>
      </c>
      <c r="X37" s="30" t="s">
        <v>802</v>
      </c>
      <c r="Y37" s="30" t="s">
        <v>31</v>
      </c>
      <c r="Z37" s="30" t="s">
        <v>126</v>
      </c>
      <c r="AA37" s="30" t="s">
        <v>803</v>
      </c>
      <c r="AB37" s="30" t="s">
        <v>804</v>
      </c>
      <c r="AC37" s="30" t="s">
        <v>31</v>
      </c>
      <c r="AD37" s="30" t="s">
        <v>22</v>
      </c>
      <c r="AE37" s="30" t="s">
        <v>134</v>
      </c>
    </row>
    <row r="38" ht="22.5" customHeight="1">
      <c r="A38" s="28">
        <v>46240.39648628472</v>
      </c>
      <c r="B38" s="30" t="s">
        <v>805</v>
      </c>
      <c r="C38" s="30" t="s">
        <v>348</v>
      </c>
      <c r="D38" s="30" t="s">
        <v>193</v>
      </c>
      <c r="E38" s="30" t="s">
        <v>806</v>
      </c>
      <c r="F38" s="30" t="s">
        <v>349</v>
      </c>
      <c r="G38" s="30" t="s">
        <v>31</v>
      </c>
      <c r="H38" s="30" t="s">
        <v>280</v>
      </c>
      <c r="I38" s="30">
        <v>6.385343034E9</v>
      </c>
      <c r="J38" s="30" t="s">
        <v>805</v>
      </c>
      <c r="K38" s="30" t="s">
        <v>807</v>
      </c>
      <c r="L38" s="30" t="s">
        <v>808</v>
      </c>
      <c r="M38" s="30" t="s">
        <v>31</v>
      </c>
      <c r="N38" s="30" t="s">
        <v>219</v>
      </c>
      <c r="O38" s="30" t="s">
        <v>809</v>
      </c>
      <c r="P38" s="30" t="s">
        <v>810</v>
      </c>
      <c r="Q38" s="30" t="s">
        <v>31</v>
      </c>
      <c r="R38" s="30" t="s">
        <v>280</v>
      </c>
      <c r="S38" s="30" t="s">
        <v>811</v>
      </c>
      <c r="T38" s="30" t="s">
        <v>812</v>
      </c>
      <c r="U38" s="30" t="s">
        <v>31</v>
      </c>
      <c r="V38" s="30" t="s">
        <v>219</v>
      </c>
      <c r="W38" s="30" t="s">
        <v>813</v>
      </c>
      <c r="X38" s="30" t="s">
        <v>814</v>
      </c>
      <c r="Y38" s="30" t="s">
        <v>31</v>
      </c>
      <c r="Z38" s="30" t="s">
        <v>94</v>
      </c>
      <c r="AA38" s="30" t="s">
        <v>815</v>
      </c>
      <c r="AB38" s="30" t="s">
        <v>816</v>
      </c>
      <c r="AC38" s="30" t="s">
        <v>31</v>
      </c>
      <c r="AD38" s="30" t="s">
        <v>280</v>
      </c>
      <c r="AE38" s="30" t="s">
        <v>134</v>
      </c>
    </row>
    <row r="39" ht="22.5" customHeight="1">
      <c r="A39" s="28">
        <v>46240.401534062505</v>
      </c>
      <c r="B39" s="30" t="s">
        <v>817</v>
      </c>
      <c r="C39" s="30" t="s">
        <v>818</v>
      </c>
      <c r="D39" s="30" t="s">
        <v>193</v>
      </c>
      <c r="E39" s="30" t="s">
        <v>819</v>
      </c>
      <c r="F39" s="30" t="s">
        <v>353</v>
      </c>
      <c r="G39" s="30" t="s">
        <v>23</v>
      </c>
      <c r="H39" s="30" t="s">
        <v>280</v>
      </c>
      <c r="I39" s="30">
        <v>8.110875768E9</v>
      </c>
      <c r="J39" s="30" t="s">
        <v>820</v>
      </c>
      <c r="K39" s="30" t="s">
        <v>821</v>
      </c>
      <c r="L39" s="30" t="s">
        <v>822</v>
      </c>
      <c r="M39" s="30" t="s">
        <v>23</v>
      </c>
      <c r="N39" s="30" t="s">
        <v>280</v>
      </c>
      <c r="O39" s="30" t="s">
        <v>823</v>
      </c>
      <c r="P39" s="30" t="s">
        <v>824</v>
      </c>
      <c r="Q39" s="30" t="s">
        <v>23</v>
      </c>
      <c r="R39" s="30" t="s">
        <v>280</v>
      </c>
      <c r="S39" s="30" t="s">
        <v>825</v>
      </c>
      <c r="T39" s="30" t="s">
        <v>826</v>
      </c>
      <c r="U39" s="30" t="s">
        <v>23</v>
      </c>
      <c r="V39" s="30" t="s">
        <v>280</v>
      </c>
      <c r="W39" s="30" t="s">
        <v>827</v>
      </c>
      <c r="X39" s="30" t="s">
        <v>828</v>
      </c>
      <c r="Y39" s="30" t="s">
        <v>23</v>
      </c>
      <c r="Z39" s="30" t="s">
        <v>69</v>
      </c>
      <c r="AA39" s="30" t="s">
        <v>829</v>
      </c>
      <c r="AB39" s="30" t="s">
        <v>830</v>
      </c>
      <c r="AC39" s="30" t="s">
        <v>23</v>
      </c>
      <c r="AD39" s="30" t="s">
        <v>69</v>
      </c>
      <c r="AE39" s="30" t="s">
        <v>134</v>
      </c>
    </row>
    <row r="40" ht="22.5" customHeight="1">
      <c r="A40" s="28">
        <v>46240.40805814815</v>
      </c>
      <c r="B40" s="30" t="s">
        <v>831</v>
      </c>
      <c r="C40" s="30" t="s">
        <v>217</v>
      </c>
      <c r="D40" s="30" t="s">
        <v>193</v>
      </c>
      <c r="E40" s="30" t="s">
        <v>832</v>
      </c>
      <c r="F40" s="30" t="s">
        <v>218</v>
      </c>
      <c r="G40" s="30" t="s">
        <v>31</v>
      </c>
      <c r="H40" s="30" t="s">
        <v>219</v>
      </c>
      <c r="I40" s="30">
        <v>9.629815118E9</v>
      </c>
      <c r="J40" s="30" t="s">
        <v>831</v>
      </c>
      <c r="K40" s="30" t="s">
        <v>833</v>
      </c>
      <c r="L40" s="30" t="s">
        <v>834</v>
      </c>
      <c r="M40" s="30" t="s">
        <v>31</v>
      </c>
      <c r="N40" s="30" t="s">
        <v>219</v>
      </c>
      <c r="O40" s="30" t="s">
        <v>835</v>
      </c>
      <c r="P40" s="30" t="s">
        <v>836</v>
      </c>
      <c r="Q40" s="30" t="s">
        <v>31</v>
      </c>
      <c r="R40" s="30" t="s">
        <v>280</v>
      </c>
      <c r="S40" s="30" t="s">
        <v>837</v>
      </c>
      <c r="T40" s="30" t="s">
        <v>838</v>
      </c>
      <c r="U40" s="30" t="s">
        <v>31</v>
      </c>
      <c r="V40" s="30" t="s">
        <v>22</v>
      </c>
      <c r="W40" s="30" t="s">
        <v>839</v>
      </c>
      <c r="Y40" s="30" t="s">
        <v>31</v>
      </c>
      <c r="Z40" s="30" t="s">
        <v>243</v>
      </c>
      <c r="AA40" s="30" t="s">
        <v>840</v>
      </c>
      <c r="AB40" s="30" t="s">
        <v>841</v>
      </c>
      <c r="AC40" s="30" t="s">
        <v>31</v>
      </c>
      <c r="AD40" s="30" t="s">
        <v>280</v>
      </c>
      <c r="AE40" s="30" t="s">
        <v>134</v>
      </c>
    </row>
    <row r="41" ht="22.5" customHeight="1">
      <c r="A41" s="28">
        <v>46240.42893328704</v>
      </c>
      <c r="B41" s="30" t="s">
        <v>842</v>
      </c>
      <c r="C41" s="30" t="s">
        <v>843</v>
      </c>
      <c r="D41" s="30" t="s">
        <v>193</v>
      </c>
      <c r="E41" s="30" t="s">
        <v>844</v>
      </c>
      <c r="F41" s="30" t="s">
        <v>845</v>
      </c>
      <c r="G41" s="30" t="s">
        <v>31</v>
      </c>
      <c r="H41" s="30" t="s">
        <v>22</v>
      </c>
      <c r="I41" s="30" t="s">
        <v>846</v>
      </c>
      <c r="J41" s="30" t="s">
        <v>842</v>
      </c>
      <c r="K41" s="30" t="s">
        <v>847</v>
      </c>
      <c r="L41" s="30" t="s">
        <v>848</v>
      </c>
      <c r="M41" s="30" t="s">
        <v>31</v>
      </c>
      <c r="N41" s="30" t="s">
        <v>22</v>
      </c>
      <c r="O41" s="30" t="s">
        <v>849</v>
      </c>
      <c r="P41" s="30" t="s">
        <v>850</v>
      </c>
      <c r="Q41" s="30" t="s">
        <v>31</v>
      </c>
      <c r="R41" s="30" t="s">
        <v>22</v>
      </c>
      <c r="S41" s="30" t="s">
        <v>851</v>
      </c>
      <c r="T41" s="30" t="s">
        <v>852</v>
      </c>
      <c r="U41" s="30" t="s">
        <v>31</v>
      </c>
      <c r="V41" s="30" t="s">
        <v>126</v>
      </c>
      <c r="W41" s="30" t="s">
        <v>853</v>
      </c>
      <c r="X41" s="30" t="s">
        <v>854</v>
      </c>
      <c r="Y41" s="30" t="s">
        <v>31</v>
      </c>
      <c r="Z41" s="30" t="s">
        <v>126</v>
      </c>
      <c r="AA41" s="30" t="s">
        <v>855</v>
      </c>
      <c r="AB41" s="30" t="s">
        <v>856</v>
      </c>
      <c r="AC41" s="30" t="s">
        <v>31</v>
      </c>
      <c r="AD41" s="30" t="s">
        <v>126</v>
      </c>
      <c r="AE41" s="30" t="s">
        <v>134</v>
      </c>
    </row>
    <row r="42" ht="22.5" customHeight="1">
      <c r="A42" s="28">
        <v>46240.42922796296</v>
      </c>
      <c r="B42" s="30" t="s">
        <v>857</v>
      </c>
      <c r="C42" s="30" t="s">
        <v>146</v>
      </c>
      <c r="D42" s="30" t="s">
        <v>193</v>
      </c>
      <c r="E42" s="30" t="s">
        <v>858</v>
      </c>
      <c r="F42" s="30" t="s">
        <v>147</v>
      </c>
      <c r="G42" s="30" t="s">
        <v>31</v>
      </c>
      <c r="H42" s="30" t="s">
        <v>94</v>
      </c>
      <c r="I42" s="30">
        <v>9.486682048E9</v>
      </c>
      <c r="J42" s="30" t="s">
        <v>859</v>
      </c>
      <c r="K42" s="30" t="s">
        <v>860</v>
      </c>
      <c r="L42" s="30" t="s">
        <v>861</v>
      </c>
      <c r="M42" s="30" t="s">
        <v>31</v>
      </c>
      <c r="N42" s="30" t="s">
        <v>94</v>
      </c>
      <c r="O42" s="30" t="s">
        <v>862</v>
      </c>
      <c r="P42" s="30" t="s">
        <v>863</v>
      </c>
      <c r="Q42" s="30" t="s">
        <v>31</v>
      </c>
      <c r="R42" s="30" t="s">
        <v>94</v>
      </c>
      <c r="S42" s="30" t="s">
        <v>864</v>
      </c>
      <c r="T42" s="30" t="s">
        <v>865</v>
      </c>
      <c r="U42" s="30" t="s">
        <v>31</v>
      </c>
      <c r="V42" s="30" t="s">
        <v>94</v>
      </c>
      <c r="W42" s="30" t="s">
        <v>866</v>
      </c>
      <c r="X42" s="30" t="s">
        <v>867</v>
      </c>
      <c r="Y42" s="30" t="s">
        <v>31</v>
      </c>
      <c r="Z42" s="30" t="s">
        <v>219</v>
      </c>
      <c r="AA42" s="30" t="s">
        <v>868</v>
      </c>
      <c r="AB42" s="30" t="s">
        <v>869</v>
      </c>
      <c r="AC42" s="30" t="s">
        <v>870</v>
      </c>
      <c r="AD42" s="30" t="s">
        <v>6</v>
      </c>
      <c r="AE42" s="30" t="s">
        <v>134</v>
      </c>
    </row>
    <row r="43" ht="22.5" customHeight="1">
      <c r="A43" s="28">
        <v>46240.44847372685</v>
      </c>
      <c r="B43" s="30" t="s">
        <v>871</v>
      </c>
      <c r="C43" s="30" t="s">
        <v>872</v>
      </c>
      <c r="D43" s="30" t="s">
        <v>82</v>
      </c>
      <c r="E43" s="30" t="s">
        <v>873</v>
      </c>
      <c r="F43" s="30" t="s">
        <v>874</v>
      </c>
      <c r="G43" s="30" t="s">
        <v>31</v>
      </c>
      <c r="H43" s="30" t="s">
        <v>178</v>
      </c>
      <c r="I43" s="30" t="s">
        <v>875</v>
      </c>
      <c r="J43" s="30" t="s">
        <v>876</v>
      </c>
      <c r="K43" s="30" t="s">
        <v>877</v>
      </c>
      <c r="L43" s="30" t="s">
        <v>878</v>
      </c>
      <c r="M43" s="30" t="s">
        <v>31</v>
      </c>
      <c r="N43" s="30" t="s">
        <v>219</v>
      </c>
      <c r="O43" s="30" t="s">
        <v>879</v>
      </c>
      <c r="P43" s="30" t="s">
        <v>880</v>
      </c>
      <c r="Q43" s="30" t="s">
        <v>31</v>
      </c>
      <c r="R43" s="30" t="s">
        <v>219</v>
      </c>
      <c r="S43" s="30" t="s">
        <v>881</v>
      </c>
      <c r="T43" s="30" t="s">
        <v>882</v>
      </c>
      <c r="U43" s="30" t="s">
        <v>31</v>
      </c>
      <c r="V43" s="30" t="s">
        <v>69</v>
      </c>
      <c r="W43" s="30" t="s">
        <v>883</v>
      </c>
      <c r="X43" s="30" t="s">
        <v>884</v>
      </c>
      <c r="Y43" s="30" t="s">
        <v>31</v>
      </c>
      <c r="Z43" s="30" t="s">
        <v>178</v>
      </c>
      <c r="AA43" s="30" t="s">
        <v>885</v>
      </c>
      <c r="AB43" s="30" t="s">
        <v>886</v>
      </c>
      <c r="AC43" s="30" t="s">
        <v>31</v>
      </c>
      <c r="AD43" s="30" t="s">
        <v>178</v>
      </c>
      <c r="AE43" s="30" t="s">
        <v>134</v>
      </c>
    </row>
    <row r="44" ht="22.5" customHeight="1">
      <c r="A44" s="28">
        <v>46240.467837662036</v>
      </c>
      <c r="B44" s="30" t="s">
        <v>887</v>
      </c>
      <c r="C44" s="30" t="s">
        <v>888</v>
      </c>
      <c r="D44" s="30" t="s">
        <v>193</v>
      </c>
      <c r="E44" s="30" t="s">
        <v>889</v>
      </c>
      <c r="F44" s="30" t="s">
        <v>890</v>
      </c>
      <c r="G44" s="30" t="s">
        <v>31</v>
      </c>
      <c r="H44" s="30" t="s">
        <v>94</v>
      </c>
      <c r="I44" s="30">
        <v>7.200959585E9</v>
      </c>
      <c r="J44" s="30" t="s">
        <v>891</v>
      </c>
      <c r="K44" s="30" t="s">
        <v>892</v>
      </c>
      <c r="L44" s="30" t="s">
        <v>893</v>
      </c>
      <c r="M44" s="30" t="s">
        <v>31</v>
      </c>
      <c r="N44" s="30" t="s">
        <v>94</v>
      </c>
      <c r="O44" s="30" t="s">
        <v>894</v>
      </c>
      <c r="P44" s="30" t="s">
        <v>895</v>
      </c>
      <c r="Q44" s="30" t="s">
        <v>31</v>
      </c>
      <c r="R44" s="30" t="s">
        <v>94</v>
      </c>
      <c r="S44" s="30" t="s">
        <v>896</v>
      </c>
      <c r="T44" s="30" t="s">
        <v>897</v>
      </c>
      <c r="U44" s="30" t="s">
        <v>31</v>
      </c>
      <c r="V44" s="30" t="s">
        <v>94</v>
      </c>
      <c r="W44" s="30" t="s">
        <v>898</v>
      </c>
      <c r="X44" s="30" t="s">
        <v>900</v>
      </c>
      <c r="Y44" s="30" t="s">
        <v>31</v>
      </c>
      <c r="Z44" s="30" t="s">
        <v>126</v>
      </c>
      <c r="AA44" s="30" t="s">
        <v>903</v>
      </c>
      <c r="AB44" s="30" t="s">
        <v>904</v>
      </c>
      <c r="AC44" s="30" t="s">
        <v>31</v>
      </c>
      <c r="AD44" s="30" t="s">
        <v>126</v>
      </c>
      <c r="AE44" s="30" t="s">
        <v>134</v>
      </c>
    </row>
    <row r="45" ht="22.5" customHeight="1">
      <c r="A45" s="28">
        <v>46240.470029675926</v>
      </c>
      <c r="B45" s="30" t="s">
        <v>905</v>
      </c>
      <c r="C45" s="30" t="s">
        <v>906</v>
      </c>
      <c r="D45" s="30" t="s">
        <v>193</v>
      </c>
      <c r="E45" s="30" t="s">
        <v>907</v>
      </c>
      <c r="F45" s="30" t="s">
        <v>908</v>
      </c>
      <c r="G45" s="30" t="s">
        <v>23</v>
      </c>
      <c r="H45" s="30" t="s">
        <v>280</v>
      </c>
      <c r="I45" s="30">
        <v>9.500535206E9</v>
      </c>
      <c r="J45" s="30" t="s">
        <v>909</v>
      </c>
      <c r="K45" s="30" t="s">
        <v>910</v>
      </c>
      <c r="L45" s="30" t="s">
        <v>911</v>
      </c>
      <c r="M45" s="30" t="s">
        <v>23</v>
      </c>
      <c r="N45" s="30" t="s">
        <v>280</v>
      </c>
      <c r="O45" s="30" t="s">
        <v>912</v>
      </c>
      <c r="P45" s="30" t="s">
        <v>913</v>
      </c>
      <c r="Q45" s="30" t="s">
        <v>23</v>
      </c>
      <c r="R45" s="30" t="s">
        <v>94</v>
      </c>
      <c r="S45" s="30" t="s">
        <v>914</v>
      </c>
      <c r="T45" s="30" t="s">
        <v>915</v>
      </c>
      <c r="U45" s="30" t="s">
        <v>23</v>
      </c>
      <c r="V45" s="30" t="s">
        <v>94</v>
      </c>
      <c r="W45" s="30" t="s">
        <v>916</v>
      </c>
      <c r="X45" s="30" t="s">
        <v>917</v>
      </c>
      <c r="Y45" s="30" t="s">
        <v>23</v>
      </c>
      <c r="Z45" s="30" t="s">
        <v>94</v>
      </c>
      <c r="AA45" s="30" t="s">
        <v>918</v>
      </c>
      <c r="AB45" s="30" t="s">
        <v>919</v>
      </c>
      <c r="AC45" s="30" t="s">
        <v>31</v>
      </c>
      <c r="AD45" s="30" t="s">
        <v>219</v>
      </c>
      <c r="AE45" s="30" t="s">
        <v>134</v>
      </c>
    </row>
    <row r="46" ht="22.5" customHeight="1">
      <c r="A46" s="28">
        <v>46240.48109884259</v>
      </c>
      <c r="B46" s="30" t="s">
        <v>920</v>
      </c>
      <c r="C46" s="30" t="s">
        <v>921</v>
      </c>
      <c r="D46" s="30" t="s">
        <v>193</v>
      </c>
      <c r="E46" s="30" t="s">
        <v>922</v>
      </c>
      <c r="F46" s="30" t="s">
        <v>923</v>
      </c>
      <c r="G46" s="30" t="s">
        <v>31</v>
      </c>
      <c r="H46" s="30" t="s">
        <v>94</v>
      </c>
      <c r="I46" s="30">
        <v>9.095023302E9</v>
      </c>
      <c r="J46" s="30" t="s">
        <v>924</v>
      </c>
      <c r="K46" s="30" t="s">
        <v>925</v>
      </c>
      <c r="L46" s="30" t="s">
        <v>926</v>
      </c>
      <c r="M46" s="30" t="s">
        <v>31</v>
      </c>
      <c r="N46" s="30" t="s">
        <v>94</v>
      </c>
      <c r="O46" s="30" t="s">
        <v>927</v>
      </c>
      <c r="P46" s="30" t="s">
        <v>928</v>
      </c>
      <c r="Q46" s="30" t="s">
        <v>31</v>
      </c>
      <c r="R46" s="30" t="s">
        <v>94</v>
      </c>
      <c r="S46" s="30" t="s">
        <v>418</v>
      </c>
      <c r="T46" s="30" t="s">
        <v>929</v>
      </c>
      <c r="U46" s="30" t="s">
        <v>31</v>
      </c>
      <c r="V46" s="30" t="s">
        <v>94</v>
      </c>
      <c r="W46" s="30" t="s">
        <v>930</v>
      </c>
      <c r="X46" s="30" t="s">
        <v>931</v>
      </c>
      <c r="Y46" s="30" t="s">
        <v>31</v>
      </c>
      <c r="Z46" s="30" t="s">
        <v>94</v>
      </c>
      <c r="AA46" s="30" t="s">
        <v>932</v>
      </c>
      <c r="AB46" s="30" t="s">
        <v>933</v>
      </c>
      <c r="AC46" s="30" t="s">
        <v>31</v>
      </c>
      <c r="AD46" s="30" t="s">
        <v>94</v>
      </c>
      <c r="AE46" s="30" t="s">
        <v>134</v>
      </c>
    </row>
    <row r="47" ht="22.5" customHeight="1">
      <c r="A47" s="28">
        <v>46240.48684423611</v>
      </c>
      <c r="B47" s="30" t="s">
        <v>934</v>
      </c>
      <c r="C47" s="30" t="s">
        <v>935</v>
      </c>
      <c r="D47" s="30" t="s">
        <v>193</v>
      </c>
      <c r="E47" s="30" t="s">
        <v>936</v>
      </c>
      <c r="F47" s="30" t="s">
        <v>937</v>
      </c>
      <c r="G47" s="30" t="s">
        <v>23</v>
      </c>
      <c r="H47" s="30" t="s">
        <v>94</v>
      </c>
      <c r="I47" s="30">
        <v>8.148449502E9</v>
      </c>
      <c r="J47" s="30" t="s">
        <v>934</v>
      </c>
      <c r="K47" s="30" t="s">
        <v>938</v>
      </c>
      <c r="L47" s="30" t="s">
        <v>939</v>
      </c>
      <c r="M47" s="30" t="s">
        <v>23</v>
      </c>
      <c r="N47" s="30" t="s">
        <v>94</v>
      </c>
      <c r="O47" s="30" t="s">
        <v>940</v>
      </c>
      <c r="P47" s="30" t="s">
        <v>941</v>
      </c>
      <c r="Q47" s="30" t="s">
        <v>23</v>
      </c>
      <c r="R47" s="30" t="s">
        <v>94</v>
      </c>
      <c r="S47" s="30" t="s">
        <v>942</v>
      </c>
      <c r="T47" s="30" t="s">
        <v>943</v>
      </c>
      <c r="U47" s="30" t="s">
        <v>23</v>
      </c>
      <c r="V47" s="30" t="s">
        <v>94</v>
      </c>
      <c r="W47" s="30" t="s">
        <v>944</v>
      </c>
      <c r="X47" s="30" t="s">
        <v>945</v>
      </c>
      <c r="Y47" s="30" t="s">
        <v>23</v>
      </c>
      <c r="Z47" s="30" t="s">
        <v>22</v>
      </c>
      <c r="AA47" s="30" t="s">
        <v>946</v>
      </c>
      <c r="AB47" s="30" t="s">
        <v>947</v>
      </c>
      <c r="AC47" s="30" t="s">
        <v>23</v>
      </c>
      <c r="AD47" s="30" t="s">
        <v>126</v>
      </c>
      <c r="AE47" s="30" t="s">
        <v>134</v>
      </c>
    </row>
    <row r="48" ht="22.5" customHeight="1">
      <c r="A48" s="28">
        <v>46240.50529714121</v>
      </c>
      <c r="B48" s="30" t="s">
        <v>948</v>
      </c>
      <c r="C48" s="30" t="s">
        <v>949</v>
      </c>
      <c r="D48" s="30" t="s">
        <v>82</v>
      </c>
      <c r="E48" s="30" t="s">
        <v>950</v>
      </c>
      <c r="F48" s="30" t="s">
        <v>951</v>
      </c>
      <c r="G48" s="30" t="s">
        <v>31</v>
      </c>
      <c r="H48" s="30" t="s">
        <v>22</v>
      </c>
      <c r="I48" s="30">
        <v>9.342295008E9</v>
      </c>
      <c r="J48" s="30" t="s">
        <v>948</v>
      </c>
      <c r="K48" s="30" t="s">
        <v>952</v>
      </c>
      <c r="L48" s="30" t="s">
        <v>953</v>
      </c>
      <c r="M48" s="30" t="s">
        <v>31</v>
      </c>
      <c r="N48" s="30" t="s">
        <v>22</v>
      </c>
      <c r="O48" s="30" t="s">
        <v>954</v>
      </c>
      <c r="P48" s="30" t="s">
        <v>955</v>
      </c>
      <c r="Q48" s="30" t="s">
        <v>31</v>
      </c>
      <c r="R48" s="30" t="s">
        <v>94</v>
      </c>
      <c r="S48" s="30" t="s">
        <v>956</v>
      </c>
      <c r="T48" s="30" t="s">
        <v>957</v>
      </c>
      <c r="U48" s="30" t="s">
        <v>31</v>
      </c>
      <c r="V48" s="30" t="s">
        <v>94</v>
      </c>
      <c r="W48" s="30" t="s">
        <v>958</v>
      </c>
      <c r="X48" s="30" t="s">
        <v>959</v>
      </c>
      <c r="Y48" s="30" t="s">
        <v>31</v>
      </c>
      <c r="Z48" s="30" t="s">
        <v>178</v>
      </c>
      <c r="AA48" s="30" t="s">
        <v>960</v>
      </c>
      <c r="AB48" s="30" t="s">
        <v>961</v>
      </c>
      <c r="AC48" s="30" t="s">
        <v>31</v>
      </c>
      <c r="AD48" s="30" t="s">
        <v>178</v>
      </c>
      <c r="AE48" s="30" t="s">
        <v>134</v>
      </c>
    </row>
    <row r="49" ht="22.5" customHeight="1">
      <c r="A49" s="28">
        <v>46240.50783613426</v>
      </c>
      <c r="B49" s="30" t="s">
        <v>962</v>
      </c>
      <c r="C49" s="30" t="s">
        <v>964</v>
      </c>
      <c r="D49" s="30" t="s">
        <v>193</v>
      </c>
      <c r="E49" s="30" t="s">
        <v>965</v>
      </c>
      <c r="F49" s="30" t="s">
        <v>966</v>
      </c>
      <c r="G49" s="30" t="s">
        <v>23</v>
      </c>
      <c r="H49" s="30" t="s">
        <v>78</v>
      </c>
      <c r="I49" s="30">
        <v>9.865977796E9</v>
      </c>
      <c r="J49" s="30" t="s">
        <v>962</v>
      </c>
      <c r="K49" s="30" t="s">
        <v>968</v>
      </c>
      <c r="L49" s="30" t="s">
        <v>970</v>
      </c>
      <c r="M49" s="30" t="s">
        <v>23</v>
      </c>
      <c r="N49" s="30" t="s">
        <v>78</v>
      </c>
      <c r="O49" s="30" t="s">
        <v>971</v>
      </c>
      <c r="P49" s="30" t="s">
        <v>972</v>
      </c>
      <c r="Q49" s="30" t="s">
        <v>23</v>
      </c>
      <c r="R49" s="30" t="s">
        <v>94</v>
      </c>
      <c r="S49" s="30" t="s">
        <v>973</v>
      </c>
      <c r="T49" s="30" t="s">
        <v>974</v>
      </c>
      <c r="U49" s="30" t="s">
        <v>23</v>
      </c>
      <c r="V49" s="30" t="s">
        <v>94</v>
      </c>
      <c r="W49" s="30" t="s">
        <v>975</v>
      </c>
      <c r="X49" s="30" t="s">
        <v>976</v>
      </c>
      <c r="Y49" s="30" t="s">
        <v>23</v>
      </c>
      <c r="Z49" s="30" t="s">
        <v>178</v>
      </c>
      <c r="AA49" s="30" t="s">
        <v>977</v>
      </c>
      <c r="AB49" s="30" t="s">
        <v>978</v>
      </c>
      <c r="AC49" s="30" t="s">
        <v>23</v>
      </c>
      <c r="AD49" s="30" t="s">
        <v>178</v>
      </c>
      <c r="AE49" s="30" t="s">
        <v>134</v>
      </c>
    </row>
    <row r="50" ht="22.5" customHeight="1">
      <c r="A50" s="28">
        <v>46240.5125428125</v>
      </c>
      <c r="B50" s="30" t="s">
        <v>979</v>
      </c>
      <c r="C50" s="30" t="s">
        <v>19</v>
      </c>
      <c r="D50" s="30" t="s">
        <v>82</v>
      </c>
      <c r="E50" s="30" t="s">
        <v>980</v>
      </c>
      <c r="F50" s="30" t="s">
        <v>21</v>
      </c>
      <c r="G50" s="30" t="s">
        <v>23</v>
      </c>
      <c r="H50" s="30" t="s">
        <v>22</v>
      </c>
      <c r="I50" s="30">
        <v>8.524862209E9</v>
      </c>
      <c r="J50" s="30" t="s">
        <v>981</v>
      </c>
      <c r="K50" s="30" t="s">
        <v>982</v>
      </c>
      <c r="L50" s="30" t="s">
        <v>983</v>
      </c>
      <c r="M50" s="30" t="s">
        <v>23</v>
      </c>
      <c r="N50" s="30" t="s">
        <v>22</v>
      </c>
      <c r="O50" s="30" t="s">
        <v>984</v>
      </c>
      <c r="P50" s="30" t="s">
        <v>985</v>
      </c>
      <c r="Q50" s="30" t="s">
        <v>23</v>
      </c>
      <c r="R50" s="30" t="s">
        <v>22</v>
      </c>
      <c r="S50" s="30" t="s">
        <v>986</v>
      </c>
      <c r="T50" s="30" t="s">
        <v>987</v>
      </c>
      <c r="U50" s="30" t="s">
        <v>23</v>
      </c>
      <c r="V50" s="30" t="s">
        <v>22</v>
      </c>
      <c r="W50" s="30" t="s">
        <v>988</v>
      </c>
      <c r="X50" s="30" t="s">
        <v>989</v>
      </c>
      <c r="Y50" s="30" t="s">
        <v>23</v>
      </c>
      <c r="Z50" s="30" t="s">
        <v>280</v>
      </c>
      <c r="AA50" s="30" t="s">
        <v>990</v>
      </c>
      <c r="AB50" s="30" t="s">
        <v>991</v>
      </c>
      <c r="AC50" s="30" t="s">
        <v>23</v>
      </c>
      <c r="AD50" s="30" t="s">
        <v>178</v>
      </c>
      <c r="AE50" s="30" t="s">
        <v>134</v>
      </c>
    </row>
    <row r="51" ht="22.5" customHeight="1">
      <c r="A51" s="28">
        <v>46240.51502114584</v>
      </c>
      <c r="B51" s="30" t="s">
        <v>992</v>
      </c>
      <c r="C51" s="30" t="s">
        <v>993</v>
      </c>
      <c r="D51" s="30" t="s">
        <v>82</v>
      </c>
      <c r="E51" s="30" t="s">
        <v>994</v>
      </c>
      <c r="F51" s="30" t="s">
        <v>995</v>
      </c>
      <c r="G51" s="30" t="s">
        <v>31</v>
      </c>
      <c r="H51" s="30" t="s">
        <v>22</v>
      </c>
      <c r="I51" s="30">
        <v>9.97632315E9</v>
      </c>
      <c r="J51" s="30" t="s">
        <v>996</v>
      </c>
      <c r="K51" s="30" t="s">
        <v>997</v>
      </c>
      <c r="L51" s="30" t="s">
        <v>998</v>
      </c>
      <c r="M51" s="30" t="s">
        <v>31</v>
      </c>
      <c r="N51" s="30" t="s">
        <v>22</v>
      </c>
      <c r="O51" s="30" t="s">
        <v>999</v>
      </c>
      <c r="P51" s="30" t="s">
        <v>1000</v>
      </c>
      <c r="Q51" s="30" t="s">
        <v>31</v>
      </c>
      <c r="R51" s="30" t="s">
        <v>22</v>
      </c>
      <c r="S51" s="30" t="s">
        <v>1001</v>
      </c>
      <c r="T51" s="30" t="s">
        <v>1002</v>
      </c>
      <c r="U51" s="30" t="s">
        <v>31</v>
      </c>
      <c r="V51" s="30" t="s">
        <v>22</v>
      </c>
      <c r="W51" s="30" t="s">
        <v>1003</v>
      </c>
      <c r="X51" s="30" t="s">
        <v>1004</v>
      </c>
      <c r="Y51" s="30" t="s">
        <v>31</v>
      </c>
      <c r="Z51" s="30" t="s">
        <v>78</v>
      </c>
      <c r="AA51" s="30" t="s">
        <v>1005</v>
      </c>
      <c r="AB51" s="30" t="s">
        <v>1006</v>
      </c>
      <c r="AC51" s="30" t="s">
        <v>31</v>
      </c>
      <c r="AD51" s="30" t="s">
        <v>78</v>
      </c>
      <c r="AE51" s="30" t="s">
        <v>134</v>
      </c>
    </row>
    <row r="52" ht="22.5" customHeight="1">
      <c r="A52" s="28">
        <v>46240.5160152662</v>
      </c>
      <c r="B52" s="30" t="s">
        <v>1007</v>
      </c>
      <c r="C52" s="30" t="s">
        <v>1008</v>
      </c>
      <c r="D52" s="30" t="s">
        <v>193</v>
      </c>
      <c r="E52" s="30" t="s">
        <v>1009</v>
      </c>
      <c r="F52" s="30" t="s">
        <v>1010</v>
      </c>
      <c r="G52" s="30" t="s">
        <v>31</v>
      </c>
      <c r="H52" s="30" t="s">
        <v>94</v>
      </c>
      <c r="I52" s="30">
        <v>9.655883378E9</v>
      </c>
      <c r="J52" s="30" t="s">
        <v>1011</v>
      </c>
      <c r="K52" s="30" t="s">
        <v>1012</v>
      </c>
      <c r="L52" s="30" t="s">
        <v>1013</v>
      </c>
      <c r="M52" s="30" t="s">
        <v>31</v>
      </c>
      <c r="N52" s="30" t="s">
        <v>94</v>
      </c>
      <c r="O52" s="30" t="s">
        <v>1014</v>
      </c>
      <c r="P52" s="30" t="s">
        <v>1015</v>
      </c>
      <c r="Q52" s="30" t="s">
        <v>31</v>
      </c>
      <c r="R52" s="30" t="s">
        <v>94</v>
      </c>
      <c r="S52" s="30" t="s">
        <v>1016</v>
      </c>
      <c r="T52" s="30" t="s">
        <v>1017</v>
      </c>
      <c r="U52" s="30" t="s">
        <v>31</v>
      </c>
      <c r="V52" s="30" t="s">
        <v>94</v>
      </c>
      <c r="W52" s="30" t="s">
        <v>1018</v>
      </c>
      <c r="X52" s="30" t="s">
        <v>1019</v>
      </c>
      <c r="Y52" s="30" t="s">
        <v>31</v>
      </c>
      <c r="Z52" s="30" t="s">
        <v>94</v>
      </c>
      <c r="AA52" s="30" t="s">
        <v>1020</v>
      </c>
      <c r="AB52" s="30" t="s">
        <v>1021</v>
      </c>
      <c r="AC52" s="30" t="s">
        <v>31</v>
      </c>
      <c r="AD52" s="30" t="s">
        <v>69</v>
      </c>
      <c r="AE52" s="30" t="s">
        <v>134</v>
      </c>
    </row>
    <row r="53" ht="22.5" customHeight="1">
      <c r="A53" s="28">
        <v>46240.51673700231</v>
      </c>
      <c r="B53" s="30" t="s">
        <v>1022</v>
      </c>
      <c r="C53" s="30" t="s">
        <v>1023</v>
      </c>
      <c r="D53" s="30" t="s">
        <v>193</v>
      </c>
      <c r="E53" s="30" t="s">
        <v>1024</v>
      </c>
      <c r="F53" s="30" t="s">
        <v>1025</v>
      </c>
      <c r="G53" s="30" t="s">
        <v>31</v>
      </c>
      <c r="H53" s="30" t="s">
        <v>22</v>
      </c>
      <c r="I53" s="30">
        <v>6.379793089E9</v>
      </c>
      <c r="J53" s="30" t="s">
        <v>1026</v>
      </c>
      <c r="K53" s="30" t="s">
        <v>1027</v>
      </c>
      <c r="L53" s="30" t="s">
        <v>1028</v>
      </c>
      <c r="M53" s="30" t="s">
        <v>31</v>
      </c>
      <c r="N53" s="30" t="s">
        <v>22</v>
      </c>
      <c r="O53" s="30" t="s">
        <v>1029</v>
      </c>
      <c r="P53" s="30" t="s">
        <v>1030</v>
      </c>
      <c r="Q53" s="30" t="s">
        <v>31</v>
      </c>
      <c r="R53" s="30" t="s">
        <v>22</v>
      </c>
      <c r="S53" s="30" t="s">
        <v>1031</v>
      </c>
      <c r="T53" s="30" t="s">
        <v>1032</v>
      </c>
      <c r="U53" s="30" t="s">
        <v>31</v>
      </c>
      <c r="V53" s="30" t="s">
        <v>22</v>
      </c>
      <c r="W53" s="30" t="s">
        <v>1033</v>
      </c>
      <c r="X53" s="30" t="s">
        <v>1034</v>
      </c>
      <c r="Y53" s="30" t="s">
        <v>31</v>
      </c>
      <c r="Z53" s="30" t="s">
        <v>22</v>
      </c>
      <c r="AA53" s="30" t="s">
        <v>1035</v>
      </c>
      <c r="AB53" s="30" t="s">
        <v>1036</v>
      </c>
      <c r="AC53" s="30" t="s">
        <v>31</v>
      </c>
      <c r="AD53" s="30" t="s">
        <v>22</v>
      </c>
      <c r="AE53" s="30" t="s">
        <v>134</v>
      </c>
    </row>
    <row r="54" ht="22.5" customHeight="1">
      <c r="A54" s="28">
        <v>46240.52002128473</v>
      </c>
      <c r="B54" s="30" t="s">
        <v>1037</v>
      </c>
      <c r="C54" s="30" t="s">
        <v>355</v>
      </c>
      <c r="D54" s="30" t="s">
        <v>193</v>
      </c>
      <c r="E54" s="30" t="s">
        <v>1038</v>
      </c>
      <c r="F54" s="30" t="s">
        <v>356</v>
      </c>
      <c r="G54" s="30" t="s">
        <v>31</v>
      </c>
      <c r="H54" s="30" t="s">
        <v>280</v>
      </c>
      <c r="I54" s="30">
        <v>6.382255457E9</v>
      </c>
      <c r="J54" s="30" t="s">
        <v>1039</v>
      </c>
      <c r="K54" s="30" t="s">
        <v>1040</v>
      </c>
      <c r="L54" s="30" t="s">
        <v>1041</v>
      </c>
      <c r="M54" s="30" t="s">
        <v>31</v>
      </c>
      <c r="N54" s="30" t="s">
        <v>280</v>
      </c>
      <c r="O54" s="30" t="s">
        <v>1042</v>
      </c>
      <c r="P54" s="30" t="s">
        <v>1043</v>
      </c>
      <c r="Q54" s="30" t="s">
        <v>31</v>
      </c>
      <c r="R54" s="30" t="s">
        <v>280</v>
      </c>
      <c r="S54" s="30" t="s">
        <v>1044</v>
      </c>
      <c r="T54" s="30" t="s">
        <v>1045</v>
      </c>
      <c r="U54" s="30" t="s">
        <v>31</v>
      </c>
      <c r="V54" s="30" t="s">
        <v>280</v>
      </c>
      <c r="W54" s="30" t="s">
        <v>1046</v>
      </c>
      <c r="X54" s="30" t="s">
        <v>1047</v>
      </c>
      <c r="Y54" s="30" t="s">
        <v>31</v>
      </c>
      <c r="Z54" s="30" t="s">
        <v>280</v>
      </c>
      <c r="AA54" s="30" t="s">
        <v>1048</v>
      </c>
      <c r="AB54" s="30" t="s">
        <v>1049</v>
      </c>
      <c r="AC54" s="30" t="s">
        <v>31</v>
      </c>
      <c r="AD54" s="30" t="s">
        <v>94</v>
      </c>
      <c r="AE54" s="30" t="s">
        <v>134</v>
      </c>
    </row>
    <row r="55" ht="22.5" customHeight="1">
      <c r="A55" s="28">
        <v>46240.520356493056</v>
      </c>
      <c r="B55" s="30" t="s">
        <v>1050</v>
      </c>
      <c r="C55" s="30" t="s">
        <v>1051</v>
      </c>
      <c r="D55" s="30" t="s">
        <v>193</v>
      </c>
      <c r="E55" s="30" t="s">
        <v>1052</v>
      </c>
      <c r="F55" s="30" t="s">
        <v>1053</v>
      </c>
      <c r="G55" s="30" t="s">
        <v>31</v>
      </c>
      <c r="H55" s="30" t="s">
        <v>22</v>
      </c>
      <c r="I55" s="30">
        <v>8.825532022E9</v>
      </c>
      <c r="J55" s="30" t="s">
        <v>1054</v>
      </c>
      <c r="K55" s="30" t="s">
        <v>1055</v>
      </c>
      <c r="L55" s="30" t="s">
        <v>1056</v>
      </c>
      <c r="M55" s="30" t="s">
        <v>31</v>
      </c>
      <c r="N55" s="30" t="s">
        <v>22</v>
      </c>
      <c r="O55" s="30" t="s">
        <v>1057</v>
      </c>
      <c r="P55" s="30" t="s">
        <v>1058</v>
      </c>
      <c r="Q55" s="30" t="s">
        <v>31</v>
      </c>
      <c r="R55" s="30" t="s">
        <v>22</v>
      </c>
      <c r="S55" s="30" t="s">
        <v>1059</v>
      </c>
      <c r="T55" s="30" t="s">
        <v>1060</v>
      </c>
      <c r="U55" s="30" t="s">
        <v>31</v>
      </c>
      <c r="V55" s="30" t="s">
        <v>22</v>
      </c>
      <c r="W55" s="30" t="s">
        <v>1061</v>
      </c>
      <c r="X55" s="30" t="s">
        <v>1062</v>
      </c>
      <c r="Y55" s="30" t="s">
        <v>31</v>
      </c>
      <c r="Z55" s="30" t="s">
        <v>219</v>
      </c>
      <c r="AA55" s="30" t="s">
        <v>1063</v>
      </c>
      <c r="AB55" s="30" t="s">
        <v>1064</v>
      </c>
      <c r="AC55" s="30" t="s">
        <v>31</v>
      </c>
      <c r="AD55" s="30" t="s">
        <v>94</v>
      </c>
      <c r="AE55" s="30" t="s">
        <v>134</v>
      </c>
    </row>
    <row r="56" ht="22.5" customHeight="1">
      <c r="A56" s="28">
        <v>46240.52151471065</v>
      </c>
      <c r="B56" s="30" t="s">
        <v>1065</v>
      </c>
      <c r="C56" s="30" t="s">
        <v>1066</v>
      </c>
      <c r="D56" s="30" t="s">
        <v>193</v>
      </c>
      <c r="E56" s="30" t="s">
        <v>1067</v>
      </c>
      <c r="F56" s="30" t="s">
        <v>1068</v>
      </c>
      <c r="G56" s="30" t="s">
        <v>31</v>
      </c>
      <c r="H56" s="30" t="s">
        <v>280</v>
      </c>
      <c r="I56" s="30">
        <v>7.339506017E9</v>
      </c>
      <c r="J56" s="30" t="s">
        <v>1065</v>
      </c>
      <c r="K56" s="30" t="s">
        <v>1069</v>
      </c>
      <c r="L56" s="30" t="s">
        <v>1070</v>
      </c>
      <c r="M56" s="30" t="s">
        <v>31</v>
      </c>
      <c r="N56" s="30" t="s">
        <v>280</v>
      </c>
      <c r="O56" s="30" t="s">
        <v>1071</v>
      </c>
      <c r="P56" s="30" t="s">
        <v>1072</v>
      </c>
      <c r="Q56" s="30" t="s">
        <v>31</v>
      </c>
      <c r="R56" s="30" t="s">
        <v>280</v>
      </c>
      <c r="S56" s="30" t="s">
        <v>1073</v>
      </c>
      <c r="T56" s="30" t="s">
        <v>1074</v>
      </c>
      <c r="U56" s="30" t="s">
        <v>31</v>
      </c>
      <c r="V56" s="30" t="s">
        <v>280</v>
      </c>
      <c r="W56" s="30" t="s">
        <v>1075</v>
      </c>
      <c r="X56" s="30" t="s">
        <v>1076</v>
      </c>
      <c r="Y56" s="30" t="s">
        <v>31</v>
      </c>
      <c r="Z56" s="30" t="s">
        <v>126</v>
      </c>
      <c r="AA56" s="30" t="s">
        <v>1077</v>
      </c>
      <c r="AB56" s="30" t="s">
        <v>1078</v>
      </c>
      <c r="AC56" s="30" t="s">
        <v>31</v>
      </c>
      <c r="AD56" s="30" t="s">
        <v>126</v>
      </c>
      <c r="AE56" s="30" t="s">
        <v>134</v>
      </c>
    </row>
    <row r="57" ht="22.5" customHeight="1">
      <c r="A57" s="28">
        <v>46240.52204409722</v>
      </c>
      <c r="B57" s="30" t="s">
        <v>1079</v>
      </c>
      <c r="C57" s="30" t="s">
        <v>1080</v>
      </c>
      <c r="D57" s="30" t="s">
        <v>82</v>
      </c>
      <c r="E57" s="30" t="s">
        <v>1081</v>
      </c>
      <c r="F57" s="30" t="s">
        <v>1082</v>
      </c>
      <c r="G57" s="30" t="s">
        <v>31</v>
      </c>
      <c r="H57" s="30" t="s">
        <v>22</v>
      </c>
      <c r="I57" s="30">
        <v>7.010305945E9</v>
      </c>
      <c r="J57" s="30" t="s">
        <v>1083</v>
      </c>
      <c r="K57" s="30" t="s">
        <v>1084</v>
      </c>
      <c r="L57" s="30" t="s">
        <v>1085</v>
      </c>
      <c r="M57" s="30" t="s">
        <v>31</v>
      </c>
      <c r="N57" s="30" t="s">
        <v>22</v>
      </c>
      <c r="O57" s="30" t="s">
        <v>1086</v>
      </c>
      <c r="P57" s="30" t="s">
        <v>1087</v>
      </c>
      <c r="Q57" s="30" t="s">
        <v>31</v>
      </c>
      <c r="R57" s="30" t="s">
        <v>22</v>
      </c>
      <c r="S57" s="30" t="s">
        <v>418</v>
      </c>
      <c r="T57" s="30" t="s">
        <v>1088</v>
      </c>
      <c r="U57" s="30" t="s">
        <v>31</v>
      </c>
      <c r="V57" s="30" t="s">
        <v>22</v>
      </c>
      <c r="W57" s="30" t="s">
        <v>1089</v>
      </c>
      <c r="X57" s="30" t="s">
        <v>1090</v>
      </c>
      <c r="Y57" s="30" t="s">
        <v>31</v>
      </c>
      <c r="Z57" s="30" t="s">
        <v>126</v>
      </c>
      <c r="AA57" s="30" t="s">
        <v>1091</v>
      </c>
      <c r="AB57" s="30" t="s">
        <v>1092</v>
      </c>
      <c r="AC57" s="30" t="s">
        <v>31</v>
      </c>
      <c r="AD57" s="30" t="s">
        <v>126</v>
      </c>
      <c r="AE57" s="30" t="s">
        <v>134</v>
      </c>
    </row>
    <row r="58" ht="22.5" customHeight="1">
      <c r="A58" s="28">
        <v>46240.52230237269</v>
      </c>
      <c r="B58" s="30" t="s">
        <v>1093</v>
      </c>
      <c r="C58" s="30" t="s">
        <v>1094</v>
      </c>
      <c r="D58" s="30" t="s">
        <v>193</v>
      </c>
      <c r="E58" s="30" t="s">
        <v>1095</v>
      </c>
      <c r="F58" s="30" t="s">
        <v>1096</v>
      </c>
      <c r="G58" s="30" t="s">
        <v>23</v>
      </c>
      <c r="H58" s="30" t="s">
        <v>280</v>
      </c>
      <c r="I58" s="30">
        <v>9.600274526E9</v>
      </c>
      <c r="J58" s="30" t="s">
        <v>1093</v>
      </c>
      <c r="K58" s="30" t="s">
        <v>1097</v>
      </c>
      <c r="L58" s="30" t="s">
        <v>1098</v>
      </c>
      <c r="M58" s="30" t="s">
        <v>23</v>
      </c>
      <c r="N58" s="30" t="s">
        <v>22</v>
      </c>
      <c r="O58" s="30" t="s">
        <v>1099</v>
      </c>
      <c r="P58" s="30" t="s">
        <v>1100</v>
      </c>
      <c r="Q58" s="30" t="s">
        <v>23</v>
      </c>
      <c r="R58" s="30" t="s">
        <v>22</v>
      </c>
      <c r="S58" s="30" t="s">
        <v>1101</v>
      </c>
      <c r="T58" s="30" t="s">
        <v>1102</v>
      </c>
      <c r="U58" s="30" t="s">
        <v>23</v>
      </c>
      <c r="V58" s="30" t="s">
        <v>22</v>
      </c>
      <c r="W58" s="30" t="s">
        <v>1103</v>
      </c>
      <c r="X58" s="30" t="s">
        <v>1104</v>
      </c>
      <c r="Y58" s="30" t="s">
        <v>23</v>
      </c>
      <c r="Z58" s="30" t="s">
        <v>22</v>
      </c>
      <c r="AA58" s="30" t="s">
        <v>1105</v>
      </c>
      <c r="AB58" s="30" t="s">
        <v>1106</v>
      </c>
      <c r="AC58" s="30" t="s">
        <v>23</v>
      </c>
      <c r="AD58" s="30" t="s">
        <v>280</v>
      </c>
      <c r="AE58" s="30" t="s">
        <v>134</v>
      </c>
    </row>
    <row r="59" ht="22.5" customHeight="1">
      <c r="A59" s="28">
        <v>46240.52265616898</v>
      </c>
      <c r="B59" s="30" t="s">
        <v>1107</v>
      </c>
      <c r="C59" s="30" t="s">
        <v>1108</v>
      </c>
      <c r="D59" s="30" t="s">
        <v>193</v>
      </c>
      <c r="E59" s="30" t="s">
        <v>1109</v>
      </c>
      <c r="F59" s="30" t="s">
        <v>1110</v>
      </c>
      <c r="G59" s="30" t="s">
        <v>31</v>
      </c>
      <c r="H59" s="30" t="s">
        <v>22</v>
      </c>
      <c r="I59" s="30">
        <v>9.566778859E9</v>
      </c>
      <c r="J59" s="30" t="s">
        <v>1107</v>
      </c>
      <c r="K59" s="30" t="s">
        <v>1111</v>
      </c>
      <c r="L59" s="30" t="s">
        <v>1112</v>
      </c>
      <c r="M59" s="30" t="s">
        <v>31</v>
      </c>
      <c r="N59" s="30" t="s">
        <v>22</v>
      </c>
      <c r="O59" s="30" t="s">
        <v>1113</v>
      </c>
      <c r="P59" s="30" t="s">
        <v>1114</v>
      </c>
      <c r="Q59" s="30" t="s">
        <v>31</v>
      </c>
      <c r="R59" s="30" t="s">
        <v>22</v>
      </c>
      <c r="S59" s="30" t="s">
        <v>1115</v>
      </c>
      <c r="T59" s="30" t="s">
        <v>957</v>
      </c>
      <c r="U59" s="30" t="s">
        <v>31</v>
      </c>
      <c r="V59" s="30" t="s">
        <v>22</v>
      </c>
      <c r="W59" s="30" t="s">
        <v>1116</v>
      </c>
      <c r="X59" s="30" t="s">
        <v>1117</v>
      </c>
      <c r="Y59" s="30" t="s">
        <v>31</v>
      </c>
      <c r="Z59" s="30" t="s">
        <v>94</v>
      </c>
      <c r="AA59" s="30" t="s">
        <v>1118</v>
      </c>
      <c r="AB59" s="30" t="s">
        <v>1119</v>
      </c>
      <c r="AC59" s="30" t="s">
        <v>31</v>
      </c>
      <c r="AD59" s="30" t="s">
        <v>94</v>
      </c>
      <c r="AE59" s="30" t="s">
        <v>134</v>
      </c>
    </row>
    <row r="60" ht="22.5" customHeight="1">
      <c r="A60" s="28">
        <v>46240.52551842593</v>
      </c>
      <c r="B60" s="30" t="s">
        <v>1120</v>
      </c>
      <c r="C60" s="30" t="s">
        <v>1121</v>
      </c>
      <c r="D60" s="30" t="s">
        <v>82</v>
      </c>
      <c r="E60" s="30" t="s">
        <v>1122</v>
      </c>
      <c r="F60" s="30" t="s">
        <v>1123</v>
      </c>
      <c r="G60" s="30" t="s">
        <v>23</v>
      </c>
      <c r="H60" s="30" t="s">
        <v>126</v>
      </c>
      <c r="I60" s="30">
        <v>9.944933001E9</v>
      </c>
      <c r="J60" s="30" t="s">
        <v>1120</v>
      </c>
      <c r="K60" s="30" t="s">
        <v>1124</v>
      </c>
      <c r="L60" s="30" t="s">
        <v>1125</v>
      </c>
      <c r="M60" s="30" t="s">
        <v>23</v>
      </c>
      <c r="N60" s="30" t="s">
        <v>126</v>
      </c>
      <c r="O60" s="30" t="s">
        <v>1126</v>
      </c>
      <c r="P60" s="30" t="s">
        <v>1127</v>
      </c>
      <c r="Q60" s="30" t="s">
        <v>31</v>
      </c>
      <c r="R60" s="30" t="s">
        <v>22</v>
      </c>
      <c r="S60" s="30" t="s">
        <v>1128</v>
      </c>
      <c r="T60" s="30" t="s">
        <v>1129</v>
      </c>
      <c r="U60" s="30" t="s">
        <v>31</v>
      </c>
      <c r="V60" s="30" t="s">
        <v>22</v>
      </c>
      <c r="W60" s="30" t="s">
        <v>1130</v>
      </c>
      <c r="X60" s="30" t="s">
        <v>1131</v>
      </c>
      <c r="Y60" s="30" t="s">
        <v>31</v>
      </c>
      <c r="Z60" s="30" t="s">
        <v>69</v>
      </c>
      <c r="AA60" s="30" t="s">
        <v>1132</v>
      </c>
      <c r="AB60" s="30" t="s">
        <v>1133</v>
      </c>
      <c r="AC60" s="30" t="s">
        <v>31</v>
      </c>
      <c r="AD60" s="30" t="s">
        <v>69</v>
      </c>
      <c r="AE60" s="30" t="s">
        <v>134</v>
      </c>
    </row>
    <row r="61" ht="22.5" customHeight="1">
      <c r="A61" s="28">
        <v>46240.52614246528</v>
      </c>
      <c r="B61" s="30" t="s">
        <v>1134</v>
      </c>
      <c r="C61" s="30" t="s">
        <v>254</v>
      </c>
      <c r="D61" s="30" t="s">
        <v>193</v>
      </c>
      <c r="E61" s="30" t="s">
        <v>1135</v>
      </c>
      <c r="F61" s="30" t="s">
        <v>255</v>
      </c>
      <c r="G61" s="30" t="s">
        <v>31</v>
      </c>
      <c r="H61" s="30" t="s">
        <v>243</v>
      </c>
      <c r="I61" s="30">
        <v>7.904961079E9</v>
      </c>
      <c r="J61" s="30" t="s">
        <v>1134</v>
      </c>
      <c r="K61" s="30" t="s">
        <v>1136</v>
      </c>
      <c r="L61" s="30" t="s">
        <v>1137</v>
      </c>
      <c r="M61" s="30" t="s">
        <v>31</v>
      </c>
      <c r="N61" s="30" t="s">
        <v>78</v>
      </c>
      <c r="O61" s="30" t="s">
        <v>1138</v>
      </c>
      <c r="P61" s="30" t="s">
        <v>1139</v>
      </c>
      <c r="Q61" s="30" t="s">
        <v>31</v>
      </c>
      <c r="R61" s="30" t="s">
        <v>78</v>
      </c>
      <c r="S61" s="30" t="s">
        <v>1140</v>
      </c>
      <c r="T61" s="30" t="s">
        <v>1141</v>
      </c>
      <c r="U61" s="30" t="s">
        <v>31</v>
      </c>
      <c r="V61" s="30" t="s">
        <v>243</v>
      </c>
      <c r="W61" s="30" t="s">
        <v>1142</v>
      </c>
      <c r="X61" s="30" t="s">
        <v>1143</v>
      </c>
      <c r="Y61" s="30" t="s">
        <v>31</v>
      </c>
      <c r="Z61" s="30" t="s">
        <v>243</v>
      </c>
      <c r="AA61" s="30" t="s">
        <v>1144</v>
      </c>
      <c r="AB61" s="30" t="s">
        <v>1145</v>
      </c>
      <c r="AC61" s="30" t="s">
        <v>31</v>
      </c>
      <c r="AD61" s="30" t="s">
        <v>243</v>
      </c>
      <c r="AE61" s="30" t="s">
        <v>134</v>
      </c>
    </row>
    <row r="62" ht="22.5" customHeight="1">
      <c r="A62" s="28">
        <v>46240.52926377315</v>
      </c>
      <c r="B62" s="30" t="s">
        <v>1146</v>
      </c>
      <c r="C62" s="30" t="s">
        <v>1147</v>
      </c>
      <c r="D62" s="30" t="s">
        <v>82</v>
      </c>
      <c r="E62" s="30" t="s">
        <v>1148</v>
      </c>
      <c r="F62" s="30" t="s">
        <v>1149</v>
      </c>
      <c r="G62" s="30" t="s">
        <v>31</v>
      </c>
      <c r="H62" s="30" t="s">
        <v>126</v>
      </c>
      <c r="I62" s="30">
        <v>8.807496226E9</v>
      </c>
      <c r="J62" s="30" t="s">
        <v>1146</v>
      </c>
      <c r="K62" s="30" t="s">
        <v>1150</v>
      </c>
      <c r="L62" s="30" t="s">
        <v>1151</v>
      </c>
      <c r="M62" s="30" t="s">
        <v>31</v>
      </c>
      <c r="N62" s="30" t="s">
        <v>126</v>
      </c>
      <c r="O62" s="30" t="s">
        <v>1152</v>
      </c>
      <c r="P62" s="30" t="s">
        <v>1153</v>
      </c>
      <c r="Q62" s="30" t="s">
        <v>31</v>
      </c>
      <c r="R62" s="30" t="s">
        <v>126</v>
      </c>
      <c r="S62" s="30" t="s">
        <v>1154</v>
      </c>
      <c r="T62" s="30" t="s">
        <v>1155</v>
      </c>
      <c r="U62" s="30" t="s">
        <v>31</v>
      </c>
      <c r="V62" s="30" t="s">
        <v>94</v>
      </c>
      <c r="W62" s="30" t="s">
        <v>1156</v>
      </c>
      <c r="X62" s="30" t="s">
        <v>1157</v>
      </c>
      <c r="Y62" s="30" t="s">
        <v>31</v>
      </c>
      <c r="Z62" s="30" t="s">
        <v>94</v>
      </c>
      <c r="AA62" s="30" t="s">
        <v>1158</v>
      </c>
      <c r="AB62" s="30" t="s">
        <v>1159</v>
      </c>
      <c r="AC62" s="30" t="s">
        <v>31</v>
      </c>
      <c r="AD62" s="30" t="s">
        <v>126</v>
      </c>
      <c r="AE62" s="30" t="s">
        <v>134</v>
      </c>
    </row>
    <row r="63" ht="22.5" customHeight="1">
      <c r="A63" s="28">
        <v>46240.53021618056</v>
      </c>
      <c r="B63" s="30" t="s">
        <v>1160</v>
      </c>
      <c r="C63" s="30" t="s">
        <v>257</v>
      </c>
      <c r="D63" s="30" t="s">
        <v>193</v>
      </c>
      <c r="E63" s="30" t="s">
        <v>1161</v>
      </c>
      <c r="F63" s="30" t="s">
        <v>258</v>
      </c>
      <c r="G63" s="30" t="s">
        <v>23</v>
      </c>
      <c r="H63" s="30" t="s">
        <v>243</v>
      </c>
      <c r="I63" s="30">
        <v>9.994688761E9</v>
      </c>
      <c r="J63" s="30" t="s">
        <v>1160</v>
      </c>
      <c r="K63" s="30" t="s">
        <v>1162</v>
      </c>
      <c r="L63" s="30" t="s">
        <v>191</v>
      </c>
      <c r="M63" s="30" t="s">
        <v>23</v>
      </c>
      <c r="N63" s="30" t="s">
        <v>243</v>
      </c>
      <c r="O63" s="30" t="s">
        <v>1163</v>
      </c>
      <c r="P63" s="30" t="s">
        <v>1164</v>
      </c>
      <c r="Q63" s="30" t="s">
        <v>23</v>
      </c>
      <c r="R63" s="30" t="s">
        <v>94</v>
      </c>
      <c r="S63" s="30" t="s">
        <v>1165</v>
      </c>
      <c r="T63" s="30" t="s">
        <v>1166</v>
      </c>
      <c r="U63" s="30" t="s">
        <v>23</v>
      </c>
      <c r="V63" s="30" t="s">
        <v>280</v>
      </c>
      <c r="W63" s="30" t="s">
        <v>1167</v>
      </c>
      <c r="X63" s="30" t="s">
        <v>1168</v>
      </c>
      <c r="Y63" s="30" t="s">
        <v>23</v>
      </c>
      <c r="Z63" s="30" t="s">
        <v>280</v>
      </c>
      <c r="AA63" s="30" t="s">
        <v>1169</v>
      </c>
      <c r="AB63" s="30" t="s">
        <v>1170</v>
      </c>
      <c r="AC63" s="30" t="s">
        <v>23</v>
      </c>
      <c r="AD63" s="30" t="s">
        <v>280</v>
      </c>
      <c r="AE63" s="30" t="s">
        <v>134</v>
      </c>
    </row>
    <row r="64" ht="22.5" customHeight="1">
      <c r="A64" s="28">
        <v>46240.53114664352</v>
      </c>
      <c r="B64" s="30" t="s">
        <v>1171</v>
      </c>
      <c r="C64" s="30" t="s">
        <v>1172</v>
      </c>
      <c r="D64" s="30" t="s">
        <v>193</v>
      </c>
      <c r="E64" s="30" t="s">
        <v>1173</v>
      </c>
      <c r="F64" s="30" t="s">
        <v>1174</v>
      </c>
      <c r="G64" s="30" t="s">
        <v>23</v>
      </c>
      <c r="H64" s="30" t="s">
        <v>22</v>
      </c>
      <c r="I64" s="30">
        <v>7.604990626E9</v>
      </c>
      <c r="J64" s="30" t="s">
        <v>1171</v>
      </c>
      <c r="K64" s="30" t="s">
        <v>1175</v>
      </c>
      <c r="L64" s="30" t="s">
        <v>1176</v>
      </c>
      <c r="M64" s="30" t="s">
        <v>23</v>
      </c>
      <c r="N64" s="30" t="s">
        <v>22</v>
      </c>
      <c r="O64" s="30" t="s">
        <v>1177</v>
      </c>
      <c r="P64" s="30" t="s">
        <v>1178</v>
      </c>
      <c r="Q64" s="30" t="s">
        <v>23</v>
      </c>
      <c r="R64" s="30" t="s">
        <v>22</v>
      </c>
      <c r="S64" s="30" t="s">
        <v>1179</v>
      </c>
      <c r="T64" s="30" t="s">
        <v>1180</v>
      </c>
      <c r="U64" s="30" t="s">
        <v>23</v>
      </c>
      <c r="V64" s="30" t="s">
        <v>126</v>
      </c>
      <c r="W64" s="30" t="s">
        <v>1181</v>
      </c>
      <c r="X64" s="30" t="s">
        <v>1182</v>
      </c>
      <c r="Y64" s="30" t="s">
        <v>23</v>
      </c>
      <c r="Z64" s="30" t="s">
        <v>22</v>
      </c>
      <c r="AA64" s="30" t="s">
        <v>1183</v>
      </c>
      <c r="AB64" s="30" t="s">
        <v>1184</v>
      </c>
      <c r="AC64" s="30" t="s">
        <v>23</v>
      </c>
      <c r="AD64" s="30" t="s">
        <v>94</v>
      </c>
      <c r="AE64" s="30" t="s">
        <v>134</v>
      </c>
    </row>
    <row r="65" ht="22.5" customHeight="1">
      <c r="A65" s="28">
        <v>46240.53509394676</v>
      </c>
      <c r="B65" s="30" t="s">
        <v>1185</v>
      </c>
      <c r="C65" s="30" t="s">
        <v>1186</v>
      </c>
      <c r="D65" s="30" t="s">
        <v>193</v>
      </c>
      <c r="E65" s="30" t="s">
        <v>1187</v>
      </c>
      <c r="F65" s="30" t="s">
        <v>1188</v>
      </c>
      <c r="G65" s="30" t="s">
        <v>23</v>
      </c>
      <c r="H65" s="30" t="s">
        <v>78</v>
      </c>
      <c r="I65" s="30">
        <v>7.904146844E9</v>
      </c>
      <c r="J65" s="30" t="s">
        <v>1185</v>
      </c>
      <c r="K65" s="30" t="s">
        <v>1189</v>
      </c>
      <c r="L65" s="30" t="s">
        <v>1190</v>
      </c>
      <c r="M65" s="30" t="s">
        <v>23</v>
      </c>
      <c r="N65" s="30" t="s">
        <v>78</v>
      </c>
      <c r="O65" s="30" t="s">
        <v>1191</v>
      </c>
      <c r="P65" s="30" t="s">
        <v>1192</v>
      </c>
      <c r="Q65" s="30" t="s">
        <v>23</v>
      </c>
      <c r="R65" s="30" t="s">
        <v>78</v>
      </c>
      <c r="S65" s="30" t="s">
        <v>1193</v>
      </c>
      <c r="T65" s="30" t="s">
        <v>1194</v>
      </c>
      <c r="U65" s="30" t="s">
        <v>23</v>
      </c>
      <c r="V65" s="30" t="s">
        <v>78</v>
      </c>
      <c r="W65" s="30" t="s">
        <v>1195</v>
      </c>
      <c r="X65" s="30" t="s">
        <v>1196</v>
      </c>
      <c r="Y65" s="30" t="s">
        <v>23</v>
      </c>
      <c r="Z65" s="30" t="s">
        <v>22</v>
      </c>
      <c r="AA65" s="30" t="s">
        <v>1197</v>
      </c>
      <c r="AB65" s="30" t="s">
        <v>1198</v>
      </c>
      <c r="AC65" s="30" t="s">
        <v>23</v>
      </c>
      <c r="AD65" s="30" t="s">
        <v>78</v>
      </c>
      <c r="AE65" s="30" t="s">
        <v>134</v>
      </c>
    </row>
    <row r="66" ht="22.5" customHeight="1">
      <c r="A66" s="28">
        <v>46240.54611568287</v>
      </c>
      <c r="B66" s="30" t="s">
        <v>1199</v>
      </c>
      <c r="C66" s="30" t="s">
        <v>1200</v>
      </c>
      <c r="D66" s="30" t="s">
        <v>82</v>
      </c>
      <c r="E66" s="30" t="s">
        <v>1201</v>
      </c>
      <c r="F66" s="30" t="s">
        <v>1202</v>
      </c>
      <c r="G66" s="30" t="s">
        <v>31</v>
      </c>
      <c r="H66" s="30" t="s">
        <v>22</v>
      </c>
      <c r="I66" s="30">
        <v>7.63955957E9</v>
      </c>
      <c r="J66" s="30" t="s">
        <v>1203</v>
      </c>
      <c r="K66" s="30" t="s">
        <v>1204</v>
      </c>
      <c r="L66" s="30" t="s">
        <v>1205</v>
      </c>
      <c r="M66" s="30" t="s">
        <v>31</v>
      </c>
      <c r="N66" s="30" t="s">
        <v>22</v>
      </c>
      <c r="O66" s="30" t="s">
        <v>1206</v>
      </c>
      <c r="P66" s="30" t="s">
        <v>893</v>
      </c>
      <c r="Q66" s="30" t="s">
        <v>31</v>
      </c>
      <c r="R66" s="30" t="s">
        <v>22</v>
      </c>
      <c r="S66" s="30" t="s">
        <v>1207</v>
      </c>
      <c r="T66" s="30" t="s">
        <v>1208</v>
      </c>
      <c r="U66" s="30" t="s">
        <v>31</v>
      </c>
      <c r="V66" s="30" t="s">
        <v>94</v>
      </c>
      <c r="W66" s="30" t="s">
        <v>1209</v>
      </c>
      <c r="X66" s="30" t="s">
        <v>1210</v>
      </c>
      <c r="Y66" s="30" t="s">
        <v>31</v>
      </c>
      <c r="Z66" s="30" t="s">
        <v>94</v>
      </c>
      <c r="AA66" s="30" t="s">
        <v>1211</v>
      </c>
      <c r="AB66" s="30" t="s">
        <v>1212</v>
      </c>
      <c r="AC66" s="30" t="s">
        <v>31</v>
      </c>
      <c r="AD66" s="30" t="s">
        <v>126</v>
      </c>
      <c r="AE66" s="30" t="s">
        <v>134</v>
      </c>
    </row>
    <row r="67" ht="22.5" customHeight="1">
      <c r="A67" s="28">
        <v>46240.554351342595</v>
      </c>
      <c r="B67" s="30" t="s">
        <v>1213</v>
      </c>
      <c r="C67" s="30" t="s">
        <v>1214</v>
      </c>
      <c r="D67" s="30" t="s">
        <v>193</v>
      </c>
      <c r="E67" s="30" t="s">
        <v>1215</v>
      </c>
      <c r="F67" s="30" t="s">
        <v>1216</v>
      </c>
      <c r="G67" s="30" t="s">
        <v>23</v>
      </c>
      <c r="H67" s="30" t="s">
        <v>22</v>
      </c>
      <c r="I67" s="30">
        <v>9.345966423E9</v>
      </c>
      <c r="J67" s="30" t="s">
        <v>1213</v>
      </c>
      <c r="K67" s="30" t="s">
        <v>1217</v>
      </c>
      <c r="L67" s="30" t="s">
        <v>1218</v>
      </c>
      <c r="M67" s="30" t="s">
        <v>23</v>
      </c>
      <c r="N67" s="30" t="s">
        <v>22</v>
      </c>
      <c r="O67" s="30" t="s">
        <v>1219</v>
      </c>
      <c r="P67" s="30" t="s">
        <v>1220</v>
      </c>
      <c r="Q67" s="30" t="s">
        <v>23</v>
      </c>
      <c r="R67" s="30" t="s">
        <v>22</v>
      </c>
      <c r="S67" s="30" t="s">
        <v>1221</v>
      </c>
      <c r="T67" s="30" t="s">
        <v>1222</v>
      </c>
      <c r="U67" s="30" t="s">
        <v>23</v>
      </c>
      <c r="V67" s="30" t="s">
        <v>22</v>
      </c>
      <c r="W67" s="30" t="s">
        <v>1223</v>
      </c>
      <c r="X67" s="30" t="s">
        <v>1224</v>
      </c>
      <c r="Y67" s="30" t="s">
        <v>23</v>
      </c>
      <c r="Z67" s="30" t="s">
        <v>22</v>
      </c>
      <c r="AA67" s="30" t="s">
        <v>1225</v>
      </c>
      <c r="AB67" s="30" t="s">
        <v>1226</v>
      </c>
      <c r="AC67" s="30" t="s">
        <v>23</v>
      </c>
      <c r="AD67" s="30" t="s">
        <v>126</v>
      </c>
      <c r="AE67" s="30" t="s">
        <v>134</v>
      </c>
    </row>
    <row r="68" ht="22.5" customHeight="1">
      <c r="A68" s="28">
        <v>46240.556410370365</v>
      </c>
      <c r="B68" s="30" t="s">
        <v>1227</v>
      </c>
      <c r="C68" s="30" t="s">
        <v>1228</v>
      </c>
      <c r="D68" s="30" t="s">
        <v>193</v>
      </c>
      <c r="E68" s="30" t="s">
        <v>1229</v>
      </c>
      <c r="F68" s="30" t="s">
        <v>1230</v>
      </c>
      <c r="G68" s="30" t="s">
        <v>23</v>
      </c>
      <c r="H68" s="30" t="s">
        <v>22</v>
      </c>
      <c r="I68" s="30">
        <v>9.894957734E9</v>
      </c>
      <c r="J68" s="30" t="s">
        <v>1231</v>
      </c>
      <c r="K68" s="30" t="s">
        <v>1232</v>
      </c>
      <c r="L68" s="30" t="s">
        <v>1233</v>
      </c>
      <c r="M68" s="30" t="s">
        <v>23</v>
      </c>
      <c r="N68" s="30" t="s">
        <v>22</v>
      </c>
      <c r="O68" s="30" t="s">
        <v>1234</v>
      </c>
      <c r="P68" s="30" t="s">
        <v>1235</v>
      </c>
      <c r="Q68" s="30" t="s">
        <v>23</v>
      </c>
      <c r="R68" s="30" t="s">
        <v>22</v>
      </c>
      <c r="S68" s="30" t="s">
        <v>1236</v>
      </c>
      <c r="T68" s="30" t="s">
        <v>1237</v>
      </c>
      <c r="U68" s="30" t="s">
        <v>23</v>
      </c>
      <c r="V68" s="30" t="s">
        <v>22</v>
      </c>
      <c r="W68" s="30" t="s">
        <v>1238</v>
      </c>
      <c r="X68" s="30" t="s">
        <v>1239</v>
      </c>
      <c r="Y68" s="30" t="s">
        <v>23</v>
      </c>
      <c r="Z68" s="30" t="s">
        <v>126</v>
      </c>
      <c r="AA68" s="30" t="s">
        <v>1240</v>
      </c>
      <c r="AB68" s="30" t="s">
        <v>1241</v>
      </c>
      <c r="AC68" s="30" t="s">
        <v>23</v>
      </c>
      <c r="AD68" s="30" t="s">
        <v>178</v>
      </c>
      <c r="AE68" s="30" t="s">
        <v>134</v>
      </c>
    </row>
    <row r="69" ht="22.5" customHeight="1">
      <c r="A69" s="28">
        <v>46240.5569202662</v>
      </c>
      <c r="B69" s="30" t="s">
        <v>1242</v>
      </c>
      <c r="C69" s="30" t="s">
        <v>1243</v>
      </c>
      <c r="D69" s="30" t="s">
        <v>82</v>
      </c>
      <c r="E69" s="30" t="s">
        <v>1244</v>
      </c>
      <c r="F69" s="30" t="s">
        <v>29</v>
      </c>
      <c r="G69" s="30" t="s">
        <v>31</v>
      </c>
      <c r="H69" s="30" t="s">
        <v>22</v>
      </c>
      <c r="I69" s="30">
        <v>9.787120076E9</v>
      </c>
      <c r="J69" s="30" t="s">
        <v>1242</v>
      </c>
      <c r="K69" s="30" t="s">
        <v>1245</v>
      </c>
      <c r="L69" s="30" t="s">
        <v>1246</v>
      </c>
      <c r="M69" s="30" t="s">
        <v>31</v>
      </c>
      <c r="N69" s="30" t="s">
        <v>22</v>
      </c>
      <c r="O69" s="30" t="s">
        <v>1247</v>
      </c>
      <c r="P69" s="30" t="s">
        <v>1248</v>
      </c>
      <c r="Q69" s="30" t="s">
        <v>31</v>
      </c>
      <c r="R69" s="30" t="s">
        <v>22</v>
      </c>
      <c r="S69" s="30" t="s">
        <v>1249</v>
      </c>
      <c r="T69" s="30" t="s">
        <v>1250</v>
      </c>
      <c r="U69" s="30" t="s">
        <v>31</v>
      </c>
      <c r="V69" s="30" t="s">
        <v>178</v>
      </c>
      <c r="W69" s="30" t="s">
        <v>1251</v>
      </c>
      <c r="X69" s="30" t="s">
        <v>1252</v>
      </c>
      <c r="Y69" s="30" t="s">
        <v>31</v>
      </c>
      <c r="Z69" s="30" t="s">
        <v>178</v>
      </c>
      <c r="AA69" s="30" t="s">
        <v>1253</v>
      </c>
      <c r="AB69" s="30" t="s">
        <v>1254</v>
      </c>
      <c r="AC69" s="30" t="s">
        <v>31</v>
      </c>
      <c r="AD69" s="30" t="s">
        <v>178</v>
      </c>
      <c r="AE69" s="30" t="s">
        <v>134</v>
      </c>
    </row>
    <row r="70" ht="22.5" customHeight="1">
      <c r="A70" s="28">
        <v>46240.56105258102</v>
      </c>
      <c r="B70" s="30" t="s">
        <v>1255</v>
      </c>
      <c r="C70" s="30" t="s">
        <v>1256</v>
      </c>
      <c r="D70" s="30" t="s">
        <v>82</v>
      </c>
      <c r="E70" s="30" t="s">
        <v>1257</v>
      </c>
      <c r="F70" s="30" t="s">
        <v>1258</v>
      </c>
      <c r="G70" s="30" t="s">
        <v>31</v>
      </c>
      <c r="H70" s="30" t="s">
        <v>126</v>
      </c>
      <c r="I70" s="30">
        <v>8.778829157E9</v>
      </c>
      <c r="J70" s="30" t="s">
        <v>1255</v>
      </c>
      <c r="K70" s="30" t="s">
        <v>1259</v>
      </c>
      <c r="L70" s="30" t="s">
        <v>1260</v>
      </c>
      <c r="M70" s="30" t="s">
        <v>31</v>
      </c>
      <c r="N70" s="30" t="s">
        <v>126</v>
      </c>
      <c r="O70" s="30" t="s">
        <v>1261</v>
      </c>
      <c r="P70" s="30" t="s">
        <v>1262</v>
      </c>
      <c r="Q70" s="30" t="s">
        <v>31</v>
      </c>
      <c r="R70" s="30" t="s">
        <v>243</v>
      </c>
      <c r="S70" s="30" t="s">
        <v>1263</v>
      </c>
      <c r="T70" s="30" t="s">
        <v>1264</v>
      </c>
      <c r="U70" s="30" t="s">
        <v>31</v>
      </c>
      <c r="V70" s="30" t="s">
        <v>69</v>
      </c>
      <c r="W70" s="30" t="s">
        <v>1265</v>
      </c>
      <c r="X70" s="30" t="s">
        <v>1266</v>
      </c>
      <c r="Y70" s="30" t="s">
        <v>31</v>
      </c>
      <c r="Z70" s="30" t="s">
        <v>69</v>
      </c>
      <c r="AA70" s="30" t="s">
        <v>1267</v>
      </c>
      <c r="AB70" s="30" t="s">
        <v>1268</v>
      </c>
      <c r="AC70" s="30" t="s">
        <v>31</v>
      </c>
      <c r="AD70" s="30" t="s">
        <v>69</v>
      </c>
      <c r="AE70" s="30" t="s">
        <v>134</v>
      </c>
    </row>
    <row r="71" ht="22.5" customHeight="1">
      <c r="A71" s="28">
        <v>46240.56731756944</v>
      </c>
      <c r="B71" s="30" t="s">
        <v>1269</v>
      </c>
      <c r="C71" s="30" t="s">
        <v>1270</v>
      </c>
      <c r="D71" s="30" t="s">
        <v>82</v>
      </c>
      <c r="E71" s="30" t="s">
        <v>1271</v>
      </c>
      <c r="F71" s="30" t="s">
        <v>300</v>
      </c>
      <c r="G71" s="30" t="s">
        <v>31</v>
      </c>
      <c r="H71" s="30" t="s">
        <v>126</v>
      </c>
      <c r="I71" s="30">
        <v>9.345640074E9</v>
      </c>
      <c r="J71" s="30" t="s">
        <v>1269</v>
      </c>
      <c r="K71" s="30" t="s">
        <v>1272</v>
      </c>
      <c r="L71" s="30" t="s">
        <v>1273</v>
      </c>
      <c r="M71" s="30" t="s">
        <v>31</v>
      </c>
      <c r="N71" s="30" t="s">
        <v>126</v>
      </c>
      <c r="O71" s="30" t="s">
        <v>1274</v>
      </c>
      <c r="P71" s="30" t="s">
        <v>1275</v>
      </c>
      <c r="Q71" s="30" t="s">
        <v>31</v>
      </c>
      <c r="R71" s="30" t="s">
        <v>126</v>
      </c>
      <c r="S71" s="30" t="s">
        <v>1276</v>
      </c>
      <c r="T71" s="30" t="s">
        <v>1277</v>
      </c>
      <c r="U71" s="30" t="s">
        <v>31</v>
      </c>
      <c r="V71" s="30" t="s">
        <v>126</v>
      </c>
      <c r="W71" s="30" t="s">
        <v>1278</v>
      </c>
      <c r="X71" s="30" t="s">
        <v>1279</v>
      </c>
      <c r="Y71" s="30" t="s">
        <v>31</v>
      </c>
      <c r="Z71" s="30" t="s">
        <v>78</v>
      </c>
      <c r="AA71" s="30" t="s">
        <v>1280</v>
      </c>
      <c r="AB71" s="30" t="s">
        <v>1281</v>
      </c>
      <c r="AC71" s="30" t="s">
        <v>31</v>
      </c>
      <c r="AD71" s="30" t="s">
        <v>22</v>
      </c>
      <c r="AE71" s="30" t="s">
        <v>134</v>
      </c>
    </row>
    <row r="72" ht="22.5" customHeight="1">
      <c r="A72" s="28">
        <v>46240.56841206018</v>
      </c>
      <c r="B72" s="30" t="s">
        <v>1282</v>
      </c>
      <c r="C72" s="30" t="s">
        <v>150</v>
      </c>
      <c r="D72" s="30" t="s">
        <v>82</v>
      </c>
      <c r="E72" s="30" t="s">
        <v>1283</v>
      </c>
      <c r="F72" s="30" t="s">
        <v>151</v>
      </c>
      <c r="G72" s="30" t="s">
        <v>31</v>
      </c>
      <c r="H72" s="30" t="s">
        <v>94</v>
      </c>
      <c r="I72" s="30">
        <v>6.374548131E9</v>
      </c>
      <c r="J72" s="30" t="s">
        <v>1282</v>
      </c>
      <c r="K72" s="30" t="s">
        <v>1284</v>
      </c>
      <c r="L72" s="30" t="s">
        <v>1285</v>
      </c>
      <c r="M72" s="30" t="s">
        <v>31</v>
      </c>
      <c r="N72" s="30" t="s">
        <v>94</v>
      </c>
      <c r="O72" s="30" t="s">
        <v>1286</v>
      </c>
      <c r="P72" s="30" t="s">
        <v>1287</v>
      </c>
      <c r="Q72" s="30" t="s">
        <v>31</v>
      </c>
      <c r="R72" s="30" t="s">
        <v>94</v>
      </c>
      <c r="S72" s="30" t="s">
        <v>1288</v>
      </c>
      <c r="T72" s="30" t="s">
        <v>1289</v>
      </c>
      <c r="U72" s="30" t="s">
        <v>31</v>
      </c>
      <c r="V72" s="30" t="s">
        <v>94</v>
      </c>
      <c r="W72" s="30" t="s">
        <v>1290</v>
      </c>
      <c r="X72" s="30" t="s">
        <v>1291</v>
      </c>
      <c r="Y72" s="30" t="s">
        <v>31</v>
      </c>
      <c r="Z72" s="30" t="s">
        <v>178</v>
      </c>
      <c r="AA72" s="30" t="s">
        <v>1292</v>
      </c>
      <c r="AB72" s="30" t="s">
        <v>1293</v>
      </c>
      <c r="AC72" s="30" t="s">
        <v>31</v>
      </c>
      <c r="AD72" s="30" t="s">
        <v>22</v>
      </c>
      <c r="AE72" s="30" t="s">
        <v>134</v>
      </c>
    </row>
    <row r="73" ht="22.5" customHeight="1">
      <c r="A73" s="28">
        <v>46240.56861516203</v>
      </c>
      <c r="B73" s="30" t="s">
        <v>1294</v>
      </c>
      <c r="C73" s="30" t="s">
        <v>37</v>
      </c>
      <c r="D73" s="30" t="s">
        <v>82</v>
      </c>
      <c r="E73" s="30" t="s">
        <v>1295</v>
      </c>
      <c r="F73" s="30" t="s">
        <v>38</v>
      </c>
      <c r="G73" s="30" t="s">
        <v>31</v>
      </c>
      <c r="H73" s="30" t="s">
        <v>22</v>
      </c>
      <c r="I73" s="30">
        <v>9.025114083E9</v>
      </c>
      <c r="J73" s="30" t="s">
        <v>1294</v>
      </c>
      <c r="K73" s="30" t="s">
        <v>1296</v>
      </c>
      <c r="L73" s="30" t="s">
        <v>1297</v>
      </c>
      <c r="M73" s="30" t="s">
        <v>31</v>
      </c>
      <c r="N73" s="30" t="s">
        <v>22</v>
      </c>
      <c r="O73" s="30" t="s">
        <v>1298</v>
      </c>
      <c r="P73" s="30" t="s">
        <v>1299</v>
      </c>
      <c r="Q73" s="30" t="s">
        <v>31</v>
      </c>
      <c r="R73" s="30" t="s">
        <v>178</v>
      </c>
      <c r="S73" s="30" t="s">
        <v>1300</v>
      </c>
      <c r="T73" s="30" t="s">
        <v>1301</v>
      </c>
      <c r="U73" s="30" t="s">
        <v>31</v>
      </c>
      <c r="V73" s="30" t="s">
        <v>219</v>
      </c>
      <c r="W73" s="30" t="s">
        <v>1302</v>
      </c>
      <c r="X73" s="30" t="s">
        <v>1303</v>
      </c>
      <c r="Y73" s="30" t="s">
        <v>31</v>
      </c>
      <c r="Z73" s="30" t="s">
        <v>126</v>
      </c>
      <c r="AA73" s="30" t="s">
        <v>1304</v>
      </c>
      <c r="AB73" s="30" t="s">
        <v>1305</v>
      </c>
      <c r="AC73" s="30" t="s">
        <v>31</v>
      </c>
      <c r="AD73" s="30" t="s">
        <v>126</v>
      </c>
      <c r="AE73" s="30" t="s">
        <v>134</v>
      </c>
    </row>
    <row r="74" ht="22.5" customHeight="1">
      <c r="A74" s="28">
        <v>46240.57611555555</v>
      </c>
      <c r="B74" s="30" t="s">
        <v>1306</v>
      </c>
      <c r="C74" s="30" t="s">
        <v>1307</v>
      </c>
      <c r="D74" s="30" t="s">
        <v>82</v>
      </c>
      <c r="E74" s="30" t="s">
        <v>1308</v>
      </c>
      <c r="F74" s="30" t="s">
        <v>1309</v>
      </c>
      <c r="G74" s="30" t="s">
        <v>31</v>
      </c>
      <c r="H74" s="30" t="s">
        <v>219</v>
      </c>
      <c r="I74" s="30">
        <v>8.825440187E9</v>
      </c>
      <c r="J74" s="30" t="s">
        <v>1306</v>
      </c>
      <c r="K74" s="30" t="s">
        <v>1310</v>
      </c>
      <c r="L74" s="30" t="s">
        <v>1311</v>
      </c>
      <c r="M74" s="30" t="s">
        <v>31</v>
      </c>
      <c r="N74" s="30" t="s">
        <v>22</v>
      </c>
      <c r="O74" s="30" t="s">
        <v>1312</v>
      </c>
      <c r="P74" s="30" t="s">
        <v>1313</v>
      </c>
      <c r="Q74" s="30" t="s">
        <v>31</v>
      </c>
      <c r="R74" s="30" t="s">
        <v>219</v>
      </c>
      <c r="S74" s="30" t="s">
        <v>1314</v>
      </c>
      <c r="T74" s="30" t="s">
        <v>1315</v>
      </c>
      <c r="U74" s="30" t="s">
        <v>31</v>
      </c>
      <c r="V74" s="30" t="s">
        <v>22</v>
      </c>
      <c r="W74" s="30" t="s">
        <v>1316</v>
      </c>
      <c r="X74" s="30" t="s">
        <v>1317</v>
      </c>
      <c r="Y74" s="30" t="s">
        <v>31</v>
      </c>
      <c r="Z74" s="30" t="s">
        <v>313</v>
      </c>
      <c r="AA74" s="30" t="s">
        <v>1318</v>
      </c>
      <c r="AB74" s="30" t="s">
        <v>1319</v>
      </c>
      <c r="AC74" s="30" t="s">
        <v>31</v>
      </c>
      <c r="AD74" s="30" t="s">
        <v>313</v>
      </c>
      <c r="AE74" s="30" t="s">
        <v>134</v>
      </c>
    </row>
    <row r="75" ht="22.5" customHeight="1">
      <c r="A75" s="28">
        <v>46240.583467881945</v>
      </c>
      <c r="B75" s="30" t="s">
        <v>1320</v>
      </c>
      <c r="C75" s="30" t="s">
        <v>1321</v>
      </c>
      <c r="D75" s="30" t="s">
        <v>193</v>
      </c>
      <c r="E75" s="30" t="s">
        <v>1322</v>
      </c>
      <c r="F75" s="30" t="s">
        <v>1323</v>
      </c>
      <c r="G75" s="30" t="s">
        <v>31</v>
      </c>
      <c r="H75" s="30" t="s">
        <v>22</v>
      </c>
      <c r="I75" s="30">
        <v>9.342723435E9</v>
      </c>
      <c r="J75" s="30" t="s">
        <v>1320</v>
      </c>
      <c r="K75" s="30" t="s">
        <v>1324</v>
      </c>
      <c r="L75" s="30" t="s">
        <v>1325</v>
      </c>
      <c r="M75" s="30" t="s">
        <v>31</v>
      </c>
      <c r="N75" s="30" t="s">
        <v>280</v>
      </c>
      <c r="O75" s="30" t="s">
        <v>1326</v>
      </c>
      <c r="P75" s="30" t="s">
        <v>1327</v>
      </c>
      <c r="Q75" s="30" t="s">
        <v>31</v>
      </c>
      <c r="R75" s="30" t="s">
        <v>126</v>
      </c>
      <c r="S75" s="30" t="s">
        <v>1328</v>
      </c>
      <c r="T75" s="30" t="s">
        <v>1329</v>
      </c>
      <c r="U75" s="30" t="s">
        <v>31</v>
      </c>
      <c r="V75" s="30" t="s">
        <v>126</v>
      </c>
      <c r="W75" s="30" t="s">
        <v>1330</v>
      </c>
      <c r="X75" s="30" t="s">
        <v>1331</v>
      </c>
      <c r="Y75" s="30" t="s">
        <v>31</v>
      </c>
      <c r="Z75" s="30" t="s">
        <v>126</v>
      </c>
      <c r="AA75" s="30" t="s">
        <v>1332</v>
      </c>
      <c r="AB75" s="30" t="s">
        <v>1333</v>
      </c>
      <c r="AC75" s="30" t="s">
        <v>31</v>
      </c>
      <c r="AD75" s="30" t="s">
        <v>219</v>
      </c>
      <c r="AE75" s="30" t="s">
        <v>134</v>
      </c>
    </row>
    <row r="76" ht="22.5" customHeight="1">
      <c r="A76" s="28">
        <v>46240.584692476856</v>
      </c>
      <c r="B76" s="30" t="s">
        <v>1334</v>
      </c>
      <c r="C76" s="30" t="s">
        <v>1335</v>
      </c>
      <c r="D76" s="30" t="s">
        <v>193</v>
      </c>
      <c r="E76" s="30" t="s">
        <v>1336</v>
      </c>
      <c r="F76" s="30" t="s">
        <v>1337</v>
      </c>
      <c r="G76" s="30" t="s">
        <v>31</v>
      </c>
      <c r="H76" s="30" t="s">
        <v>280</v>
      </c>
      <c r="I76" s="30">
        <v>6.38523129E9</v>
      </c>
      <c r="J76" s="30" t="s">
        <v>1334</v>
      </c>
      <c r="K76" s="30" t="s">
        <v>1338</v>
      </c>
      <c r="L76" s="30" t="s">
        <v>1339</v>
      </c>
      <c r="M76" s="30" t="s">
        <v>31</v>
      </c>
      <c r="N76" s="30" t="s">
        <v>280</v>
      </c>
      <c r="O76" s="30" t="s">
        <v>1340</v>
      </c>
      <c r="P76" s="30" t="s">
        <v>1341</v>
      </c>
      <c r="Q76" s="30" t="s">
        <v>31</v>
      </c>
      <c r="R76" s="30" t="s">
        <v>280</v>
      </c>
      <c r="S76" s="30" t="s">
        <v>1342</v>
      </c>
      <c r="T76" s="30" t="s">
        <v>1343</v>
      </c>
      <c r="U76" s="30" t="s">
        <v>31</v>
      </c>
      <c r="V76" s="30" t="s">
        <v>280</v>
      </c>
      <c r="W76" s="30" t="s">
        <v>1344</v>
      </c>
      <c r="X76" s="30" t="s">
        <v>1345</v>
      </c>
      <c r="Y76" s="30" t="s">
        <v>31</v>
      </c>
      <c r="Z76" s="30" t="s">
        <v>280</v>
      </c>
      <c r="AA76" s="30" t="s">
        <v>1346</v>
      </c>
      <c r="AB76" s="30" t="s">
        <v>1347</v>
      </c>
      <c r="AC76" s="30" t="s">
        <v>31</v>
      </c>
      <c r="AD76" s="30" t="s">
        <v>178</v>
      </c>
      <c r="AE76" s="30" t="s">
        <v>134</v>
      </c>
    </row>
    <row r="77" ht="22.5" customHeight="1">
      <c r="A77" s="28">
        <v>46240.58521334491</v>
      </c>
      <c r="B77" s="30" t="s">
        <v>1348</v>
      </c>
      <c r="C77" s="30" t="s">
        <v>196</v>
      </c>
      <c r="D77" s="30" t="s">
        <v>82</v>
      </c>
      <c r="E77" s="30" t="s">
        <v>1349</v>
      </c>
      <c r="F77" s="30" t="s">
        <v>197</v>
      </c>
      <c r="G77" s="30" t="s">
        <v>31</v>
      </c>
      <c r="H77" s="30" t="s">
        <v>94</v>
      </c>
      <c r="I77" s="30">
        <v>9.842208406E9</v>
      </c>
      <c r="J77" s="30" t="s">
        <v>1350</v>
      </c>
      <c r="K77" s="30" t="s">
        <v>1351</v>
      </c>
      <c r="L77" s="30" t="s">
        <v>1352</v>
      </c>
      <c r="M77" s="30" t="s">
        <v>31</v>
      </c>
      <c r="N77" s="30" t="s">
        <v>280</v>
      </c>
      <c r="O77" s="30" t="s">
        <v>1353</v>
      </c>
      <c r="P77" s="30" t="s">
        <v>1354</v>
      </c>
      <c r="Q77" s="30" t="s">
        <v>31</v>
      </c>
      <c r="R77" s="30" t="s">
        <v>94</v>
      </c>
      <c r="S77" s="30" t="s">
        <v>1355</v>
      </c>
      <c r="T77" s="30" t="s">
        <v>1356</v>
      </c>
      <c r="U77" s="30" t="s">
        <v>31</v>
      </c>
      <c r="V77" s="30" t="s">
        <v>126</v>
      </c>
      <c r="W77" s="30" t="s">
        <v>1357</v>
      </c>
      <c r="X77" s="30" t="s">
        <v>1358</v>
      </c>
      <c r="Y77" s="30" t="s">
        <v>31</v>
      </c>
      <c r="Z77" s="30" t="s">
        <v>126</v>
      </c>
      <c r="AA77" s="30" t="s">
        <v>1359</v>
      </c>
      <c r="AB77" s="30" t="s">
        <v>1360</v>
      </c>
      <c r="AC77" s="30" t="s">
        <v>31</v>
      </c>
      <c r="AD77" s="30" t="s">
        <v>126</v>
      </c>
      <c r="AE77" s="30" t="s">
        <v>134</v>
      </c>
    </row>
    <row r="78" ht="22.5" customHeight="1">
      <c r="A78" s="28">
        <v>46240.586346516204</v>
      </c>
      <c r="B78" s="30" t="s">
        <v>1361</v>
      </c>
      <c r="C78" s="30" t="s">
        <v>1362</v>
      </c>
      <c r="D78" s="30" t="s">
        <v>82</v>
      </c>
      <c r="E78" s="30" t="s">
        <v>1363</v>
      </c>
      <c r="F78" s="30" t="s">
        <v>1364</v>
      </c>
      <c r="G78" s="30" t="s">
        <v>31</v>
      </c>
      <c r="H78" s="30" t="s">
        <v>126</v>
      </c>
      <c r="I78" s="30">
        <v>6.385309161E9</v>
      </c>
      <c r="J78" s="30" t="s">
        <v>1365</v>
      </c>
      <c r="K78" s="30" t="s">
        <v>1366</v>
      </c>
      <c r="L78" s="30" t="s">
        <v>1367</v>
      </c>
      <c r="M78" s="30" t="s">
        <v>31</v>
      </c>
      <c r="N78" s="30" t="s">
        <v>22</v>
      </c>
      <c r="O78" s="30" t="s">
        <v>1368</v>
      </c>
      <c r="P78" s="30" t="s">
        <v>1369</v>
      </c>
      <c r="Q78" s="30" t="s">
        <v>31</v>
      </c>
      <c r="R78" s="30" t="s">
        <v>94</v>
      </c>
      <c r="S78" s="30" t="s">
        <v>1370</v>
      </c>
      <c r="T78" s="30" t="s">
        <v>1371</v>
      </c>
      <c r="U78" s="30" t="s">
        <v>31</v>
      </c>
      <c r="V78" s="30" t="s">
        <v>94</v>
      </c>
      <c r="W78" s="30" t="s">
        <v>1372</v>
      </c>
      <c r="X78" s="30" t="s">
        <v>1373</v>
      </c>
      <c r="Y78" s="30" t="s">
        <v>31</v>
      </c>
      <c r="Z78" s="30" t="s">
        <v>126</v>
      </c>
      <c r="AA78" s="30" t="s">
        <v>1374</v>
      </c>
      <c r="AB78" s="30" t="s">
        <v>1375</v>
      </c>
      <c r="AC78" s="30" t="s">
        <v>31</v>
      </c>
      <c r="AD78" s="30" t="s">
        <v>22</v>
      </c>
      <c r="AE78" s="30" t="s">
        <v>134</v>
      </c>
    </row>
    <row r="79" ht="22.5" customHeight="1">
      <c r="A79" s="28">
        <v>46240.59216579861</v>
      </c>
      <c r="B79" s="30" t="s">
        <v>1376</v>
      </c>
      <c r="C79" s="30" t="s">
        <v>266</v>
      </c>
      <c r="D79" s="30" t="s">
        <v>193</v>
      </c>
      <c r="E79" s="30" t="s">
        <v>1377</v>
      </c>
      <c r="F79" s="30" t="s">
        <v>1378</v>
      </c>
      <c r="G79" s="30" t="s">
        <v>31</v>
      </c>
      <c r="H79" s="30" t="s">
        <v>243</v>
      </c>
      <c r="I79" s="30">
        <v>9.361575861E9</v>
      </c>
      <c r="J79" s="30" t="s">
        <v>1376</v>
      </c>
      <c r="K79" s="30" t="s">
        <v>1379</v>
      </c>
      <c r="L79" s="30" t="s">
        <v>1380</v>
      </c>
      <c r="M79" s="30" t="s">
        <v>31</v>
      </c>
      <c r="N79" s="30" t="s">
        <v>243</v>
      </c>
      <c r="O79" s="30" t="s">
        <v>1381</v>
      </c>
      <c r="P79" s="30" t="s">
        <v>1382</v>
      </c>
      <c r="Q79" s="30" t="s">
        <v>31</v>
      </c>
      <c r="R79" s="30" t="s">
        <v>94</v>
      </c>
      <c r="S79" s="30" t="s">
        <v>1383</v>
      </c>
      <c r="T79" s="30" t="s">
        <v>1384</v>
      </c>
      <c r="U79" s="30" t="s">
        <v>31</v>
      </c>
      <c r="V79" s="30" t="s">
        <v>94</v>
      </c>
      <c r="W79" s="30" t="s">
        <v>1385</v>
      </c>
      <c r="X79" s="30" t="s">
        <v>1386</v>
      </c>
      <c r="Y79" s="30" t="s">
        <v>31</v>
      </c>
      <c r="Z79" s="30" t="s">
        <v>94</v>
      </c>
      <c r="AA79" s="30" t="s">
        <v>1387</v>
      </c>
      <c r="AB79" s="30" t="s">
        <v>1388</v>
      </c>
      <c r="AC79" s="30" t="s">
        <v>31</v>
      </c>
      <c r="AD79" s="30" t="s">
        <v>94</v>
      </c>
      <c r="AE79" s="30" t="s">
        <v>134</v>
      </c>
    </row>
    <row r="80" ht="22.5" customHeight="1">
      <c r="A80" s="28">
        <v>46240.592988206015</v>
      </c>
      <c r="B80" s="30" t="s">
        <v>1389</v>
      </c>
      <c r="C80" s="30" t="s">
        <v>1390</v>
      </c>
      <c r="D80" s="30" t="s">
        <v>82</v>
      </c>
      <c r="E80" s="30" t="s">
        <v>1391</v>
      </c>
      <c r="F80" s="30" t="s">
        <v>1392</v>
      </c>
      <c r="G80" s="30" t="s">
        <v>31</v>
      </c>
      <c r="H80" s="30" t="s">
        <v>22</v>
      </c>
      <c r="I80" s="30">
        <v>7.845912127E9</v>
      </c>
      <c r="J80" s="30" t="s">
        <v>1393</v>
      </c>
      <c r="K80" s="30" t="s">
        <v>1394</v>
      </c>
      <c r="L80" s="30" t="s">
        <v>1395</v>
      </c>
      <c r="M80" s="30" t="s">
        <v>31</v>
      </c>
      <c r="N80" s="30" t="s">
        <v>94</v>
      </c>
      <c r="O80" s="30" t="s">
        <v>1396</v>
      </c>
      <c r="P80" s="30" t="s">
        <v>1397</v>
      </c>
      <c r="Q80" s="30" t="s">
        <v>31</v>
      </c>
      <c r="R80" s="30" t="s">
        <v>94</v>
      </c>
      <c r="S80" s="30" t="s">
        <v>1398</v>
      </c>
      <c r="T80" s="30" t="s">
        <v>1399</v>
      </c>
      <c r="U80" s="30" t="s">
        <v>31</v>
      </c>
      <c r="V80" s="30" t="s">
        <v>126</v>
      </c>
      <c r="W80" s="30" t="s">
        <v>1400</v>
      </c>
      <c r="X80" s="30" t="s">
        <v>1401</v>
      </c>
      <c r="Y80" s="30" t="s">
        <v>31</v>
      </c>
      <c r="Z80" s="30" t="s">
        <v>126</v>
      </c>
      <c r="AA80" s="30" t="s">
        <v>1402</v>
      </c>
      <c r="AB80" s="30" t="s">
        <v>1403</v>
      </c>
      <c r="AC80" s="30" t="s">
        <v>31</v>
      </c>
      <c r="AD80" s="30" t="s">
        <v>22</v>
      </c>
      <c r="AE80" s="30" t="s">
        <v>134</v>
      </c>
    </row>
    <row r="81" ht="22.5" customHeight="1">
      <c r="A81" s="28">
        <v>46240.59311641204</v>
      </c>
      <c r="B81" s="30" t="s">
        <v>1404</v>
      </c>
      <c r="C81" s="30" t="s">
        <v>1405</v>
      </c>
      <c r="D81" s="30" t="s">
        <v>82</v>
      </c>
      <c r="E81" s="30" t="s">
        <v>1406</v>
      </c>
      <c r="F81" s="30" t="s">
        <v>1407</v>
      </c>
      <c r="G81" s="30" t="s">
        <v>31</v>
      </c>
      <c r="H81" s="30" t="s">
        <v>178</v>
      </c>
      <c r="I81" s="30">
        <v>9.080945752E9</v>
      </c>
      <c r="J81" s="30" t="s">
        <v>1404</v>
      </c>
      <c r="K81" s="30" t="s">
        <v>1408</v>
      </c>
      <c r="L81" s="30" t="s">
        <v>1409</v>
      </c>
      <c r="M81" s="30" t="s">
        <v>31</v>
      </c>
      <c r="N81" s="30" t="s">
        <v>178</v>
      </c>
      <c r="O81" s="30" t="s">
        <v>1410</v>
      </c>
      <c r="P81" s="30" t="s">
        <v>1411</v>
      </c>
      <c r="Q81" s="30" t="s">
        <v>31</v>
      </c>
      <c r="R81" s="30" t="s">
        <v>313</v>
      </c>
      <c r="S81" s="30" t="s">
        <v>1412</v>
      </c>
      <c r="T81" s="30" t="s">
        <v>1413</v>
      </c>
      <c r="U81" s="30" t="s">
        <v>31</v>
      </c>
      <c r="V81" s="30" t="s">
        <v>313</v>
      </c>
      <c r="W81" s="30" t="s">
        <v>1414</v>
      </c>
      <c r="X81" s="30" t="s">
        <v>1415</v>
      </c>
      <c r="Y81" s="30" t="s">
        <v>31</v>
      </c>
      <c r="Z81" s="30" t="s">
        <v>94</v>
      </c>
      <c r="AA81" s="30" t="s">
        <v>1416</v>
      </c>
      <c r="AB81" s="30" t="s">
        <v>1417</v>
      </c>
      <c r="AC81" s="30" t="s">
        <v>31</v>
      </c>
      <c r="AD81" s="30" t="s">
        <v>94</v>
      </c>
      <c r="AE81" s="30" t="s">
        <v>134</v>
      </c>
    </row>
    <row r="82" ht="22.5" customHeight="1">
      <c r="A82" s="28">
        <v>46240.595140613426</v>
      </c>
      <c r="B82" s="30" t="s">
        <v>1418</v>
      </c>
      <c r="C82" s="30" t="s">
        <v>1419</v>
      </c>
      <c r="D82" s="30" t="s">
        <v>82</v>
      </c>
      <c r="E82" s="30" t="s">
        <v>1420</v>
      </c>
      <c r="F82" s="30" t="s">
        <v>1421</v>
      </c>
      <c r="G82" s="30" t="s">
        <v>31</v>
      </c>
      <c r="H82" s="30" t="s">
        <v>126</v>
      </c>
      <c r="I82" s="30">
        <v>9.942542473E9</v>
      </c>
      <c r="J82" s="30" t="s">
        <v>1418</v>
      </c>
      <c r="K82" s="30" t="s">
        <v>1422</v>
      </c>
      <c r="L82" s="30" t="s">
        <v>1423</v>
      </c>
      <c r="M82" s="30" t="s">
        <v>31</v>
      </c>
      <c r="N82" s="30" t="s">
        <v>126</v>
      </c>
      <c r="O82" s="30" t="s">
        <v>1424</v>
      </c>
      <c r="P82" s="30" t="s">
        <v>1425</v>
      </c>
      <c r="Q82" s="30" t="s">
        <v>31</v>
      </c>
      <c r="R82" s="30" t="s">
        <v>126</v>
      </c>
      <c r="S82" s="30" t="s">
        <v>1426</v>
      </c>
      <c r="T82" s="30" t="s">
        <v>1427</v>
      </c>
      <c r="U82" s="30" t="s">
        <v>31</v>
      </c>
      <c r="V82" s="30" t="s">
        <v>126</v>
      </c>
      <c r="W82" s="30" t="s">
        <v>1428</v>
      </c>
      <c r="X82" s="30" t="s">
        <v>1429</v>
      </c>
      <c r="Y82" s="30" t="s">
        <v>31</v>
      </c>
      <c r="Z82" s="30" t="s">
        <v>126</v>
      </c>
      <c r="AA82" s="30" t="s">
        <v>1430</v>
      </c>
      <c r="AB82" s="30" t="s">
        <v>1431</v>
      </c>
      <c r="AC82" s="30" t="s">
        <v>31</v>
      </c>
      <c r="AD82" s="30" t="s">
        <v>78</v>
      </c>
      <c r="AE82" s="30" t="s">
        <v>134</v>
      </c>
    </row>
    <row r="83" ht="22.5" customHeight="1">
      <c r="A83" s="28">
        <v>46240.59630579861</v>
      </c>
      <c r="B83" s="30" t="s">
        <v>1432</v>
      </c>
      <c r="C83" s="30" t="s">
        <v>1433</v>
      </c>
      <c r="D83" s="30" t="s">
        <v>82</v>
      </c>
      <c r="E83" s="30" t="s">
        <v>1434</v>
      </c>
      <c r="F83" s="30" t="s">
        <v>1435</v>
      </c>
      <c r="G83" s="30" t="s">
        <v>31</v>
      </c>
      <c r="H83" s="30" t="s">
        <v>243</v>
      </c>
      <c r="I83" s="30" t="s">
        <v>1436</v>
      </c>
      <c r="J83" s="30" t="s">
        <v>1437</v>
      </c>
      <c r="K83" s="30" t="s">
        <v>1438</v>
      </c>
      <c r="L83" s="30" t="s">
        <v>1439</v>
      </c>
      <c r="M83" s="30" t="s">
        <v>31</v>
      </c>
      <c r="N83" s="30" t="s">
        <v>243</v>
      </c>
      <c r="O83" s="30" t="s">
        <v>1440</v>
      </c>
      <c r="P83" s="30" t="s">
        <v>1441</v>
      </c>
      <c r="Q83" s="30" t="s">
        <v>31</v>
      </c>
      <c r="R83" s="30" t="s">
        <v>126</v>
      </c>
      <c r="S83" s="30" t="s">
        <v>1442</v>
      </c>
      <c r="T83" s="30" t="s">
        <v>1443</v>
      </c>
      <c r="U83" s="30" t="s">
        <v>31</v>
      </c>
      <c r="V83" s="30" t="s">
        <v>243</v>
      </c>
      <c r="W83" s="30" t="s">
        <v>1444</v>
      </c>
      <c r="X83" s="30" t="s">
        <v>1445</v>
      </c>
      <c r="Y83" s="30" t="s">
        <v>31</v>
      </c>
      <c r="Z83" s="30" t="s">
        <v>78</v>
      </c>
      <c r="AA83" s="30" t="s">
        <v>1446</v>
      </c>
      <c r="AB83" s="30" t="s">
        <v>1447</v>
      </c>
      <c r="AC83" s="30" t="s">
        <v>31</v>
      </c>
      <c r="AD83" s="30" t="s">
        <v>78</v>
      </c>
      <c r="AE83" s="30" t="s">
        <v>134</v>
      </c>
    </row>
    <row r="84" ht="22.5" customHeight="1">
      <c r="A84" s="28">
        <v>46240.59763070602</v>
      </c>
      <c r="B84" s="30" t="s">
        <v>1448</v>
      </c>
      <c r="C84" s="30" t="s">
        <v>1449</v>
      </c>
      <c r="D84" s="30" t="s">
        <v>82</v>
      </c>
      <c r="E84" s="30" t="s">
        <v>1450</v>
      </c>
      <c r="F84" s="30" t="s">
        <v>303</v>
      </c>
      <c r="G84" s="30" t="s">
        <v>23</v>
      </c>
      <c r="H84" s="30" t="s">
        <v>126</v>
      </c>
      <c r="I84" s="30">
        <v>9.500041099E9</v>
      </c>
      <c r="J84" s="30" t="s">
        <v>1448</v>
      </c>
      <c r="K84" s="30" t="s">
        <v>1451</v>
      </c>
      <c r="L84" s="30" t="s">
        <v>1452</v>
      </c>
      <c r="M84" s="30" t="s">
        <v>23</v>
      </c>
      <c r="N84" s="30" t="s">
        <v>126</v>
      </c>
      <c r="O84" s="30" t="s">
        <v>1453</v>
      </c>
      <c r="P84" s="30" t="s">
        <v>1454</v>
      </c>
      <c r="Q84" s="30" t="s">
        <v>23</v>
      </c>
      <c r="R84" s="30" t="s">
        <v>126</v>
      </c>
      <c r="S84" s="30" t="s">
        <v>1455</v>
      </c>
      <c r="T84" s="30" t="s">
        <v>1456</v>
      </c>
      <c r="U84" s="30" t="s">
        <v>31</v>
      </c>
      <c r="V84" s="30" t="s">
        <v>22</v>
      </c>
      <c r="W84" s="30" t="s">
        <v>1457</v>
      </c>
      <c r="X84" s="30" t="s">
        <v>1458</v>
      </c>
      <c r="Y84" s="30" t="s">
        <v>31</v>
      </c>
      <c r="Z84" s="30" t="s">
        <v>22</v>
      </c>
      <c r="AA84" s="30" t="s">
        <v>1459</v>
      </c>
      <c r="AB84" s="30" t="s">
        <v>1460</v>
      </c>
      <c r="AC84" s="30" t="s">
        <v>31</v>
      </c>
      <c r="AD84" s="30" t="s">
        <v>22</v>
      </c>
      <c r="AE84" s="30" t="s">
        <v>134</v>
      </c>
    </row>
    <row r="85" ht="22.5" customHeight="1">
      <c r="A85" s="28">
        <v>46240.59789819444</v>
      </c>
      <c r="B85" s="30" t="s">
        <v>1461</v>
      </c>
      <c r="C85" s="30" t="s">
        <v>1462</v>
      </c>
      <c r="D85" s="30" t="s">
        <v>193</v>
      </c>
      <c r="E85" s="30" t="s">
        <v>1463</v>
      </c>
      <c r="F85" s="30" t="s">
        <v>1464</v>
      </c>
      <c r="G85" s="30" t="s">
        <v>23</v>
      </c>
      <c r="H85" s="30" t="s">
        <v>219</v>
      </c>
      <c r="I85" s="30">
        <v>6.369719627E9</v>
      </c>
      <c r="J85" s="30" t="s">
        <v>1465</v>
      </c>
      <c r="K85" s="30" t="s">
        <v>1466</v>
      </c>
      <c r="L85" s="30" t="s">
        <v>1467</v>
      </c>
      <c r="M85" s="30" t="s">
        <v>23</v>
      </c>
      <c r="N85" s="30" t="s">
        <v>219</v>
      </c>
      <c r="O85" s="30" t="s">
        <v>1468</v>
      </c>
      <c r="P85" s="30" t="s">
        <v>1469</v>
      </c>
      <c r="Q85" s="30" t="s">
        <v>23</v>
      </c>
      <c r="R85" s="30" t="s">
        <v>219</v>
      </c>
      <c r="S85" s="30" t="s">
        <v>1470</v>
      </c>
      <c r="T85" s="30" t="s">
        <v>1471</v>
      </c>
      <c r="U85" s="30" t="s">
        <v>23</v>
      </c>
      <c r="V85" s="30" t="s">
        <v>126</v>
      </c>
      <c r="W85" s="30" t="s">
        <v>1472</v>
      </c>
      <c r="X85" s="30" t="s">
        <v>1473</v>
      </c>
      <c r="Y85" s="30" t="s">
        <v>23</v>
      </c>
      <c r="Z85" s="30" t="s">
        <v>22</v>
      </c>
      <c r="AA85" s="30" t="s">
        <v>1474</v>
      </c>
      <c r="AB85" s="30" t="s">
        <v>1475</v>
      </c>
      <c r="AC85" s="30" t="s">
        <v>23</v>
      </c>
      <c r="AD85" s="30" t="s">
        <v>94</v>
      </c>
      <c r="AE85" s="30" t="s">
        <v>134</v>
      </c>
    </row>
    <row r="86" ht="22.5" customHeight="1">
      <c r="A86" s="28">
        <v>46240.59928393518</v>
      </c>
      <c r="B86" s="30" t="s">
        <v>1476</v>
      </c>
      <c r="C86" s="30" t="s">
        <v>1477</v>
      </c>
      <c r="D86" s="30" t="s">
        <v>193</v>
      </c>
      <c r="E86" s="30" t="s">
        <v>1478</v>
      </c>
      <c r="F86" s="30" t="s">
        <v>1479</v>
      </c>
      <c r="G86" s="30" t="s">
        <v>23</v>
      </c>
      <c r="H86" s="30" t="s">
        <v>22</v>
      </c>
      <c r="I86" s="30">
        <v>6.380237377E9</v>
      </c>
      <c r="J86" s="30" t="s">
        <v>1476</v>
      </c>
      <c r="K86" s="30" t="s">
        <v>1480</v>
      </c>
      <c r="L86" s="30" t="s">
        <v>1481</v>
      </c>
      <c r="M86" s="30" t="s">
        <v>31</v>
      </c>
      <c r="N86" s="30" t="s">
        <v>22</v>
      </c>
      <c r="O86" s="30" t="s">
        <v>1482</v>
      </c>
      <c r="P86" s="30" t="s">
        <v>1483</v>
      </c>
      <c r="Q86" s="30" t="s">
        <v>31</v>
      </c>
      <c r="R86" s="30" t="s">
        <v>22</v>
      </c>
      <c r="S86" s="30" t="s">
        <v>1484</v>
      </c>
      <c r="T86" s="30" t="s">
        <v>1485</v>
      </c>
      <c r="U86" s="30" t="s">
        <v>31</v>
      </c>
      <c r="V86" s="30" t="s">
        <v>22</v>
      </c>
      <c r="W86" s="30" t="s">
        <v>1486</v>
      </c>
      <c r="X86" s="30" t="s">
        <v>1487</v>
      </c>
      <c r="Y86" s="30" t="s">
        <v>89</v>
      </c>
      <c r="Z86" s="30" t="s">
        <v>280</v>
      </c>
      <c r="AA86" s="30" t="s">
        <v>1488</v>
      </c>
      <c r="AB86" s="30" t="s">
        <v>1489</v>
      </c>
      <c r="AC86" s="30" t="s">
        <v>89</v>
      </c>
      <c r="AD86" s="30" t="s">
        <v>280</v>
      </c>
      <c r="AE86" s="30" t="s">
        <v>134</v>
      </c>
    </row>
    <row r="87" ht="22.5" customHeight="1">
      <c r="A87" s="28">
        <v>46240.59968528935</v>
      </c>
      <c r="B87" s="30" t="s">
        <v>1490</v>
      </c>
      <c r="C87" s="30" t="s">
        <v>1491</v>
      </c>
      <c r="D87" s="30" t="s">
        <v>82</v>
      </c>
      <c r="E87" s="30" t="s">
        <v>1492</v>
      </c>
      <c r="F87" s="30" t="s">
        <v>1493</v>
      </c>
      <c r="G87" s="30" t="s">
        <v>31</v>
      </c>
      <c r="H87" s="30" t="s">
        <v>126</v>
      </c>
      <c r="I87" s="30">
        <v>9.943065723E9</v>
      </c>
      <c r="J87" s="30" t="s">
        <v>1490</v>
      </c>
      <c r="K87" s="30" t="s">
        <v>1494</v>
      </c>
      <c r="L87" s="30" t="s">
        <v>1495</v>
      </c>
      <c r="M87" s="30" t="s">
        <v>31</v>
      </c>
      <c r="N87" s="30" t="s">
        <v>126</v>
      </c>
      <c r="O87" s="30" t="s">
        <v>1496</v>
      </c>
      <c r="P87" s="30" t="s">
        <v>1497</v>
      </c>
      <c r="Q87" s="30" t="s">
        <v>31</v>
      </c>
      <c r="R87" s="30" t="s">
        <v>126</v>
      </c>
      <c r="S87" s="30" t="s">
        <v>1498</v>
      </c>
      <c r="T87" s="30" t="s">
        <v>1499</v>
      </c>
      <c r="U87" s="30" t="s">
        <v>31</v>
      </c>
      <c r="V87" s="30" t="s">
        <v>126</v>
      </c>
      <c r="W87" s="30" t="s">
        <v>1500</v>
      </c>
      <c r="X87" s="30" t="s">
        <v>1501</v>
      </c>
      <c r="Y87" s="30" t="s">
        <v>31</v>
      </c>
      <c r="Z87" s="30" t="s">
        <v>219</v>
      </c>
      <c r="AA87" s="30" t="s">
        <v>1502</v>
      </c>
      <c r="AB87" s="30" t="s">
        <v>1503</v>
      </c>
      <c r="AC87" s="30" t="s">
        <v>31</v>
      </c>
      <c r="AD87" s="30" t="s">
        <v>219</v>
      </c>
      <c r="AE87" s="30" t="s">
        <v>134</v>
      </c>
    </row>
    <row r="88" ht="22.5" customHeight="1">
      <c r="A88" s="28">
        <v>46240.600502685185</v>
      </c>
      <c r="B88" s="30" t="s">
        <v>1504</v>
      </c>
      <c r="C88" s="30" t="s">
        <v>241</v>
      </c>
      <c r="D88" s="30" t="s">
        <v>193</v>
      </c>
      <c r="E88" s="30" t="s">
        <v>1505</v>
      </c>
      <c r="F88" s="30" t="s">
        <v>1506</v>
      </c>
      <c r="G88" s="30" t="s">
        <v>31</v>
      </c>
      <c r="H88" s="30" t="s">
        <v>22</v>
      </c>
      <c r="I88" s="30">
        <v>8.015315274E9</v>
      </c>
      <c r="J88" s="30" t="s">
        <v>1504</v>
      </c>
      <c r="K88" s="30" t="s">
        <v>1507</v>
      </c>
      <c r="L88" s="30" t="s">
        <v>1508</v>
      </c>
      <c r="M88" s="30" t="s">
        <v>31</v>
      </c>
      <c r="N88" s="30" t="s">
        <v>22</v>
      </c>
      <c r="O88" s="30" t="s">
        <v>1509</v>
      </c>
      <c r="P88" s="30" t="s">
        <v>1510</v>
      </c>
      <c r="Q88" s="30" t="s">
        <v>31</v>
      </c>
      <c r="R88" s="30" t="s">
        <v>22</v>
      </c>
      <c r="S88" s="30" t="s">
        <v>1511</v>
      </c>
      <c r="T88" s="30" t="s">
        <v>1512</v>
      </c>
      <c r="U88" s="30" t="s">
        <v>31</v>
      </c>
      <c r="V88" s="30" t="s">
        <v>22</v>
      </c>
      <c r="W88" s="30" t="s">
        <v>1513</v>
      </c>
      <c r="X88" s="30" t="s">
        <v>1060</v>
      </c>
      <c r="Y88" s="30" t="s">
        <v>31</v>
      </c>
      <c r="Z88" s="30" t="s">
        <v>243</v>
      </c>
      <c r="AA88" s="30" t="s">
        <v>1514</v>
      </c>
      <c r="AB88" s="30" t="s">
        <v>1515</v>
      </c>
      <c r="AC88" s="30" t="s">
        <v>31</v>
      </c>
      <c r="AD88" s="30" t="s">
        <v>243</v>
      </c>
      <c r="AE88" s="30" t="s">
        <v>134</v>
      </c>
    </row>
    <row r="89" ht="22.5" customHeight="1">
      <c r="A89" s="28">
        <v>46240.60104034722</v>
      </c>
      <c r="B89" s="30" t="s">
        <v>1516</v>
      </c>
      <c r="C89" s="30" t="s">
        <v>1517</v>
      </c>
      <c r="D89" s="30" t="s">
        <v>193</v>
      </c>
      <c r="E89" s="30" t="s">
        <v>1518</v>
      </c>
      <c r="F89" s="30" t="s">
        <v>1519</v>
      </c>
      <c r="G89" s="30" t="s">
        <v>31</v>
      </c>
      <c r="H89" s="30" t="s">
        <v>22</v>
      </c>
      <c r="I89" s="30">
        <v>8.248734365E9</v>
      </c>
      <c r="J89" s="30" t="s">
        <v>1516</v>
      </c>
      <c r="K89" s="30" t="s">
        <v>1520</v>
      </c>
      <c r="L89" s="30" t="s">
        <v>1521</v>
      </c>
      <c r="M89" s="30" t="s">
        <v>31</v>
      </c>
      <c r="N89" s="30" t="s">
        <v>22</v>
      </c>
      <c r="O89" s="30" t="s">
        <v>1522</v>
      </c>
      <c r="P89" s="30" t="s">
        <v>1523</v>
      </c>
      <c r="Q89" s="30" t="s">
        <v>31</v>
      </c>
      <c r="R89" s="30" t="s">
        <v>22</v>
      </c>
      <c r="S89" s="30" t="s">
        <v>1524</v>
      </c>
      <c r="T89" s="30" t="s">
        <v>1525</v>
      </c>
      <c r="U89" s="30" t="s">
        <v>31</v>
      </c>
      <c r="V89" s="30" t="s">
        <v>22</v>
      </c>
      <c r="W89" s="30" t="s">
        <v>1526</v>
      </c>
      <c r="X89" s="30" t="s">
        <v>1527</v>
      </c>
      <c r="Y89" s="30" t="s">
        <v>31</v>
      </c>
      <c r="Z89" s="30" t="s">
        <v>22</v>
      </c>
      <c r="AA89" s="30" t="s">
        <v>1528</v>
      </c>
      <c r="AB89" s="30" t="s">
        <v>1529</v>
      </c>
      <c r="AC89" s="30" t="s">
        <v>31</v>
      </c>
      <c r="AD89" s="30" t="s">
        <v>22</v>
      </c>
      <c r="AE89" s="30" t="s">
        <v>134</v>
      </c>
    </row>
    <row r="90" ht="22.5" customHeight="1">
      <c r="A90" s="28">
        <v>46240.60154392361</v>
      </c>
      <c r="B90" s="30" t="s">
        <v>1530</v>
      </c>
      <c r="C90" s="30" t="s">
        <v>1531</v>
      </c>
      <c r="D90" s="30" t="s">
        <v>193</v>
      </c>
      <c r="E90" s="30" t="s">
        <v>1532</v>
      </c>
      <c r="F90" s="30" t="s">
        <v>1533</v>
      </c>
      <c r="G90" s="30" t="s">
        <v>31</v>
      </c>
      <c r="H90" s="30" t="s">
        <v>22</v>
      </c>
      <c r="I90" s="30">
        <v>9.02581594E9</v>
      </c>
      <c r="J90" s="30" t="s">
        <v>1530</v>
      </c>
      <c r="K90" s="30" t="s">
        <v>1534</v>
      </c>
      <c r="L90" s="30" t="s">
        <v>1535</v>
      </c>
      <c r="M90" s="30" t="s">
        <v>31</v>
      </c>
      <c r="N90" s="30" t="s">
        <v>22</v>
      </c>
      <c r="O90" s="30" t="s">
        <v>1536</v>
      </c>
      <c r="P90" s="30" t="s">
        <v>1537</v>
      </c>
      <c r="Q90" s="30" t="s">
        <v>31</v>
      </c>
      <c r="R90" s="30" t="s">
        <v>22</v>
      </c>
      <c r="S90" s="30" t="s">
        <v>1538</v>
      </c>
      <c r="T90" s="30" t="s">
        <v>1539</v>
      </c>
      <c r="U90" s="30" t="s">
        <v>31</v>
      </c>
      <c r="V90" s="30" t="s">
        <v>22</v>
      </c>
      <c r="W90" s="30" t="s">
        <v>1540</v>
      </c>
      <c r="X90" s="30" t="s">
        <v>1541</v>
      </c>
      <c r="Y90" s="30" t="s">
        <v>31</v>
      </c>
      <c r="Z90" s="30" t="s">
        <v>94</v>
      </c>
      <c r="AA90" s="30" t="s">
        <v>1542</v>
      </c>
      <c r="AB90" s="30" t="s">
        <v>1543</v>
      </c>
      <c r="AC90" s="30" t="s">
        <v>31</v>
      </c>
      <c r="AD90" s="30" t="s">
        <v>94</v>
      </c>
      <c r="AE90" s="30" t="s">
        <v>134</v>
      </c>
    </row>
    <row r="91" ht="22.5" customHeight="1">
      <c r="A91" s="28">
        <v>46240.60262642361</v>
      </c>
      <c r="B91" s="30" t="s">
        <v>1544</v>
      </c>
      <c r="C91" s="30" t="s">
        <v>1545</v>
      </c>
      <c r="D91" s="30" t="s">
        <v>82</v>
      </c>
      <c r="E91" s="30" t="s">
        <v>1546</v>
      </c>
      <c r="F91" s="30" t="s">
        <v>1547</v>
      </c>
      <c r="G91" s="30" t="s">
        <v>31</v>
      </c>
      <c r="H91" s="30" t="s">
        <v>94</v>
      </c>
      <c r="I91" s="30">
        <v>8.807163766E9</v>
      </c>
      <c r="J91" s="30" t="s">
        <v>1544</v>
      </c>
      <c r="K91" s="30" t="s">
        <v>1548</v>
      </c>
      <c r="L91" s="30" t="s">
        <v>1549</v>
      </c>
      <c r="M91" s="30" t="s">
        <v>31</v>
      </c>
      <c r="N91" s="30" t="s">
        <v>178</v>
      </c>
      <c r="O91" s="30" t="s">
        <v>1550</v>
      </c>
      <c r="P91" s="30" t="s">
        <v>1551</v>
      </c>
      <c r="Q91" s="30" t="s">
        <v>31</v>
      </c>
      <c r="R91" s="30" t="s">
        <v>178</v>
      </c>
      <c r="S91" s="30" t="s">
        <v>1552</v>
      </c>
      <c r="T91" s="30" t="s">
        <v>1553</v>
      </c>
      <c r="U91" s="30" t="s">
        <v>31</v>
      </c>
      <c r="V91" s="30" t="s">
        <v>126</v>
      </c>
      <c r="W91" s="30" t="s">
        <v>1554</v>
      </c>
      <c r="X91" s="30" t="s">
        <v>1555</v>
      </c>
      <c r="Y91" s="30" t="s">
        <v>31</v>
      </c>
      <c r="Z91" s="30" t="s">
        <v>69</v>
      </c>
      <c r="AA91" s="30" t="s">
        <v>1556</v>
      </c>
      <c r="AB91" s="30" t="s">
        <v>1557</v>
      </c>
      <c r="AC91" s="30" t="s">
        <v>31</v>
      </c>
      <c r="AD91" s="30" t="s">
        <v>94</v>
      </c>
      <c r="AE91" s="30" t="s">
        <v>134</v>
      </c>
    </row>
    <row r="92" ht="22.5" customHeight="1">
      <c r="A92" s="28">
        <v>46240.60474431713</v>
      </c>
      <c r="B92" s="30" t="s">
        <v>1558</v>
      </c>
      <c r="C92" s="30" t="s">
        <v>1559</v>
      </c>
      <c r="D92" s="30" t="s">
        <v>193</v>
      </c>
      <c r="E92" s="30" t="s">
        <v>1560</v>
      </c>
      <c r="F92" s="30" t="s">
        <v>1561</v>
      </c>
      <c r="G92" s="30" t="s">
        <v>31</v>
      </c>
      <c r="H92" s="30" t="s">
        <v>243</v>
      </c>
      <c r="I92" s="30">
        <v>9.56630292E9</v>
      </c>
      <c r="J92" s="30" t="s">
        <v>1558</v>
      </c>
      <c r="K92" s="30" t="s">
        <v>1562</v>
      </c>
      <c r="L92" s="30" t="s">
        <v>1563</v>
      </c>
      <c r="M92" s="30" t="s">
        <v>31</v>
      </c>
      <c r="N92" s="30" t="s">
        <v>243</v>
      </c>
      <c r="O92" s="30" t="s">
        <v>1564</v>
      </c>
      <c r="P92" s="30" t="s">
        <v>1565</v>
      </c>
      <c r="Q92" s="30" t="s">
        <v>31</v>
      </c>
      <c r="R92" s="30" t="s">
        <v>243</v>
      </c>
      <c r="S92" s="30" t="s">
        <v>1566</v>
      </c>
      <c r="T92" s="30" t="s">
        <v>1567</v>
      </c>
      <c r="U92" s="30" t="s">
        <v>31</v>
      </c>
      <c r="V92" s="30" t="s">
        <v>243</v>
      </c>
      <c r="W92" s="30" t="s">
        <v>1568</v>
      </c>
      <c r="X92" s="30" t="s">
        <v>1569</v>
      </c>
      <c r="Y92" s="30" t="s">
        <v>31</v>
      </c>
      <c r="Z92" s="30" t="s">
        <v>22</v>
      </c>
      <c r="AA92" s="30" t="s">
        <v>1570</v>
      </c>
      <c r="AB92" s="30" t="s">
        <v>1571</v>
      </c>
      <c r="AC92" s="30" t="s">
        <v>31</v>
      </c>
      <c r="AD92" s="30" t="s">
        <v>22</v>
      </c>
      <c r="AE92" s="30" t="s">
        <v>134</v>
      </c>
    </row>
    <row r="93" ht="22.5" customHeight="1">
      <c r="A93" s="28">
        <v>46240.604858136576</v>
      </c>
      <c r="B93" s="30" t="s">
        <v>1572</v>
      </c>
      <c r="C93" s="30" t="s">
        <v>1573</v>
      </c>
      <c r="D93" s="30" t="s">
        <v>82</v>
      </c>
      <c r="E93" s="30" t="s">
        <v>1574</v>
      </c>
      <c r="F93" s="30" t="s">
        <v>1575</v>
      </c>
      <c r="G93" s="30" t="s">
        <v>31</v>
      </c>
      <c r="H93" s="30" t="s">
        <v>280</v>
      </c>
      <c r="I93" s="30">
        <v>8.754247716E9</v>
      </c>
      <c r="J93" s="30" t="s">
        <v>1572</v>
      </c>
      <c r="K93" s="30" t="s">
        <v>1576</v>
      </c>
      <c r="L93" s="30" t="s">
        <v>1577</v>
      </c>
      <c r="M93" s="30" t="s">
        <v>31</v>
      </c>
      <c r="N93" s="30" t="s">
        <v>178</v>
      </c>
      <c r="O93" s="30" t="s">
        <v>1578</v>
      </c>
      <c r="P93" s="30" t="s">
        <v>1579</v>
      </c>
      <c r="Q93" s="30" t="s">
        <v>31</v>
      </c>
      <c r="R93" s="30" t="s">
        <v>280</v>
      </c>
      <c r="S93" s="30" t="s">
        <v>1580</v>
      </c>
      <c r="T93" s="30" t="s">
        <v>1581</v>
      </c>
      <c r="U93" s="30" t="s">
        <v>31</v>
      </c>
      <c r="V93" s="30" t="s">
        <v>178</v>
      </c>
      <c r="W93" s="30" t="s">
        <v>1582</v>
      </c>
      <c r="X93" s="30" t="s">
        <v>1583</v>
      </c>
      <c r="Y93" s="30" t="s">
        <v>31</v>
      </c>
      <c r="Z93" s="30" t="s">
        <v>280</v>
      </c>
      <c r="AA93" s="30" t="s">
        <v>1584</v>
      </c>
      <c r="AB93" s="30" t="s">
        <v>1585</v>
      </c>
      <c r="AC93" s="30" t="s">
        <v>31</v>
      </c>
      <c r="AD93" s="30" t="s">
        <v>280</v>
      </c>
      <c r="AE93" s="30" t="s">
        <v>134</v>
      </c>
    </row>
    <row r="94" ht="22.5" customHeight="1">
      <c r="A94" s="28">
        <v>46240.605172384254</v>
      </c>
      <c r="B94" s="30" t="s">
        <v>1586</v>
      </c>
      <c r="C94" s="30" t="s">
        <v>1587</v>
      </c>
      <c r="D94" s="30" t="s">
        <v>82</v>
      </c>
      <c r="E94" s="30" t="s">
        <v>1588</v>
      </c>
      <c r="F94" s="30" t="s">
        <v>1589</v>
      </c>
      <c r="G94" s="30" t="s">
        <v>31</v>
      </c>
      <c r="H94" s="30" t="s">
        <v>94</v>
      </c>
      <c r="I94" s="30">
        <v>7.845430295E9</v>
      </c>
      <c r="J94" s="30" t="s">
        <v>1586</v>
      </c>
      <c r="K94" s="30" t="s">
        <v>1590</v>
      </c>
      <c r="L94" s="30" t="s">
        <v>1591</v>
      </c>
      <c r="M94" s="30" t="s">
        <v>31</v>
      </c>
      <c r="N94" s="30" t="s">
        <v>94</v>
      </c>
      <c r="O94" s="30" t="s">
        <v>1592</v>
      </c>
      <c r="P94" s="30" t="s">
        <v>1593</v>
      </c>
      <c r="Q94" s="30" t="s">
        <v>31</v>
      </c>
      <c r="R94" s="30" t="s">
        <v>94</v>
      </c>
      <c r="S94" s="30" t="s">
        <v>1594</v>
      </c>
      <c r="T94" s="30" t="s">
        <v>1595</v>
      </c>
      <c r="U94" s="30" t="s">
        <v>31</v>
      </c>
      <c r="V94" s="30" t="s">
        <v>94</v>
      </c>
      <c r="W94" s="30" t="s">
        <v>1596</v>
      </c>
      <c r="X94" s="30" t="s">
        <v>1597</v>
      </c>
      <c r="Y94" s="30" t="s">
        <v>31</v>
      </c>
      <c r="Z94" s="30" t="s">
        <v>126</v>
      </c>
      <c r="AA94" s="30" t="s">
        <v>1598</v>
      </c>
      <c r="AB94" s="30" t="s">
        <v>1599</v>
      </c>
      <c r="AC94" s="30" t="s">
        <v>31</v>
      </c>
      <c r="AD94" s="30" t="s">
        <v>126</v>
      </c>
      <c r="AE94" s="30" t="s">
        <v>134</v>
      </c>
    </row>
    <row r="95" ht="22.5" customHeight="1">
      <c r="A95" s="28">
        <v>46240.61076388889</v>
      </c>
      <c r="B95" s="30" t="s">
        <v>1600</v>
      </c>
      <c r="C95" s="30" t="s">
        <v>1601</v>
      </c>
      <c r="D95" s="30" t="s">
        <v>193</v>
      </c>
      <c r="E95" s="30" t="s">
        <v>1602</v>
      </c>
      <c r="F95" s="30" t="s">
        <v>1603</v>
      </c>
      <c r="G95" s="30" t="s">
        <v>31</v>
      </c>
      <c r="H95" s="30" t="s">
        <v>94</v>
      </c>
      <c r="I95" s="30">
        <v>8.148093408E9</v>
      </c>
      <c r="J95" s="30" t="s">
        <v>1600</v>
      </c>
      <c r="K95" s="30" t="s">
        <v>1604</v>
      </c>
      <c r="L95" s="30" t="s">
        <v>1605</v>
      </c>
      <c r="M95" s="30" t="s">
        <v>31</v>
      </c>
      <c r="N95" s="30" t="s">
        <v>94</v>
      </c>
      <c r="O95" s="30" t="s">
        <v>1606</v>
      </c>
      <c r="P95" s="30" t="s">
        <v>1607</v>
      </c>
      <c r="Q95" s="30" t="s">
        <v>31</v>
      </c>
      <c r="R95" s="30" t="s">
        <v>94</v>
      </c>
      <c r="S95" s="30" t="s">
        <v>1608</v>
      </c>
      <c r="T95" s="30" t="s">
        <v>1609</v>
      </c>
      <c r="U95" s="30" t="s">
        <v>31</v>
      </c>
      <c r="V95" s="30" t="s">
        <v>126</v>
      </c>
      <c r="W95" s="30" t="s">
        <v>1610</v>
      </c>
      <c r="X95" s="30" t="s">
        <v>1611</v>
      </c>
      <c r="Y95" s="30" t="s">
        <v>31</v>
      </c>
      <c r="Z95" s="30" t="s">
        <v>219</v>
      </c>
      <c r="AA95" s="30" t="s">
        <v>1612</v>
      </c>
      <c r="AB95" s="30" t="s">
        <v>1613</v>
      </c>
      <c r="AC95" s="30" t="s">
        <v>31</v>
      </c>
      <c r="AD95" s="30" t="s">
        <v>219</v>
      </c>
      <c r="AE95" s="30" t="s">
        <v>134</v>
      </c>
    </row>
    <row r="96" ht="22.5" customHeight="1">
      <c r="A96" s="28">
        <v>46240.611930011575</v>
      </c>
      <c r="B96" s="30" t="s">
        <v>1614</v>
      </c>
      <c r="C96" s="30" t="s">
        <v>43</v>
      </c>
      <c r="D96" s="30" t="s">
        <v>193</v>
      </c>
      <c r="E96" s="30" t="s">
        <v>1615</v>
      </c>
      <c r="F96" s="30" t="s">
        <v>44</v>
      </c>
      <c r="G96" s="30" t="s">
        <v>31</v>
      </c>
      <c r="H96" s="30" t="s">
        <v>22</v>
      </c>
      <c r="I96" s="30">
        <v>8.072898657E9</v>
      </c>
      <c r="J96" s="30" t="s">
        <v>1614</v>
      </c>
      <c r="K96" s="30" t="s">
        <v>1616</v>
      </c>
      <c r="L96" s="30" t="s">
        <v>1617</v>
      </c>
      <c r="M96" s="30" t="s">
        <v>31</v>
      </c>
      <c r="N96" s="30" t="s">
        <v>22</v>
      </c>
      <c r="O96" s="30" t="s">
        <v>1618</v>
      </c>
      <c r="P96" s="30" t="s">
        <v>1619</v>
      </c>
      <c r="Q96" s="30" t="s">
        <v>31</v>
      </c>
      <c r="R96" s="30" t="s">
        <v>22</v>
      </c>
      <c r="S96" s="30" t="s">
        <v>1620</v>
      </c>
      <c r="T96" s="30" t="s">
        <v>1621</v>
      </c>
      <c r="U96" s="30" t="s">
        <v>31</v>
      </c>
      <c r="V96" s="30" t="s">
        <v>22</v>
      </c>
      <c r="W96" s="30" t="s">
        <v>1622</v>
      </c>
      <c r="X96" s="30" t="s">
        <v>1623</v>
      </c>
      <c r="Y96" s="30" t="s">
        <v>31</v>
      </c>
      <c r="Z96" s="30" t="s">
        <v>22</v>
      </c>
      <c r="AA96" s="30" t="s">
        <v>1624</v>
      </c>
      <c r="AB96" s="30" t="s">
        <v>1625</v>
      </c>
      <c r="AC96" s="30" t="s">
        <v>31</v>
      </c>
      <c r="AD96" s="30" t="s">
        <v>243</v>
      </c>
      <c r="AE96" s="30" t="s">
        <v>134</v>
      </c>
    </row>
    <row r="97" ht="22.5" customHeight="1">
      <c r="A97" s="28">
        <v>46240.613528807866</v>
      </c>
      <c r="B97" s="30" t="s">
        <v>1626</v>
      </c>
      <c r="C97" s="30" t="s">
        <v>1627</v>
      </c>
      <c r="D97" s="30" t="s">
        <v>82</v>
      </c>
      <c r="E97" s="30" t="s">
        <v>1628</v>
      </c>
      <c r="F97" s="30" t="s">
        <v>1629</v>
      </c>
      <c r="G97" s="30" t="s">
        <v>31</v>
      </c>
      <c r="H97" s="30" t="s">
        <v>126</v>
      </c>
      <c r="I97" s="30">
        <v>9.345642951E9</v>
      </c>
      <c r="J97" s="30" t="s">
        <v>1630</v>
      </c>
      <c r="K97" s="30" t="s">
        <v>1631</v>
      </c>
      <c r="L97" s="30" t="s">
        <v>1632</v>
      </c>
      <c r="M97" s="30" t="s">
        <v>31</v>
      </c>
      <c r="N97" s="30" t="s">
        <v>126</v>
      </c>
      <c r="O97" s="30" t="s">
        <v>1633</v>
      </c>
      <c r="P97" s="30" t="s">
        <v>1634</v>
      </c>
      <c r="Q97" s="30" t="s">
        <v>31</v>
      </c>
      <c r="R97" s="30" t="s">
        <v>126</v>
      </c>
      <c r="S97" s="30" t="s">
        <v>1635</v>
      </c>
      <c r="T97" s="30" t="s">
        <v>1636</v>
      </c>
      <c r="U97" s="30" t="s">
        <v>31</v>
      </c>
      <c r="V97" s="30" t="s">
        <v>126</v>
      </c>
      <c r="W97" s="30" t="s">
        <v>1637</v>
      </c>
      <c r="X97" s="30" t="s">
        <v>1638</v>
      </c>
      <c r="Y97" s="30" t="s">
        <v>31</v>
      </c>
      <c r="Z97" s="30" t="s">
        <v>69</v>
      </c>
      <c r="AA97" s="30" t="s">
        <v>1639</v>
      </c>
      <c r="AB97" s="30" t="s">
        <v>1640</v>
      </c>
      <c r="AC97" s="30" t="s">
        <v>31</v>
      </c>
      <c r="AD97" s="30" t="s">
        <v>178</v>
      </c>
      <c r="AE97" s="30" t="s">
        <v>134</v>
      </c>
    </row>
    <row r="98" ht="22.5" customHeight="1">
      <c r="A98" s="28">
        <v>46240.61518907407</v>
      </c>
      <c r="B98" s="30" t="s">
        <v>1641</v>
      </c>
      <c r="C98" s="30" t="s">
        <v>1642</v>
      </c>
      <c r="D98" s="30" t="s">
        <v>193</v>
      </c>
      <c r="E98" s="30" t="s">
        <v>1643</v>
      </c>
      <c r="F98" s="30" t="s">
        <v>1644</v>
      </c>
      <c r="G98" s="30" t="s">
        <v>31</v>
      </c>
      <c r="H98" s="30" t="s">
        <v>280</v>
      </c>
      <c r="I98" s="30">
        <v>9.8427407E9</v>
      </c>
      <c r="J98" s="30" t="s">
        <v>1645</v>
      </c>
      <c r="K98" s="30" t="s">
        <v>1646</v>
      </c>
      <c r="L98" s="30" t="s">
        <v>1647</v>
      </c>
      <c r="M98" s="30" t="s">
        <v>31</v>
      </c>
      <c r="N98" s="30" t="s">
        <v>280</v>
      </c>
      <c r="O98" s="30" t="s">
        <v>1648</v>
      </c>
      <c r="P98" s="30" t="s">
        <v>1649</v>
      </c>
      <c r="Q98" s="30" t="s">
        <v>31</v>
      </c>
      <c r="R98" s="30" t="s">
        <v>280</v>
      </c>
      <c r="S98" s="30" t="s">
        <v>1650</v>
      </c>
      <c r="T98" s="30" t="s">
        <v>1651</v>
      </c>
      <c r="U98" s="30" t="s">
        <v>31</v>
      </c>
      <c r="V98" s="30" t="s">
        <v>280</v>
      </c>
      <c r="W98" s="30" t="s">
        <v>1652</v>
      </c>
      <c r="X98" s="30" t="s">
        <v>1653</v>
      </c>
      <c r="Y98" s="30" t="s">
        <v>31</v>
      </c>
      <c r="Z98" s="30" t="s">
        <v>22</v>
      </c>
      <c r="AA98" s="30" t="s">
        <v>1654</v>
      </c>
      <c r="AB98" s="30" t="s">
        <v>1655</v>
      </c>
      <c r="AC98" s="30" t="s">
        <v>31</v>
      </c>
      <c r="AD98" s="30" t="s">
        <v>126</v>
      </c>
      <c r="AE98" s="30" t="s">
        <v>134</v>
      </c>
    </row>
    <row r="99" ht="22.5" customHeight="1">
      <c r="A99" s="28">
        <v>46240.61945831019</v>
      </c>
      <c r="B99" s="30" t="s">
        <v>1656</v>
      </c>
      <c r="C99" s="30" t="s">
        <v>1657</v>
      </c>
      <c r="D99" s="30" t="s">
        <v>82</v>
      </c>
      <c r="E99" s="30" t="s">
        <v>1658</v>
      </c>
      <c r="F99" s="30" t="s">
        <v>1659</v>
      </c>
      <c r="G99" s="30" t="s">
        <v>31</v>
      </c>
      <c r="H99" s="30" t="s">
        <v>126</v>
      </c>
      <c r="I99" s="30">
        <v>6.380347902E9</v>
      </c>
      <c r="J99" s="30" t="s">
        <v>1656</v>
      </c>
      <c r="K99" s="30" t="s">
        <v>1660</v>
      </c>
      <c r="L99" s="30" t="s">
        <v>1661</v>
      </c>
      <c r="M99" s="30" t="s">
        <v>31</v>
      </c>
      <c r="N99" s="30" t="s">
        <v>126</v>
      </c>
      <c r="O99" s="30" t="s">
        <v>1662</v>
      </c>
      <c r="P99" s="30" t="s">
        <v>1663</v>
      </c>
      <c r="Q99" s="30" t="s">
        <v>31</v>
      </c>
      <c r="R99" s="30" t="s">
        <v>94</v>
      </c>
      <c r="S99" s="30" t="s">
        <v>1664</v>
      </c>
      <c r="T99" s="30" t="s">
        <v>1665</v>
      </c>
      <c r="U99" s="30" t="s">
        <v>31</v>
      </c>
      <c r="V99" s="30" t="s">
        <v>126</v>
      </c>
      <c r="W99" s="30" t="s">
        <v>1666</v>
      </c>
      <c r="X99" s="30" t="s">
        <v>1667</v>
      </c>
      <c r="Y99" s="30" t="s">
        <v>31</v>
      </c>
      <c r="Z99" s="30" t="s">
        <v>78</v>
      </c>
      <c r="AA99" s="30" t="s">
        <v>1668</v>
      </c>
      <c r="AB99" s="30" t="s">
        <v>1669</v>
      </c>
      <c r="AC99" s="30" t="s">
        <v>31</v>
      </c>
      <c r="AD99" s="30" t="s">
        <v>22</v>
      </c>
      <c r="AE99" s="30" t="s">
        <v>134</v>
      </c>
    </row>
    <row r="100" ht="22.5" customHeight="1">
      <c r="A100" s="28">
        <v>46240.62180854166</v>
      </c>
      <c r="B100" s="30" t="s">
        <v>1670</v>
      </c>
      <c r="C100" s="30" t="s">
        <v>154</v>
      </c>
      <c r="D100" s="30" t="s">
        <v>193</v>
      </c>
      <c r="E100" s="30" t="s">
        <v>1671</v>
      </c>
      <c r="F100" s="30" t="s">
        <v>155</v>
      </c>
      <c r="G100" s="30" t="s">
        <v>31</v>
      </c>
      <c r="H100" s="30" t="s">
        <v>94</v>
      </c>
      <c r="I100" s="30">
        <v>9.626023872E9</v>
      </c>
      <c r="J100" s="30" t="s">
        <v>1670</v>
      </c>
      <c r="K100" s="30" t="s">
        <v>1672</v>
      </c>
      <c r="L100" s="30" t="s">
        <v>1673</v>
      </c>
      <c r="M100" s="30" t="s">
        <v>31</v>
      </c>
      <c r="N100" s="30" t="s">
        <v>94</v>
      </c>
      <c r="O100" s="30" t="s">
        <v>1674</v>
      </c>
      <c r="P100" s="30" t="s">
        <v>1675</v>
      </c>
      <c r="Q100" s="30" t="s">
        <v>31</v>
      </c>
      <c r="R100" s="30" t="s">
        <v>94</v>
      </c>
      <c r="S100" s="30" t="s">
        <v>1676</v>
      </c>
      <c r="T100" s="30" t="s">
        <v>1677</v>
      </c>
      <c r="U100" s="30" t="s">
        <v>31</v>
      </c>
      <c r="V100" s="30" t="s">
        <v>94</v>
      </c>
      <c r="W100" s="30" t="s">
        <v>1678</v>
      </c>
      <c r="X100" s="30" t="s">
        <v>1679</v>
      </c>
      <c r="Y100" s="30" t="s">
        <v>31</v>
      </c>
      <c r="Z100" s="30" t="s">
        <v>94</v>
      </c>
      <c r="AA100" s="30" t="s">
        <v>1680</v>
      </c>
      <c r="AB100" s="30" t="s">
        <v>1681</v>
      </c>
      <c r="AC100" s="30" t="s">
        <v>31</v>
      </c>
      <c r="AD100" s="30" t="s">
        <v>22</v>
      </c>
      <c r="AE100" s="30" t="s">
        <v>134</v>
      </c>
    </row>
    <row r="101" ht="22.5" customHeight="1">
      <c r="A101" s="28">
        <v>46240.62341729167</v>
      </c>
      <c r="B101" s="30" t="s">
        <v>1682</v>
      </c>
      <c r="C101" s="30" t="s">
        <v>95</v>
      </c>
      <c r="D101" s="30" t="s">
        <v>193</v>
      </c>
      <c r="E101" s="30" t="s">
        <v>1683</v>
      </c>
      <c r="F101" s="30" t="s">
        <v>96</v>
      </c>
      <c r="G101" s="30" t="s">
        <v>31</v>
      </c>
      <c r="H101" s="30" t="s">
        <v>78</v>
      </c>
      <c r="I101" s="30">
        <v>7.708805902E9</v>
      </c>
      <c r="J101" s="30" t="s">
        <v>1684</v>
      </c>
      <c r="K101" s="30" t="s">
        <v>1685</v>
      </c>
      <c r="L101" s="30" t="s">
        <v>1686</v>
      </c>
      <c r="M101" s="30" t="s">
        <v>31</v>
      </c>
      <c r="N101" s="30" t="s">
        <v>22</v>
      </c>
      <c r="O101" s="30" t="s">
        <v>1687</v>
      </c>
      <c r="P101" s="30" t="s">
        <v>1688</v>
      </c>
      <c r="Q101" s="30" t="s">
        <v>31</v>
      </c>
      <c r="R101" s="30" t="s">
        <v>69</v>
      </c>
      <c r="S101" s="30" t="s">
        <v>1689</v>
      </c>
      <c r="T101" s="30" t="s">
        <v>1690</v>
      </c>
      <c r="U101" s="30" t="s">
        <v>31</v>
      </c>
      <c r="V101" s="30" t="s">
        <v>22</v>
      </c>
      <c r="W101" s="30" t="s">
        <v>1691</v>
      </c>
      <c r="X101" s="30" t="s">
        <v>1692</v>
      </c>
      <c r="Y101" s="30" t="s">
        <v>31</v>
      </c>
      <c r="Z101" s="30" t="s">
        <v>126</v>
      </c>
      <c r="AA101" s="30" t="s">
        <v>1693</v>
      </c>
      <c r="AB101" s="30" t="s">
        <v>1694</v>
      </c>
      <c r="AC101" s="30" t="s">
        <v>31</v>
      </c>
      <c r="AD101" s="30" t="s">
        <v>126</v>
      </c>
      <c r="AE101" s="30" t="s">
        <v>134</v>
      </c>
    </row>
    <row r="102" ht="22.5" customHeight="1">
      <c r="A102" s="28">
        <v>46240.623533460646</v>
      </c>
      <c r="B102" s="30" t="s">
        <v>1695</v>
      </c>
      <c r="C102" s="30" t="s">
        <v>1696</v>
      </c>
      <c r="D102" s="30" t="s">
        <v>82</v>
      </c>
      <c r="E102" s="30" t="s">
        <v>1697</v>
      </c>
      <c r="F102" s="30" t="s">
        <v>1698</v>
      </c>
      <c r="G102" s="30" t="s">
        <v>31</v>
      </c>
      <c r="H102" s="30" t="s">
        <v>219</v>
      </c>
      <c r="I102" s="30">
        <v>7.84508768E9</v>
      </c>
      <c r="J102" s="30" t="s">
        <v>1699</v>
      </c>
      <c r="K102" s="30" t="s">
        <v>1700</v>
      </c>
      <c r="L102" s="30" t="s">
        <v>375</v>
      </c>
      <c r="M102" s="30" t="s">
        <v>31</v>
      </c>
      <c r="N102" s="30" t="s">
        <v>219</v>
      </c>
      <c r="O102" s="30" t="s">
        <v>1701</v>
      </c>
      <c r="P102" s="30" t="s">
        <v>1702</v>
      </c>
      <c r="Q102" s="30" t="s">
        <v>31</v>
      </c>
      <c r="R102" s="30" t="s">
        <v>219</v>
      </c>
      <c r="S102" s="30" t="s">
        <v>1703</v>
      </c>
      <c r="T102" s="30" t="s">
        <v>1704</v>
      </c>
      <c r="U102" s="30" t="s">
        <v>31</v>
      </c>
      <c r="V102" s="30" t="s">
        <v>219</v>
      </c>
      <c r="W102" s="30" t="s">
        <v>1705</v>
      </c>
      <c r="X102" s="30" t="s">
        <v>1706</v>
      </c>
      <c r="Y102" s="30" t="s">
        <v>31</v>
      </c>
      <c r="Z102" s="30" t="s">
        <v>126</v>
      </c>
      <c r="AA102" s="30" t="s">
        <v>1707</v>
      </c>
      <c r="AB102" s="30" t="s">
        <v>1708</v>
      </c>
      <c r="AC102" s="30" t="s">
        <v>31</v>
      </c>
      <c r="AD102" s="30" t="s">
        <v>126</v>
      </c>
      <c r="AE102" s="30" t="s">
        <v>134</v>
      </c>
    </row>
    <row r="103" ht="22.5" customHeight="1">
      <c r="A103" s="28">
        <v>46240.627810729166</v>
      </c>
      <c r="B103" s="30" t="s">
        <v>1709</v>
      </c>
      <c r="C103" s="30" t="s">
        <v>1710</v>
      </c>
      <c r="D103" s="30" t="s">
        <v>82</v>
      </c>
      <c r="E103" s="30" t="s">
        <v>1711</v>
      </c>
      <c r="F103" s="30" t="s">
        <v>1712</v>
      </c>
      <c r="G103" s="30" t="s">
        <v>31</v>
      </c>
      <c r="H103" s="30" t="s">
        <v>126</v>
      </c>
      <c r="I103" s="30">
        <v>9.360793733E9</v>
      </c>
      <c r="J103" s="30" t="s">
        <v>1709</v>
      </c>
      <c r="K103" s="30" t="s">
        <v>1713</v>
      </c>
      <c r="L103" s="30" t="s">
        <v>1714</v>
      </c>
      <c r="M103" s="30" t="s">
        <v>31</v>
      </c>
      <c r="N103" s="30" t="s">
        <v>126</v>
      </c>
      <c r="O103" s="30" t="s">
        <v>1715</v>
      </c>
      <c r="P103" s="30" t="s">
        <v>1716</v>
      </c>
      <c r="Q103" s="30" t="s">
        <v>31</v>
      </c>
      <c r="R103" s="30" t="s">
        <v>126</v>
      </c>
      <c r="S103" s="30" t="s">
        <v>1717</v>
      </c>
      <c r="T103" s="30" t="s">
        <v>1718</v>
      </c>
      <c r="U103" s="30" t="s">
        <v>31</v>
      </c>
      <c r="V103" s="30" t="s">
        <v>94</v>
      </c>
      <c r="W103" s="30" t="s">
        <v>1719</v>
      </c>
      <c r="X103" s="30" t="s">
        <v>1720</v>
      </c>
      <c r="Y103" s="30" t="s">
        <v>31</v>
      </c>
      <c r="Z103" s="30" t="s">
        <v>69</v>
      </c>
      <c r="AA103" s="30" t="s">
        <v>1721</v>
      </c>
      <c r="AB103" s="30" t="s">
        <v>1722</v>
      </c>
      <c r="AC103" s="30" t="s">
        <v>31</v>
      </c>
      <c r="AD103" s="30" t="s">
        <v>78</v>
      </c>
      <c r="AE103" s="30" t="s">
        <v>134</v>
      </c>
    </row>
    <row r="104" ht="22.5" customHeight="1">
      <c r="A104" s="28">
        <v>46240.62808451389</v>
      </c>
      <c r="B104" s="30" t="s">
        <v>1723</v>
      </c>
      <c r="C104" s="30" t="s">
        <v>306</v>
      </c>
      <c r="D104" s="30" t="s">
        <v>82</v>
      </c>
      <c r="E104" s="30" t="s">
        <v>1724</v>
      </c>
      <c r="F104" s="30" t="s">
        <v>1725</v>
      </c>
      <c r="G104" s="30" t="s">
        <v>31</v>
      </c>
      <c r="H104" s="30" t="s">
        <v>94</v>
      </c>
      <c r="I104" s="30">
        <v>7.448846698E9</v>
      </c>
      <c r="J104" s="30" t="s">
        <v>1723</v>
      </c>
      <c r="K104" s="30" t="s">
        <v>1726</v>
      </c>
      <c r="L104" s="30" t="s">
        <v>1727</v>
      </c>
      <c r="M104" s="30" t="s">
        <v>31</v>
      </c>
      <c r="N104" s="30" t="s">
        <v>78</v>
      </c>
      <c r="O104" s="30" t="s">
        <v>1728</v>
      </c>
      <c r="P104" s="30" t="s">
        <v>1729</v>
      </c>
      <c r="Q104" s="30" t="s">
        <v>31</v>
      </c>
      <c r="R104" s="30" t="s">
        <v>126</v>
      </c>
      <c r="S104" s="30" t="s">
        <v>1730</v>
      </c>
      <c r="T104" s="30" t="s">
        <v>1731</v>
      </c>
      <c r="U104" s="30" t="s">
        <v>31</v>
      </c>
      <c r="V104" s="30" t="s">
        <v>126</v>
      </c>
      <c r="W104" s="30" t="s">
        <v>1732</v>
      </c>
      <c r="X104" s="30" t="s">
        <v>1733</v>
      </c>
      <c r="Y104" s="30" t="s">
        <v>31</v>
      </c>
      <c r="Z104" s="30" t="s">
        <v>78</v>
      </c>
      <c r="AA104" s="30" t="s">
        <v>1734</v>
      </c>
      <c r="AB104" s="30" t="s">
        <v>1735</v>
      </c>
      <c r="AC104" s="30" t="s">
        <v>31</v>
      </c>
      <c r="AD104" s="30" t="s">
        <v>219</v>
      </c>
      <c r="AE104" s="30" t="s">
        <v>134</v>
      </c>
    </row>
    <row r="105" ht="22.5" customHeight="1">
      <c r="A105" s="28">
        <v>46240.630527800924</v>
      </c>
      <c r="B105" s="30" t="s">
        <v>1736</v>
      </c>
      <c r="C105" s="30" t="s">
        <v>1737</v>
      </c>
      <c r="D105" s="30" t="s">
        <v>193</v>
      </c>
      <c r="E105" s="30" t="s">
        <v>1738</v>
      </c>
      <c r="F105" s="30" t="s">
        <v>1739</v>
      </c>
      <c r="G105" s="30" t="s">
        <v>31</v>
      </c>
      <c r="H105" s="30" t="s">
        <v>22</v>
      </c>
      <c r="I105" s="30">
        <v>8.122930316E9</v>
      </c>
      <c r="J105" s="30" t="s">
        <v>1736</v>
      </c>
      <c r="K105" s="30" t="s">
        <v>1740</v>
      </c>
      <c r="L105" s="30" t="s">
        <v>1741</v>
      </c>
      <c r="M105" s="30" t="s">
        <v>31</v>
      </c>
      <c r="N105" s="30" t="s">
        <v>22</v>
      </c>
      <c r="O105" s="30" t="s">
        <v>1742</v>
      </c>
      <c r="P105" s="30" t="s">
        <v>1743</v>
      </c>
      <c r="Q105" s="30" t="s">
        <v>31</v>
      </c>
      <c r="R105" s="30" t="s">
        <v>22</v>
      </c>
      <c r="S105" s="30" t="s">
        <v>1744</v>
      </c>
      <c r="T105" s="30" t="s">
        <v>1745</v>
      </c>
      <c r="U105" s="30" t="s">
        <v>31</v>
      </c>
      <c r="V105" s="30" t="s">
        <v>22</v>
      </c>
      <c r="W105" s="30" t="s">
        <v>1746</v>
      </c>
      <c r="X105" s="30" t="s">
        <v>1747</v>
      </c>
      <c r="Y105" s="30" t="s">
        <v>31</v>
      </c>
      <c r="Z105" s="30" t="s">
        <v>22</v>
      </c>
      <c r="AA105" s="30" t="s">
        <v>1748</v>
      </c>
      <c r="AB105" s="30" t="s">
        <v>1749</v>
      </c>
      <c r="AC105" s="30" t="s">
        <v>31</v>
      </c>
      <c r="AD105" s="30" t="s">
        <v>22</v>
      </c>
      <c r="AE105" s="30" t="s">
        <v>134</v>
      </c>
    </row>
    <row r="106" ht="22.5" customHeight="1">
      <c r="A106" s="28">
        <v>46240.637325856485</v>
      </c>
      <c r="B106" s="30" t="s">
        <v>1750</v>
      </c>
      <c r="C106" s="30" t="s">
        <v>157</v>
      </c>
      <c r="D106" s="30" t="s">
        <v>82</v>
      </c>
      <c r="E106" s="30" t="s">
        <v>1751</v>
      </c>
      <c r="F106" s="30" t="s">
        <v>158</v>
      </c>
      <c r="G106" s="30" t="s">
        <v>31</v>
      </c>
      <c r="H106" s="30" t="s">
        <v>94</v>
      </c>
      <c r="I106" s="30">
        <v>8.87092866E9</v>
      </c>
      <c r="J106" s="30" t="s">
        <v>1750</v>
      </c>
      <c r="K106" s="30" t="s">
        <v>1752</v>
      </c>
      <c r="L106" s="30" t="s">
        <v>1753</v>
      </c>
      <c r="M106" s="30" t="s">
        <v>31</v>
      </c>
      <c r="N106" s="30" t="s">
        <v>280</v>
      </c>
      <c r="O106" s="30" t="s">
        <v>1754</v>
      </c>
      <c r="P106" s="30" t="s">
        <v>1755</v>
      </c>
      <c r="Q106" s="30" t="s">
        <v>31</v>
      </c>
      <c r="R106" s="30" t="s">
        <v>280</v>
      </c>
      <c r="S106" s="30" t="s">
        <v>1756</v>
      </c>
      <c r="T106" s="30" t="s">
        <v>1757</v>
      </c>
      <c r="U106" s="30" t="s">
        <v>31</v>
      </c>
      <c r="V106" s="30" t="s">
        <v>126</v>
      </c>
      <c r="W106" s="30" t="s">
        <v>1758</v>
      </c>
      <c r="X106" s="30" t="s">
        <v>1759</v>
      </c>
      <c r="Y106" s="30" t="s">
        <v>31</v>
      </c>
      <c r="Z106" s="30" t="s">
        <v>126</v>
      </c>
      <c r="AA106" s="30" t="s">
        <v>1760</v>
      </c>
      <c r="AB106" s="30" t="s">
        <v>1761</v>
      </c>
      <c r="AC106" s="30" t="s">
        <v>31</v>
      </c>
      <c r="AD106" s="30" t="s">
        <v>126</v>
      </c>
      <c r="AE106" s="30" t="s">
        <v>134</v>
      </c>
    </row>
    <row r="107" ht="22.5" customHeight="1">
      <c r="A107" s="28">
        <v>46240.637651122684</v>
      </c>
      <c r="B107" s="30" t="s">
        <v>1762</v>
      </c>
      <c r="C107" s="30" t="s">
        <v>1763</v>
      </c>
      <c r="D107" s="30" t="s">
        <v>193</v>
      </c>
      <c r="E107" s="30" t="s">
        <v>1764</v>
      </c>
      <c r="F107" s="30" t="s">
        <v>1765</v>
      </c>
      <c r="G107" s="30" t="s">
        <v>31</v>
      </c>
      <c r="H107" s="30" t="s">
        <v>94</v>
      </c>
      <c r="I107" s="30">
        <v>9.123516532E9</v>
      </c>
      <c r="J107" s="30" t="s">
        <v>1762</v>
      </c>
      <c r="K107" s="30" t="s">
        <v>1766</v>
      </c>
      <c r="L107" s="30" t="s">
        <v>1767</v>
      </c>
      <c r="M107" s="30" t="s">
        <v>31</v>
      </c>
      <c r="N107" s="30" t="s">
        <v>94</v>
      </c>
      <c r="O107" s="30" t="s">
        <v>1768</v>
      </c>
      <c r="P107" s="30" t="s">
        <v>1769</v>
      </c>
      <c r="Q107" s="30" t="s">
        <v>31</v>
      </c>
      <c r="R107" s="30" t="s">
        <v>22</v>
      </c>
      <c r="S107" s="30" t="s">
        <v>1770</v>
      </c>
      <c r="T107" s="30" t="s">
        <v>1771</v>
      </c>
      <c r="U107" s="30" t="s">
        <v>31</v>
      </c>
      <c r="V107" s="30" t="s">
        <v>94</v>
      </c>
      <c r="W107" s="30" t="s">
        <v>1772</v>
      </c>
      <c r="X107" s="30" t="s">
        <v>1773</v>
      </c>
      <c r="Y107" s="30" t="s">
        <v>31</v>
      </c>
      <c r="Z107" s="30" t="s">
        <v>94</v>
      </c>
      <c r="AA107" s="30" t="s">
        <v>1774</v>
      </c>
      <c r="AB107" s="30" t="s">
        <v>1775</v>
      </c>
      <c r="AC107" s="30" t="s">
        <v>31</v>
      </c>
      <c r="AD107" s="30" t="s">
        <v>94</v>
      </c>
      <c r="AE107" s="30" t="s">
        <v>134</v>
      </c>
    </row>
    <row r="108" ht="22.5" customHeight="1">
      <c r="A108" s="28">
        <v>46240.637856319445</v>
      </c>
      <c r="B108" s="30" t="s">
        <v>1776</v>
      </c>
      <c r="C108" s="30" t="s">
        <v>100</v>
      </c>
      <c r="D108" s="30" t="s">
        <v>193</v>
      </c>
      <c r="E108" s="30" t="s">
        <v>1777</v>
      </c>
      <c r="F108" s="30" t="s">
        <v>101</v>
      </c>
      <c r="G108" s="30" t="s">
        <v>23</v>
      </c>
      <c r="H108" s="30" t="s">
        <v>78</v>
      </c>
      <c r="I108" s="30">
        <v>9.019938209E9</v>
      </c>
      <c r="J108" s="30" t="s">
        <v>1776</v>
      </c>
      <c r="K108" s="30" t="s">
        <v>1778</v>
      </c>
      <c r="L108" s="30" t="s">
        <v>1779</v>
      </c>
      <c r="M108" s="30" t="s">
        <v>23</v>
      </c>
      <c r="N108" s="30" t="s">
        <v>22</v>
      </c>
      <c r="O108" s="30" t="s">
        <v>1780</v>
      </c>
      <c r="P108" s="30" t="s">
        <v>1781</v>
      </c>
      <c r="Q108" s="30" t="s">
        <v>23</v>
      </c>
      <c r="R108" s="30" t="s">
        <v>94</v>
      </c>
      <c r="S108" s="30" t="s">
        <v>1782</v>
      </c>
      <c r="T108" s="30" t="s">
        <v>1783</v>
      </c>
      <c r="U108" s="30" t="s">
        <v>23</v>
      </c>
      <c r="V108" s="30" t="s">
        <v>22</v>
      </c>
      <c r="W108" s="30" t="s">
        <v>1784</v>
      </c>
      <c r="X108" s="30" t="s">
        <v>1785</v>
      </c>
      <c r="Y108" s="30" t="s">
        <v>23</v>
      </c>
      <c r="Z108" s="30" t="s">
        <v>78</v>
      </c>
      <c r="AA108" s="30" t="s">
        <v>1786</v>
      </c>
      <c r="AB108" s="30" t="s">
        <v>1000</v>
      </c>
      <c r="AC108" s="30" t="s">
        <v>23</v>
      </c>
      <c r="AD108" s="30" t="s">
        <v>126</v>
      </c>
      <c r="AE108" s="30" t="s">
        <v>134</v>
      </c>
    </row>
    <row r="109" ht="22.5" customHeight="1">
      <c r="A109" s="28">
        <v>46240.639118391206</v>
      </c>
      <c r="B109" s="30" t="s">
        <v>1787</v>
      </c>
      <c r="C109" s="30" t="s">
        <v>1788</v>
      </c>
      <c r="D109" s="30" t="s">
        <v>193</v>
      </c>
      <c r="E109" s="30" t="s">
        <v>1789</v>
      </c>
      <c r="F109" s="30" t="s">
        <v>1790</v>
      </c>
      <c r="G109" s="30" t="s">
        <v>23</v>
      </c>
      <c r="H109" s="30" t="s">
        <v>22</v>
      </c>
      <c r="I109" s="30">
        <v>9.894242146E9</v>
      </c>
      <c r="J109" s="30" t="s">
        <v>1787</v>
      </c>
      <c r="K109" s="30" t="s">
        <v>1791</v>
      </c>
      <c r="L109" s="30" t="s">
        <v>1792</v>
      </c>
      <c r="M109" s="30" t="s">
        <v>23</v>
      </c>
      <c r="N109" s="30" t="s">
        <v>22</v>
      </c>
      <c r="O109" s="30" t="s">
        <v>1793</v>
      </c>
      <c r="P109" s="30" t="s">
        <v>1794</v>
      </c>
      <c r="Q109" s="30" t="s">
        <v>23</v>
      </c>
      <c r="R109" s="30" t="s">
        <v>22</v>
      </c>
      <c r="S109" s="30" t="s">
        <v>1795</v>
      </c>
      <c r="T109" s="30" t="s">
        <v>1796</v>
      </c>
      <c r="U109" s="30" t="s">
        <v>23</v>
      </c>
      <c r="V109" s="30" t="s">
        <v>243</v>
      </c>
      <c r="W109" s="30" t="s">
        <v>1797</v>
      </c>
      <c r="X109" s="30" t="s">
        <v>1798</v>
      </c>
      <c r="Y109" s="30" t="s">
        <v>23</v>
      </c>
      <c r="Z109" s="30" t="s">
        <v>243</v>
      </c>
      <c r="AA109" s="30" t="s">
        <v>1799</v>
      </c>
      <c r="AB109" s="30" t="s">
        <v>1800</v>
      </c>
      <c r="AC109" s="30" t="s">
        <v>23</v>
      </c>
      <c r="AD109" s="30" t="s">
        <v>94</v>
      </c>
      <c r="AE109" s="30" t="s">
        <v>134</v>
      </c>
    </row>
    <row r="110" ht="22.5" customHeight="1">
      <c r="A110" s="28">
        <v>46240.64138461805</v>
      </c>
      <c r="B110" s="30" t="s">
        <v>1801</v>
      </c>
      <c r="C110" s="30" t="s">
        <v>19</v>
      </c>
      <c r="D110" s="30" t="s">
        <v>193</v>
      </c>
      <c r="E110" s="30" t="s">
        <v>1802</v>
      </c>
      <c r="F110" s="30" t="s">
        <v>1803</v>
      </c>
      <c r="G110" s="30" t="s">
        <v>31</v>
      </c>
      <c r="H110" s="30" t="s">
        <v>22</v>
      </c>
      <c r="I110" s="30">
        <v>9.080143282E9</v>
      </c>
      <c r="J110" s="30" t="s">
        <v>1801</v>
      </c>
      <c r="K110" s="30" t="s">
        <v>1804</v>
      </c>
      <c r="L110" s="30" t="s">
        <v>1805</v>
      </c>
      <c r="M110" s="30" t="s">
        <v>31</v>
      </c>
      <c r="N110" s="30" t="s">
        <v>22</v>
      </c>
      <c r="O110" s="30" t="s">
        <v>1806</v>
      </c>
      <c r="P110" s="30" t="s">
        <v>1807</v>
      </c>
      <c r="Q110" s="30" t="s">
        <v>31</v>
      </c>
      <c r="R110" s="30" t="s">
        <v>22</v>
      </c>
      <c r="S110" s="30" t="s">
        <v>1808</v>
      </c>
      <c r="T110" s="30" t="s">
        <v>1809</v>
      </c>
      <c r="U110" s="30" t="s">
        <v>31</v>
      </c>
      <c r="V110" s="30" t="s">
        <v>22</v>
      </c>
      <c r="W110" s="30" t="s">
        <v>1810</v>
      </c>
      <c r="X110" s="30" t="s">
        <v>1811</v>
      </c>
      <c r="Y110" s="30" t="s">
        <v>31</v>
      </c>
      <c r="Z110" s="30" t="s">
        <v>22</v>
      </c>
      <c r="AA110" s="30" t="s">
        <v>1812</v>
      </c>
      <c r="AB110" s="30" t="s">
        <v>1813</v>
      </c>
      <c r="AC110" s="30" t="s">
        <v>31</v>
      </c>
      <c r="AD110" s="30" t="s">
        <v>22</v>
      </c>
      <c r="AE110" s="30" t="s">
        <v>134</v>
      </c>
    </row>
    <row r="111" ht="22.5" customHeight="1">
      <c r="A111" s="28">
        <v>46240.64322770834</v>
      </c>
      <c r="B111" s="30" t="s">
        <v>1814</v>
      </c>
      <c r="C111" s="30" t="s">
        <v>102</v>
      </c>
      <c r="D111" s="30" t="s">
        <v>82</v>
      </c>
      <c r="E111" s="30" t="s">
        <v>1815</v>
      </c>
      <c r="F111" s="30" t="s">
        <v>104</v>
      </c>
      <c r="G111" s="30" t="s">
        <v>23</v>
      </c>
      <c r="H111" s="30" t="s">
        <v>78</v>
      </c>
      <c r="I111" s="30">
        <v>7.904469199E9</v>
      </c>
      <c r="J111" s="30" t="s">
        <v>1816</v>
      </c>
      <c r="K111" s="30" t="s">
        <v>1817</v>
      </c>
      <c r="L111" s="30" t="s">
        <v>1818</v>
      </c>
      <c r="M111" s="30" t="s">
        <v>23</v>
      </c>
      <c r="N111" s="30" t="s">
        <v>94</v>
      </c>
      <c r="O111" s="30" t="s">
        <v>1819</v>
      </c>
      <c r="P111" s="30" t="s">
        <v>1820</v>
      </c>
      <c r="Q111" s="30" t="s">
        <v>23</v>
      </c>
      <c r="R111" s="30" t="s">
        <v>94</v>
      </c>
      <c r="S111" s="30" t="s">
        <v>1821</v>
      </c>
      <c r="T111" s="30" t="s">
        <v>1822</v>
      </c>
      <c r="U111" s="30" t="s">
        <v>23</v>
      </c>
      <c r="V111" s="30" t="s">
        <v>126</v>
      </c>
      <c r="W111" s="30" t="s">
        <v>1823</v>
      </c>
      <c r="X111" s="30" t="s">
        <v>1824</v>
      </c>
      <c r="Y111" s="30" t="s">
        <v>23</v>
      </c>
      <c r="Z111" s="30" t="s">
        <v>219</v>
      </c>
      <c r="AA111" s="30" t="s">
        <v>1825</v>
      </c>
      <c r="AB111" s="30" t="s">
        <v>1826</v>
      </c>
      <c r="AC111" s="30" t="s">
        <v>23</v>
      </c>
      <c r="AD111" s="30" t="s">
        <v>280</v>
      </c>
      <c r="AE111" s="30" t="s">
        <v>134</v>
      </c>
    </row>
    <row r="112" ht="22.5" customHeight="1">
      <c r="A112" s="28">
        <v>46240.64425671296</v>
      </c>
      <c r="B112" s="30" t="s">
        <v>1827</v>
      </c>
      <c r="C112" s="30" t="s">
        <v>1828</v>
      </c>
      <c r="D112" s="30" t="s">
        <v>193</v>
      </c>
      <c r="E112" s="30" t="s">
        <v>1829</v>
      </c>
      <c r="F112" s="30" t="s">
        <v>1830</v>
      </c>
      <c r="G112" s="30" t="s">
        <v>23</v>
      </c>
      <c r="H112" s="30" t="s">
        <v>94</v>
      </c>
      <c r="I112" s="30">
        <v>8.807492829E9</v>
      </c>
      <c r="J112" s="30" t="s">
        <v>1831</v>
      </c>
      <c r="K112" s="30" t="s">
        <v>1832</v>
      </c>
      <c r="L112" s="30" t="s">
        <v>1833</v>
      </c>
      <c r="M112" s="30" t="s">
        <v>23</v>
      </c>
      <c r="N112" s="30" t="s">
        <v>94</v>
      </c>
      <c r="O112" s="30" t="s">
        <v>1834</v>
      </c>
      <c r="P112" s="30" t="s">
        <v>1835</v>
      </c>
      <c r="Q112" s="30" t="s">
        <v>23</v>
      </c>
      <c r="R112" s="30" t="s">
        <v>94</v>
      </c>
      <c r="S112" s="30" t="s">
        <v>1836</v>
      </c>
      <c r="T112" s="30" t="s">
        <v>1837</v>
      </c>
      <c r="U112" s="30" t="s">
        <v>23</v>
      </c>
      <c r="V112" s="30" t="s">
        <v>94</v>
      </c>
      <c r="W112" s="30" t="s">
        <v>1838</v>
      </c>
      <c r="X112" s="30" t="s">
        <v>1839</v>
      </c>
      <c r="Y112" s="30" t="s">
        <v>23</v>
      </c>
      <c r="Z112" s="30" t="s">
        <v>94</v>
      </c>
      <c r="AA112" s="30" t="s">
        <v>1840</v>
      </c>
      <c r="AB112" s="30" t="s">
        <v>1841</v>
      </c>
      <c r="AC112" s="30" t="s">
        <v>23</v>
      </c>
      <c r="AD112" s="30" t="s">
        <v>126</v>
      </c>
      <c r="AE112" s="30" t="s">
        <v>134</v>
      </c>
    </row>
    <row r="113" ht="22.5" customHeight="1">
      <c r="A113" s="28">
        <v>46240.648419351855</v>
      </c>
      <c r="B113" s="30" t="s">
        <v>1842</v>
      </c>
      <c r="C113" s="30" t="s">
        <v>1843</v>
      </c>
      <c r="D113" s="30" t="s">
        <v>193</v>
      </c>
      <c r="E113" s="30" t="s">
        <v>1844</v>
      </c>
      <c r="F113" s="30" t="s">
        <v>1845</v>
      </c>
      <c r="G113" s="30" t="s">
        <v>23</v>
      </c>
      <c r="H113" s="30" t="s">
        <v>94</v>
      </c>
      <c r="I113" s="30">
        <v>9.384163113E9</v>
      </c>
      <c r="J113" s="30" t="s">
        <v>1846</v>
      </c>
      <c r="K113" s="30" t="s">
        <v>1847</v>
      </c>
      <c r="L113" s="30" t="s">
        <v>1848</v>
      </c>
      <c r="M113" s="30" t="s">
        <v>23</v>
      </c>
      <c r="N113" s="30" t="s">
        <v>94</v>
      </c>
      <c r="O113" s="30" t="s">
        <v>1849</v>
      </c>
      <c r="P113" s="30" t="s">
        <v>1850</v>
      </c>
      <c r="Q113" s="30" t="s">
        <v>23</v>
      </c>
      <c r="R113" s="30" t="s">
        <v>94</v>
      </c>
      <c r="S113" s="30" t="s">
        <v>1851</v>
      </c>
      <c r="T113" s="30" t="s">
        <v>1852</v>
      </c>
      <c r="U113" s="30" t="s">
        <v>23</v>
      </c>
      <c r="V113" s="30" t="s">
        <v>280</v>
      </c>
      <c r="W113" s="30" t="s">
        <v>1853</v>
      </c>
      <c r="X113" s="30" t="s">
        <v>1854</v>
      </c>
      <c r="Y113" s="30" t="s">
        <v>31</v>
      </c>
      <c r="Z113" s="30" t="s">
        <v>22</v>
      </c>
      <c r="AA113" s="30" t="s">
        <v>1855</v>
      </c>
      <c r="AB113" s="30" t="s">
        <v>1856</v>
      </c>
      <c r="AC113" s="30" t="s">
        <v>31</v>
      </c>
      <c r="AD113" s="30" t="s">
        <v>22</v>
      </c>
      <c r="AE113" s="30" t="s">
        <v>134</v>
      </c>
    </row>
    <row r="114" ht="22.5" customHeight="1">
      <c r="A114" s="28">
        <v>46240.648427974535</v>
      </c>
      <c r="B114" s="30" t="s">
        <v>1857</v>
      </c>
      <c r="C114" s="30" t="s">
        <v>1858</v>
      </c>
      <c r="D114" s="30" t="s">
        <v>82</v>
      </c>
      <c r="E114" s="30" t="s">
        <v>1859</v>
      </c>
      <c r="F114" s="30" t="s">
        <v>1860</v>
      </c>
      <c r="G114" s="30" t="s">
        <v>23</v>
      </c>
      <c r="H114" s="30" t="s">
        <v>219</v>
      </c>
      <c r="I114" s="30">
        <v>9.79148563E9</v>
      </c>
      <c r="J114" s="30" t="s">
        <v>1857</v>
      </c>
      <c r="K114" s="30" t="s">
        <v>1861</v>
      </c>
      <c r="L114" s="30" t="s">
        <v>1862</v>
      </c>
      <c r="M114" s="30" t="s">
        <v>23</v>
      </c>
      <c r="N114" s="30" t="s">
        <v>219</v>
      </c>
      <c r="O114" s="30" t="s">
        <v>1863</v>
      </c>
      <c r="P114" s="30" t="s">
        <v>1864</v>
      </c>
      <c r="Q114" s="30" t="s">
        <v>23</v>
      </c>
      <c r="R114" s="30" t="s">
        <v>219</v>
      </c>
      <c r="S114" s="30" t="s">
        <v>1865</v>
      </c>
      <c r="T114" s="30" t="s">
        <v>1866</v>
      </c>
      <c r="U114" s="30" t="s">
        <v>23</v>
      </c>
      <c r="V114" s="30" t="s">
        <v>126</v>
      </c>
      <c r="W114" s="30" t="s">
        <v>1867</v>
      </c>
      <c r="X114" s="30" t="s">
        <v>1868</v>
      </c>
      <c r="Y114" s="30" t="s">
        <v>23</v>
      </c>
      <c r="Z114" s="30" t="s">
        <v>219</v>
      </c>
      <c r="AA114" s="30" t="s">
        <v>1869</v>
      </c>
      <c r="AB114" s="30" t="s">
        <v>1870</v>
      </c>
      <c r="AC114" s="30" t="s">
        <v>23</v>
      </c>
      <c r="AD114" s="30" t="s">
        <v>178</v>
      </c>
      <c r="AE114" s="30" t="s">
        <v>134</v>
      </c>
    </row>
    <row r="115" ht="22.5" customHeight="1">
      <c r="A115" s="28">
        <v>46240.65375591435</v>
      </c>
      <c r="B115" s="30" t="s">
        <v>1871</v>
      </c>
      <c r="C115" s="30" t="s">
        <v>1872</v>
      </c>
      <c r="D115" s="30" t="s">
        <v>193</v>
      </c>
      <c r="E115" s="30" t="s">
        <v>1873</v>
      </c>
      <c r="F115" s="30" t="s">
        <v>1874</v>
      </c>
      <c r="G115" s="30" t="s">
        <v>31</v>
      </c>
      <c r="H115" s="30" t="s">
        <v>78</v>
      </c>
      <c r="I115" s="30">
        <v>8.438873983E9</v>
      </c>
      <c r="J115" s="30" t="s">
        <v>1875</v>
      </c>
      <c r="K115" s="30" t="s">
        <v>1876</v>
      </c>
      <c r="L115" s="30" t="s">
        <v>1877</v>
      </c>
      <c r="M115" s="30" t="s">
        <v>31</v>
      </c>
      <c r="N115" s="30" t="s">
        <v>78</v>
      </c>
      <c r="O115" s="30" t="s">
        <v>1878</v>
      </c>
      <c r="P115" s="30" t="s">
        <v>1879</v>
      </c>
      <c r="Q115" s="30" t="s">
        <v>31</v>
      </c>
      <c r="R115" s="30" t="s">
        <v>78</v>
      </c>
      <c r="S115" s="30" t="s">
        <v>1880</v>
      </c>
      <c r="T115" s="30" t="s">
        <v>1881</v>
      </c>
      <c r="U115" s="30" t="s">
        <v>31</v>
      </c>
      <c r="V115" s="30" t="s">
        <v>94</v>
      </c>
      <c r="W115" s="30" t="s">
        <v>1882</v>
      </c>
      <c r="X115" s="30" t="s">
        <v>1883</v>
      </c>
      <c r="Y115" s="30" t="s">
        <v>31</v>
      </c>
      <c r="Z115" s="30" t="s">
        <v>94</v>
      </c>
      <c r="AA115" s="30" t="s">
        <v>1884</v>
      </c>
      <c r="AB115" s="30" t="s">
        <v>1885</v>
      </c>
      <c r="AC115" s="30" t="s">
        <v>31</v>
      </c>
      <c r="AD115" s="30" t="s">
        <v>94</v>
      </c>
      <c r="AE115" s="30" t="s">
        <v>134</v>
      </c>
    </row>
    <row r="116" ht="22.5" customHeight="1">
      <c r="A116" s="28">
        <v>46240.660255069444</v>
      </c>
      <c r="B116" s="30" t="s">
        <v>1886</v>
      </c>
      <c r="C116" s="30" t="s">
        <v>1887</v>
      </c>
      <c r="D116" s="30" t="s">
        <v>82</v>
      </c>
      <c r="E116" s="30" t="s">
        <v>1888</v>
      </c>
      <c r="F116" s="30" t="s">
        <v>1889</v>
      </c>
      <c r="G116" s="30" t="s">
        <v>31</v>
      </c>
      <c r="H116" s="30" t="s">
        <v>280</v>
      </c>
      <c r="I116" s="30" t="s">
        <v>1890</v>
      </c>
      <c r="J116" s="30" t="s">
        <v>1891</v>
      </c>
      <c r="K116" s="30" t="s">
        <v>1892</v>
      </c>
      <c r="L116" s="30" t="s">
        <v>1893</v>
      </c>
      <c r="M116" s="30" t="s">
        <v>31</v>
      </c>
      <c r="N116" s="30" t="s">
        <v>280</v>
      </c>
      <c r="O116" s="30" t="s">
        <v>1894</v>
      </c>
      <c r="P116" s="30" t="s">
        <v>1895</v>
      </c>
      <c r="Q116" s="30" t="s">
        <v>31</v>
      </c>
      <c r="R116" s="30" t="s">
        <v>280</v>
      </c>
      <c r="S116" s="30" t="s">
        <v>1896</v>
      </c>
      <c r="T116" s="30" t="s">
        <v>1897</v>
      </c>
      <c r="U116" s="30" t="s">
        <v>23</v>
      </c>
      <c r="V116" s="30" t="s">
        <v>280</v>
      </c>
      <c r="W116" s="30" t="s">
        <v>1898</v>
      </c>
      <c r="X116" s="30" t="s">
        <v>1899</v>
      </c>
      <c r="Y116" s="30" t="s">
        <v>31</v>
      </c>
      <c r="Z116" s="30" t="s">
        <v>280</v>
      </c>
      <c r="AA116" s="30" t="s">
        <v>1900</v>
      </c>
      <c r="AB116" s="30" t="s">
        <v>1901</v>
      </c>
      <c r="AC116" s="30" t="s">
        <v>31</v>
      </c>
      <c r="AD116" s="30" t="s">
        <v>219</v>
      </c>
      <c r="AE116" s="30" t="s">
        <v>134</v>
      </c>
    </row>
    <row r="117" ht="22.5" customHeight="1">
      <c r="A117" s="28">
        <v>46240.660433287034</v>
      </c>
      <c r="B117" s="30" t="s">
        <v>1902</v>
      </c>
      <c r="C117" s="30" t="s">
        <v>1903</v>
      </c>
      <c r="D117" s="30" t="s">
        <v>193</v>
      </c>
      <c r="E117" s="30" t="s">
        <v>1904</v>
      </c>
      <c r="F117" s="30" t="s">
        <v>1905</v>
      </c>
      <c r="G117" s="30" t="s">
        <v>23</v>
      </c>
      <c r="H117" s="30" t="s">
        <v>94</v>
      </c>
      <c r="I117" s="30">
        <v>7.010668113E9</v>
      </c>
      <c r="J117" s="30" t="s">
        <v>1902</v>
      </c>
      <c r="K117" s="30" t="s">
        <v>1906</v>
      </c>
      <c r="L117" s="30" t="s">
        <v>1907</v>
      </c>
      <c r="M117" s="30" t="s">
        <v>23</v>
      </c>
      <c r="N117" s="30" t="s">
        <v>94</v>
      </c>
      <c r="O117" s="30" t="s">
        <v>1908</v>
      </c>
      <c r="P117" s="30" t="s">
        <v>1909</v>
      </c>
      <c r="Q117" s="30" t="s">
        <v>23</v>
      </c>
      <c r="R117" s="30" t="s">
        <v>94</v>
      </c>
      <c r="S117" s="30" t="s">
        <v>1910</v>
      </c>
      <c r="T117" s="30" t="s">
        <v>1911</v>
      </c>
      <c r="U117" s="30" t="s">
        <v>23</v>
      </c>
      <c r="V117" s="30" t="s">
        <v>94</v>
      </c>
      <c r="W117" s="30" t="s">
        <v>1912</v>
      </c>
      <c r="X117" s="30" t="s">
        <v>1913</v>
      </c>
      <c r="Y117" s="30" t="s">
        <v>23</v>
      </c>
      <c r="Z117" s="30" t="s">
        <v>94</v>
      </c>
      <c r="AA117" s="30" t="s">
        <v>1914</v>
      </c>
      <c r="AB117" s="30" t="s">
        <v>1915</v>
      </c>
      <c r="AC117" s="30" t="s">
        <v>23</v>
      </c>
      <c r="AD117" s="30" t="s">
        <v>243</v>
      </c>
      <c r="AE117" s="30" t="s">
        <v>134</v>
      </c>
    </row>
    <row r="118" ht="22.5" customHeight="1">
      <c r="A118" s="28">
        <v>46240.66155884259</v>
      </c>
      <c r="B118" s="30" t="s">
        <v>1916</v>
      </c>
      <c r="C118" s="30" t="s">
        <v>161</v>
      </c>
      <c r="D118" s="30" t="s">
        <v>193</v>
      </c>
      <c r="E118" s="30" t="s">
        <v>1917</v>
      </c>
      <c r="F118" s="30" t="s">
        <v>162</v>
      </c>
      <c r="G118" s="30" t="s">
        <v>23</v>
      </c>
      <c r="H118" s="30" t="s">
        <v>94</v>
      </c>
      <c r="I118" s="30" t="s">
        <v>163</v>
      </c>
      <c r="J118" s="30" t="s">
        <v>1918</v>
      </c>
      <c r="K118" s="30" t="s">
        <v>1919</v>
      </c>
      <c r="L118" s="30" t="s">
        <v>1920</v>
      </c>
      <c r="M118" s="30" t="s">
        <v>23</v>
      </c>
      <c r="N118" s="30" t="s">
        <v>94</v>
      </c>
      <c r="O118" s="30" t="s">
        <v>1921</v>
      </c>
      <c r="P118" s="30" t="s">
        <v>1922</v>
      </c>
      <c r="Q118" s="30" t="s">
        <v>23</v>
      </c>
      <c r="R118" s="30" t="s">
        <v>94</v>
      </c>
      <c r="S118" s="30" t="s">
        <v>1923</v>
      </c>
      <c r="T118" s="30" t="s">
        <v>1924</v>
      </c>
      <c r="U118" s="30" t="s">
        <v>23</v>
      </c>
      <c r="V118" s="30" t="s">
        <v>94</v>
      </c>
      <c r="W118" s="30" t="s">
        <v>1925</v>
      </c>
      <c r="X118" s="30" t="s">
        <v>1926</v>
      </c>
      <c r="Y118" s="30" t="s">
        <v>23</v>
      </c>
      <c r="Z118" s="30" t="s">
        <v>219</v>
      </c>
      <c r="AA118" s="30" t="s">
        <v>1927</v>
      </c>
      <c r="AB118" s="30" t="s">
        <v>1928</v>
      </c>
      <c r="AC118" s="30" t="s">
        <v>23</v>
      </c>
      <c r="AD118" s="30" t="s">
        <v>126</v>
      </c>
      <c r="AE118" s="30" t="s">
        <v>134</v>
      </c>
    </row>
    <row r="119" ht="22.5" customHeight="1">
      <c r="A119" s="28">
        <v>46240.66310121528</v>
      </c>
      <c r="B119" s="30" t="s">
        <v>1929</v>
      </c>
      <c r="C119" s="30" t="s">
        <v>1930</v>
      </c>
      <c r="D119" s="30" t="s">
        <v>193</v>
      </c>
      <c r="E119" s="30" t="s">
        <v>1931</v>
      </c>
      <c r="F119" s="30" t="s">
        <v>1932</v>
      </c>
      <c r="G119" s="30" t="s">
        <v>31</v>
      </c>
      <c r="H119" s="30" t="s">
        <v>22</v>
      </c>
      <c r="I119" s="30">
        <v>9.942674205E9</v>
      </c>
      <c r="J119" s="30" t="s">
        <v>1933</v>
      </c>
      <c r="K119" s="30" t="s">
        <v>1934</v>
      </c>
      <c r="L119" s="30" t="s">
        <v>1935</v>
      </c>
      <c r="M119" s="30" t="s">
        <v>31</v>
      </c>
      <c r="N119" s="30" t="s">
        <v>22</v>
      </c>
      <c r="O119" s="30" t="s">
        <v>1936</v>
      </c>
      <c r="P119" s="30" t="s">
        <v>1937</v>
      </c>
      <c r="Q119" s="30" t="s">
        <v>31</v>
      </c>
      <c r="R119" s="30" t="s">
        <v>22</v>
      </c>
      <c r="S119" s="30" t="s">
        <v>1938</v>
      </c>
      <c r="T119" s="30" t="s">
        <v>1939</v>
      </c>
      <c r="U119" s="30" t="s">
        <v>31</v>
      </c>
      <c r="V119" s="30" t="s">
        <v>22</v>
      </c>
      <c r="W119" s="30" t="s">
        <v>1940</v>
      </c>
      <c r="X119" s="30" t="s">
        <v>1941</v>
      </c>
      <c r="Y119" s="30" t="s">
        <v>31</v>
      </c>
      <c r="Z119" s="30" t="s">
        <v>94</v>
      </c>
      <c r="AA119" s="30" t="s">
        <v>1942</v>
      </c>
      <c r="AB119" s="30" t="s">
        <v>1943</v>
      </c>
      <c r="AC119" s="30" t="s">
        <v>31</v>
      </c>
      <c r="AD119" s="30" t="s">
        <v>94</v>
      </c>
      <c r="AE119" s="30" t="s">
        <v>134</v>
      </c>
    </row>
    <row r="120" ht="22.5" customHeight="1">
      <c r="A120" s="28">
        <v>46240.6704899537</v>
      </c>
      <c r="B120" s="30" t="s">
        <v>1944</v>
      </c>
      <c r="C120" s="30" t="s">
        <v>1945</v>
      </c>
      <c r="D120" s="30" t="s">
        <v>193</v>
      </c>
      <c r="E120" s="30" t="s">
        <v>1946</v>
      </c>
      <c r="F120" s="30" t="s">
        <v>1947</v>
      </c>
      <c r="G120" s="30" t="s">
        <v>31</v>
      </c>
      <c r="H120" s="30" t="s">
        <v>94</v>
      </c>
      <c r="I120" s="30">
        <v>9.944969647E9</v>
      </c>
      <c r="J120" s="30" t="s">
        <v>1944</v>
      </c>
      <c r="K120" s="30" t="s">
        <v>1948</v>
      </c>
      <c r="L120" s="30" t="s">
        <v>1949</v>
      </c>
      <c r="M120" s="30" t="s">
        <v>31</v>
      </c>
      <c r="N120" s="30" t="s">
        <v>94</v>
      </c>
      <c r="O120" s="30" t="s">
        <v>1950</v>
      </c>
      <c r="P120" s="30" t="s">
        <v>1951</v>
      </c>
      <c r="Q120" s="30" t="s">
        <v>31</v>
      </c>
      <c r="R120" s="30" t="s">
        <v>94</v>
      </c>
      <c r="S120" s="30" t="s">
        <v>1952</v>
      </c>
      <c r="T120" s="30" t="s">
        <v>1953</v>
      </c>
      <c r="U120" s="30" t="s">
        <v>31</v>
      </c>
      <c r="V120" s="30" t="s">
        <v>94</v>
      </c>
      <c r="W120" s="30" t="s">
        <v>1954</v>
      </c>
      <c r="X120" s="30" t="s">
        <v>1955</v>
      </c>
      <c r="Y120" s="30" t="s">
        <v>31</v>
      </c>
      <c r="Z120" s="30" t="s">
        <v>94</v>
      </c>
      <c r="AA120" s="30" t="s">
        <v>1956</v>
      </c>
      <c r="AB120" s="30" t="s">
        <v>1957</v>
      </c>
      <c r="AC120" s="30" t="s">
        <v>31</v>
      </c>
      <c r="AD120" s="30" t="s">
        <v>219</v>
      </c>
      <c r="AE120" s="30" t="s">
        <v>134</v>
      </c>
    </row>
    <row r="121" ht="22.5" customHeight="1">
      <c r="A121" s="28">
        <v>46240.673932997684</v>
      </c>
      <c r="B121" s="30" t="s">
        <v>1958</v>
      </c>
      <c r="C121" s="30" t="s">
        <v>1959</v>
      </c>
      <c r="D121" s="30" t="s">
        <v>193</v>
      </c>
      <c r="E121" s="30" t="s">
        <v>1960</v>
      </c>
      <c r="F121" s="30" t="s">
        <v>1961</v>
      </c>
      <c r="G121" s="30" t="s">
        <v>31</v>
      </c>
      <c r="H121" s="30" t="s">
        <v>94</v>
      </c>
      <c r="I121" s="30">
        <v>9.566246403E9</v>
      </c>
      <c r="J121" s="30" t="s">
        <v>1958</v>
      </c>
      <c r="K121" s="30" t="s">
        <v>1962</v>
      </c>
      <c r="L121" s="30" t="s">
        <v>1963</v>
      </c>
      <c r="M121" s="30" t="s">
        <v>31</v>
      </c>
      <c r="N121" s="30" t="s">
        <v>94</v>
      </c>
      <c r="O121" s="30" t="s">
        <v>1964</v>
      </c>
      <c r="P121" s="30" t="s">
        <v>1965</v>
      </c>
      <c r="Q121" s="30" t="s">
        <v>31</v>
      </c>
      <c r="R121" s="30" t="s">
        <v>94</v>
      </c>
      <c r="S121" s="30" t="s">
        <v>1966</v>
      </c>
      <c r="T121" s="30" t="s">
        <v>1967</v>
      </c>
      <c r="U121" s="30" t="s">
        <v>31</v>
      </c>
      <c r="V121" s="30" t="s">
        <v>94</v>
      </c>
      <c r="W121" s="30" t="s">
        <v>1966</v>
      </c>
      <c r="X121" s="30" t="s">
        <v>1968</v>
      </c>
      <c r="Y121" s="30" t="s">
        <v>31</v>
      </c>
      <c r="Z121" s="30" t="s">
        <v>69</v>
      </c>
      <c r="AA121" s="30" t="s">
        <v>1969</v>
      </c>
      <c r="AB121" s="30" t="s">
        <v>1970</v>
      </c>
      <c r="AC121" s="30" t="s">
        <v>31</v>
      </c>
      <c r="AD121" s="30" t="s">
        <v>22</v>
      </c>
      <c r="AE121" s="30" t="s">
        <v>134</v>
      </c>
    </row>
    <row r="122" ht="22.5" customHeight="1">
      <c r="A122" s="28">
        <v>46240.67776503472</v>
      </c>
      <c r="B122" s="30" t="s">
        <v>1971</v>
      </c>
      <c r="C122" s="30" t="s">
        <v>1972</v>
      </c>
      <c r="D122" s="30" t="s">
        <v>193</v>
      </c>
      <c r="E122" s="30" t="s">
        <v>1973</v>
      </c>
      <c r="F122" s="30" t="s">
        <v>1974</v>
      </c>
      <c r="G122" s="30" t="s">
        <v>23</v>
      </c>
      <c r="H122" s="30" t="s">
        <v>280</v>
      </c>
      <c r="I122" s="30">
        <v>6.383028607E9</v>
      </c>
      <c r="J122" s="30" t="s">
        <v>1975</v>
      </c>
      <c r="K122" s="30" t="s">
        <v>1976</v>
      </c>
      <c r="L122" s="30" t="s">
        <v>1977</v>
      </c>
      <c r="M122" s="30" t="s">
        <v>23</v>
      </c>
      <c r="N122" s="30" t="s">
        <v>280</v>
      </c>
      <c r="O122" s="30" t="s">
        <v>1978</v>
      </c>
      <c r="P122" s="30" t="s">
        <v>1979</v>
      </c>
      <c r="Q122" s="30" t="s">
        <v>23</v>
      </c>
      <c r="R122" s="30" t="s">
        <v>280</v>
      </c>
      <c r="S122" s="30" t="s">
        <v>1980</v>
      </c>
      <c r="T122" s="30" t="s">
        <v>1981</v>
      </c>
      <c r="U122" s="30" t="s">
        <v>23</v>
      </c>
      <c r="V122" s="30" t="s">
        <v>280</v>
      </c>
      <c r="W122" s="30" t="s">
        <v>1982</v>
      </c>
      <c r="X122" s="30" t="s">
        <v>1983</v>
      </c>
      <c r="Y122" s="30" t="s">
        <v>23</v>
      </c>
      <c r="Z122" s="30" t="s">
        <v>219</v>
      </c>
      <c r="AA122" s="30" t="s">
        <v>1984</v>
      </c>
      <c r="AB122" s="30" t="s">
        <v>1985</v>
      </c>
      <c r="AC122" s="30" t="s">
        <v>23</v>
      </c>
      <c r="AD122" s="30" t="s">
        <v>22</v>
      </c>
      <c r="AE122" s="30" t="s">
        <v>134</v>
      </c>
    </row>
    <row r="123" ht="22.5" customHeight="1">
      <c r="A123" s="28">
        <v>46240.683337916664</v>
      </c>
      <c r="B123" s="30" t="s">
        <v>1986</v>
      </c>
      <c r="C123" s="30" t="s">
        <v>1987</v>
      </c>
      <c r="D123" s="30" t="s">
        <v>82</v>
      </c>
      <c r="E123" s="30" t="s">
        <v>1988</v>
      </c>
      <c r="F123" s="30" t="s">
        <v>1989</v>
      </c>
      <c r="G123" s="30" t="s">
        <v>31</v>
      </c>
      <c r="H123" s="30" t="s">
        <v>78</v>
      </c>
      <c r="I123" s="30">
        <v>6.380494428E9</v>
      </c>
      <c r="J123" s="30" t="s">
        <v>1986</v>
      </c>
      <c r="K123" s="30" t="s">
        <v>1990</v>
      </c>
      <c r="L123" s="30" t="s">
        <v>1991</v>
      </c>
      <c r="M123" s="30" t="s">
        <v>31</v>
      </c>
      <c r="N123" s="30" t="s">
        <v>78</v>
      </c>
      <c r="O123" s="30" t="s">
        <v>1992</v>
      </c>
      <c r="P123" s="30" t="s">
        <v>1993</v>
      </c>
      <c r="Q123" s="30" t="s">
        <v>31</v>
      </c>
      <c r="R123" s="30" t="s">
        <v>78</v>
      </c>
      <c r="S123" s="30" t="s">
        <v>1994</v>
      </c>
      <c r="T123" s="30" t="s">
        <v>1995</v>
      </c>
      <c r="U123" s="30" t="s">
        <v>31</v>
      </c>
      <c r="V123" s="30" t="s">
        <v>78</v>
      </c>
      <c r="W123" s="30" t="s">
        <v>1996</v>
      </c>
      <c r="X123" s="30" t="s">
        <v>1997</v>
      </c>
      <c r="Y123" s="30" t="s">
        <v>31</v>
      </c>
      <c r="Z123" s="30" t="s">
        <v>126</v>
      </c>
      <c r="AA123" s="30" t="s">
        <v>1998</v>
      </c>
      <c r="AB123" s="30" t="s">
        <v>1999</v>
      </c>
      <c r="AC123" s="30" t="s">
        <v>31</v>
      </c>
      <c r="AD123" s="30" t="s">
        <v>126</v>
      </c>
      <c r="AE123" s="30" t="s">
        <v>134</v>
      </c>
    </row>
    <row r="124" ht="22.5" customHeight="1">
      <c r="A124" s="28">
        <v>46240.68659719908</v>
      </c>
      <c r="B124" s="30" t="s">
        <v>2000</v>
      </c>
      <c r="C124" s="30" t="s">
        <v>47</v>
      </c>
      <c r="D124" s="30" t="s">
        <v>82</v>
      </c>
      <c r="E124" s="30" t="s">
        <v>2001</v>
      </c>
      <c r="F124" s="30" t="s">
        <v>2002</v>
      </c>
      <c r="G124" s="30" t="s">
        <v>23</v>
      </c>
      <c r="H124" s="30" t="s">
        <v>22</v>
      </c>
      <c r="I124" s="30">
        <v>9.597683038E9</v>
      </c>
      <c r="J124" s="30" t="s">
        <v>2000</v>
      </c>
      <c r="K124" s="30" t="s">
        <v>2003</v>
      </c>
      <c r="L124" s="30" t="s">
        <v>2004</v>
      </c>
      <c r="M124" s="30" t="s">
        <v>23</v>
      </c>
      <c r="N124" s="30" t="s">
        <v>22</v>
      </c>
      <c r="O124" s="30" t="s">
        <v>2005</v>
      </c>
      <c r="P124" s="30" t="s">
        <v>2006</v>
      </c>
      <c r="Q124" s="30" t="s">
        <v>23</v>
      </c>
      <c r="R124" s="30" t="s">
        <v>22</v>
      </c>
      <c r="S124" s="30" t="s">
        <v>2007</v>
      </c>
      <c r="T124" s="30" t="s">
        <v>2008</v>
      </c>
      <c r="U124" s="30" t="s">
        <v>31</v>
      </c>
      <c r="V124" s="30" t="s">
        <v>22</v>
      </c>
      <c r="W124" s="30" t="s">
        <v>2009</v>
      </c>
      <c r="X124" s="30" t="s">
        <v>2010</v>
      </c>
      <c r="Y124" s="30" t="s">
        <v>31</v>
      </c>
      <c r="Z124" s="30" t="s">
        <v>126</v>
      </c>
      <c r="AA124" s="30" t="s">
        <v>2011</v>
      </c>
      <c r="AB124" s="30" t="s">
        <v>2012</v>
      </c>
      <c r="AC124" s="30" t="s">
        <v>31</v>
      </c>
      <c r="AD124" s="30" t="s">
        <v>126</v>
      </c>
      <c r="AE124" s="30" t="s">
        <v>134</v>
      </c>
    </row>
    <row r="125" ht="22.5" customHeight="1">
      <c r="A125" s="28">
        <v>46240.68812211805</v>
      </c>
      <c r="B125" s="30" t="s">
        <v>2013</v>
      </c>
      <c r="C125" s="30" t="s">
        <v>363</v>
      </c>
      <c r="D125" s="30" t="s">
        <v>193</v>
      </c>
      <c r="E125" s="30" t="s">
        <v>2014</v>
      </c>
      <c r="F125" s="30" t="s">
        <v>2015</v>
      </c>
      <c r="G125" s="30" t="s">
        <v>23</v>
      </c>
      <c r="H125" s="30" t="s">
        <v>178</v>
      </c>
      <c r="I125" s="30">
        <v>9.952788717E9</v>
      </c>
      <c r="J125" s="30" t="s">
        <v>2016</v>
      </c>
      <c r="K125" s="30" t="s">
        <v>2017</v>
      </c>
      <c r="L125" s="30" t="s">
        <v>2018</v>
      </c>
      <c r="M125" s="30" t="s">
        <v>23</v>
      </c>
      <c r="N125" s="30" t="s">
        <v>178</v>
      </c>
      <c r="O125" s="30" t="s">
        <v>2019</v>
      </c>
      <c r="P125" s="30" t="s">
        <v>2020</v>
      </c>
      <c r="Q125" s="30" t="s">
        <v>23</v>
      </c>
      <c r="R125" s="30" t="s">
        <v>178</v>
      </c>
      <c r="S125" s="30" t="s">
        <v>2021</v>
      </c>
      <c r="T125" s="30" t="s">
        <v>2022</v>
      </c>
      <c r="U125" s="30" t="s">
        <v>23</v>
      </c>
      <c r="V125" s="30" t="s">
        <v>94</v>
      </c>
      <c r="W125" s="30" t="s">
        <v>2023</v>
      </c>
      <c r="X125" s="30" t="s">
        <v>2024</v>
      </c>
      <c r="Y125" s="30" t="s">
        <v>23</v>
      </c>
      <c r="Z125" s="30" t="s">
        <v>219</v>
      </c>
      <c r="AA125" s="30" t="s">
        <v>2025</v>
      </c>
      <c r="AB125" s="30" t="s">
        <v>2026</v>
      </c>
      <c r="AC125" s="30" t="s">
        <v>23</v>
      </c>
      <c r="AD125" s="30" t="s">
        <v>219</v>
      </c>
      <c r="AE125" s="30" t="s">
        <v>134</v>
      </c>
    </row>
    <row r="126" ht="22.5" customHeight="1">
      <c r="A126" s="28">
        <v>46240.68858321759</v>
      </c>
      <c r="B126" s="30" t="s">
        <v>2027</v>
      </c>
      <c r="C126" s="30" t="s">
        <v>166</v>
      </c>
      <c r="D126" s="30" t="s">
        <v>82</v>
      </c>
      <c r="E126" s="30" t="s">
        <v>2028</v>
      </c>
      <c r="F126" s="30" t="s">
        <v>167</v>
      </c>
      <c r="G126" s="30" t="s">
        <v>31</v>
      </c>
      <c r="H126" s="30" t="s">
        <v>94</v>
      </c>
      <c r="I126" s="30">
        <v>8.903450031E9</v>
      </c>
      <c r="J126" s="30" t="s">
        <v>2029</v>
      </c>
      <c r="K126" s="30" t="s">
        <v>2030</v>
      </c>
      <c r="L126" s="30" t="s">
        <v>2031</v>
      </c>
      <c r="M126" s="30" t="s">
        <v>31</v>
      </c>
      <c r="N126" s="30" t="s">
        <v>94</v>
      </c>
      <c r="O126" s="30" t="s">
        <v>2032</v>
      </c>
      <c r="P126" s="30" t="s">
        <v>2033</v>
      </c>
      <c r="Q126" s="30" t="s">
        <v>31</v>
      </c>
      <c r="R126" s="30" t="s">
        <v>219</v>
      </c>
      <c r="S126" s="30" t="s">
        <v>2034</v>
      </c>
      <c r="T126" s="30" t="s">
        <v>2035</v>
      </c>
      <c r="U126" s="30" t="s">
        <v>31</v>
      </c>
      <c r="V126" s="30" t="s">
        <v>219</v>
      </c>
      <c r="W126" s="30" t="s">
        <v>2036</v>
      </c>
      <c r="X126" s="30" t="s">
        <v>2037</v>
      </c>
      <c r="Y126" s="30" t="s">
        <v>31</v>
      </c>
      <c r="Z126" s="30" t="s">
        <v>94</v>
      </c>
      <c r="AA126" s="30" t="s">
        <v>2038</v>
      </c>
      <c r="AB126" s="30" t="s">
        <v>2039</v>
      </c>
      <c r="AC126" s="30" t="s">
        <v>31</v>
      </c>
      <c r="AD126" s="30" t="s">
        <v>280</v>
      </c>
      <c r="AE126" s="30" t="s">
        <v>134</v>
      </c>
    </row>
    <row r="127" ht="22.5" customHeight="1">
      <c r="A127" s="28">
        <v>46240.689096030095</v>
      </c>
      <c r="B127" s="30" t="s">
        <v>2040</v>
      </c>
      <c r="C127" s="30" t="s">
        <v>2041</v>
      </c>
      <c r="D127" s="30" t="s">
        <v>193</v>
      </c>
      <c r="E127" s="30" t="s">
        <v>2042</v>
      </c>
      <c r="F127" s="30" t="s">
        <v>2043</v>
      </c>
      <c r="G127" s="30" t="s">
        <v>31</v>
      </c>
      <c r="H127" s="30" t="s">
        <v>78</v>
      </c>
      <c r="I127" s="30">
        <v>9.952312646E9</v>
      </c>
      <c r="J127" s="30" t="s">
        <v>2044</v>
      </c>
      <c r="K127" s="30" t="s">
        <v>2045</v>
      </c>
      <c r="L127" s="30" t="s">
        <v>701</v>
      </c>
      <c r="M127" s="30" t="s">
        <v>31</v>
      </c>
      <c r="N127" s="30" t="s">
        <v>280</v>
      </c>
      <c r="O127" s="30" t="s">
        <v>2046</v>
      </c>
      <c r="P127" s="30" t="s">
        <v>2047</v>
      </c>
      <c r="Q127" s="30" t="s">
        <v>31</v>
      </c>
      <c r="R127" s="30" t="s">
        <v>280</v>
      </c>
      <c r="S127" s="30" t="s">
        <v>2048</v>
      </c>
      <c r="T127" s="30" t="s">
        <v>2049</v>
      </c>
      <c r="U127" s="30" t="s">
        <v>31</v>
      </c>
      <c r="V127" s="30" t="s">
        <v>280</v>
      </c>
      <c r="W127" s="30" t="s">
        <v>2050</v>
      </c>
      <c r="X127" s="30" t="s">
        <v>2051</v>
      </c>
      <c r="Y127" s="30" t="s">
        <v>31</v>
      </c>
      <c r="Z127" s="30" t="s">
        <v>78</v>
      </c>
      <c r="AA127" s="30" t="s">
        <v>2052</v>
      </c>
      <c r="AB127" s="30" t="s">
        <v>2053</v>
      </c>
      <c r="AC127" s="30" t="s">
        <v>31</v>
      </c>
      <c r="AD127" s="30" t="s">
        <v>22</v>
      </c>
      <c r="AE127" s="30" t="s">
        <v>134</v>
      </c>
    </row>
    <row r="128" ht="22.5" customHeight="1">
      <c r="A128" s="28">
        <v>46240.68929597222</v>
      </c>
      <c r="B128" s="30" t="s">
        <v>2054</v>
      </c>
      <c r="C128" s="30" t="s">
        <v>2055</v>
      </c>
      <c r="D128" s="30" t="s">
        <v>193</v>
      </c>
      <c r="E128" s="30" t="s">
        <v>2056</v>
      </c>
      <c r="F128" s="30" t="s">
        <v>2057</v>
      </c>
      <c r="G128" s="30" t="s">
        <v>23</v>
      </c>
      <c r="H128" s="30" t="s">
        <v>94</v>
      </c>
      <c r="I128" s="30">
        <v>9.092055487E9</v>
      </c>
      <c r="J128" s="30" t="s">
        <v>2054</v>
      </c>
      <c r="K128" s="30" t="s">
        <v>2058</v>
      </c>
      <c r="L128" s="30" t="s">
        <v>2059</v>
      </c>
      <c r="M128" s="30" t="s">
        <v>23</v>
      </c>
      <c r="N128" s="30" t="s">
        <v>94</v>
      </c>
      <c r="O128" s="30" t="s">
        <v>2060</v>
      </c>
      <c r="P128" s="30" t="s">
        <v>2061</v>
      </c>
      <c r="Q128" s="30" t="s">
        <v>23</v>
      </c>
      <c r="R128" s="30" t="s">
        <v>94</v>
      </c>
      <c r="S128" s="30" t="s">
        <v>2062</v>
      </c>
      <c r="T128" s="30" t="s">
        <v>2063</v>
      </c>
      <c r="U128" s="30" t="s">
        <v>23</v>
      </c>
      <c r="V128" s="30" t="s">
        <v>94</v>
      </c>
      <c r="W128" s="30" t="s">
        <v>2064</v>
      </c>
      <c r="X128" s="30" t="s">
        <v>2065</v>
      </c>
      <c r="Y128" s="30" t="s">
        <v>23</v>
      </c>
      <c r="Z128" s="30" t="s">
        <v>94</v>
      </c>
      <c r="AA128" s="30" t="s">
        <v>2066</v>
      </c>
      <c r="AB128" s="30" t="s">
        <v>2067</v>
      </c>
      <c r="AC128" s="30" t="s">
        <v>23</v>
      </c>
      <c r="AD128" s="30" t="s">
        <v>178</v>
      </c>
      <c r="AE128" s="30" t="s">
        <v>134</v>
      </c>
    </row>
    <row r="129" ht="22.5" customHeight="1">
      <c r="A129" s="28">
        <v>46240.69175921296</v>
      </c>
      <c r="B129" s="30" t="s">
        <v>2068</v>
      </c>
      <c r="C129" s="30" t="s">
        <v>2069</v>
      </c>
      <c r="D129" s="30" t="s">
        <v>193</v>
      </c>
      <c r="E129" s="30" t="s">
        <v>2070</v>
      </c>
      <c r="F129" s="30" t="s">
        <v>2071</v>
      </c>
      <c r="G129" s="30" t="s">
        <v>31</v>
      </c>
      <c r="H129" s="30" t="s">
        <v>22</v>
      </c>
      <c r="I129" s="30">
        <v>9.677972377E9</v>
      </c>
      <c r="J129" s="30" t="s">
        <v>2072</v>
      </c>
      <c r="K129" s="30" t="s">
        <v>2073</v>
      </c>
      <c r="L129" s="30" t="s">
        <v>2074</v>
      </c>
      <c r="M129" s="30" t="s">
        <v>31</v>
      </c>
      <c r="N129" s="30" t="s">
        <v>22</v>
      </c>
      <c r="O129" s="30" t="s">
        <v>2075</v>
      </c>
      <c r="P129" s="30" t="s">
        <v>2076</v>
      </c>
      <c r="Q129" s="30" t="s">
        <v>31</v>
      </c>
      <c r="R129" s="30" t="s">
        <v>22</v>
      </c>
      <c r="S129" s="30">
        <v>33.0</v>
      </c>
      <c r="T129" s="30" t="s">
        <v>2077</v>
      </c>
      <c r="U129" s="30" t="s">
        <v>31</v>
      </c>
      <c r="V129" s="30" t="s">
        <v>219</v>
      </c>
      <c r="W129" s="48" t="s">
        <v>2078</v>
      </c>
      <c r="X129" s="30" t="s">
        <v>2079</v>
      </c>
      <c r="Y129" s="30" t="s">
        <v>31</v>
      </c>
      <c r="Z129" s="30" t="s">
        <v>22</v>
      </c>
      <c r="AA129" s="30" t="s">
        <v>2080</v>
      </c>
      <c r="AB129" s="30" t="s">
        <v>2081</v>
      </c>
      <c r="AC129" s="30" t="s">
        <v>31</v>
      </c>
      <c r="AD129" s="30" t="s">
        <v>22</v>
      </c>
      <c r="AE129" s="30" t="s">
        <v>134</v>
      </c>
    </row>
    <row r="130" ht="22.5" customHeight="1">
      <c r="A130" s="28">
        <v>46240.69194583333</v>
      </c>
      <c r="B130" s="30" t="s">
        <v>2082</v>
      </c>
      <c r="C130" s="30" t="s">
        <v>2083</v>
      </c>
      <c r="D130" s="30" t="s">
        <v>193</v>
      </c>
      <c r="E130" s="30" t="s">
        <v>2084</v>
      </c>
      <c r="F130" s="30" t="s">
        <v>1813</v>
      </c>
      <c r="G130" s="30" t="s">
        <v>31</v>
      </c>
      <c r="H130" s="30" t="s">
        <v>94</v>
      </c>
      <c r="I130" s="30">
        <v>6.385234629E9</v>
      </c>
      <c r="J130" s="30" t="s">
        <v>2082</v>
      </c>
      <c r="K130" s="30" t="s">
        <v>2085</v>
      </c>
      <c r="L130" s="30" t="s">
        <v>2086</v>
      </c>
      <c r="M130" s="30" t="s">
        <v>31</v>
      </c>
      <c r="N130" s="30" t="s">
        <v>94</v>
      </c>
      <c r="O130" s="30" t="s">
        <v>2087</v>
      </c>
      <c r="P130" s="30" t="s">
        <v>2088</v>
      </c>
      <c r="Q130" s="30" t="s">
        <v>31</v>
      </c>
      <c r="R130" s="30" t="s">
        <v>94</v>
      </c>
      <c r="S130" s="30" t="s">
        <v>2089</v>
      </c>
      <c r="T130" s="30" t="s">
        <v>2090</v>
      </c>
      <c r="U130" s="30" t="s">
        <v>31</v>
      </c>
      <c r="V130" s="30" t="s">
        <v>126</v>
      </c>
      <c r="W130" s="30" t="s">
        <v>2091</v>
      </c>
      <c r="X130" s="30" t="s">
        <v>2092</v>
      </c>
      <c r="Y130" s="30" t="s">
        <v>31</v>
      </c>
      <c r="Z130" s="30" t="s">
        <v>126</v>
      </c>
      <c r="AA130" s="30" t="s">
        <v>2093</v>
      </c>
      <c r="AB130" s="30" t="s">
        <v>2094</v>
      </c>
      <c r="AC130" s="30" t="s">
        <v>31</v>
      </c>
      <c r="AD130" s="30" t="s">
        <v>126</v>
      </c>
      <c r="AE130" s="30" t="s">
        <v>134</v>
      </c>
    </row>
    <row r="131" ht="22.5" customHeight="1">
      <c r="A131" s="28">
        <v>46240.6937977662</v>
      </c>
      <c r="B131" s="30" t="s">
        <v>2095</v>
      </c>
      <c r="C131" s="30" t="s">
        <v>2096</v>
      </c>
      <c r="D131" s="30" t="s">
        <v>193</v>
      </c>
      <c r="E131" s="30" t="s">
        <v>2097</v>
      </c>
      <c r="F131" s="30" t="s">
        <v>2098</v>
      </c>
      <c r="G131" s="30" t="s">
        <v>31</v>
      </c>
      <c r="H131" s="30" t="s">
        <v>219</v>
      </c>
      <c r="I131" s="30" t="s">
        <v>2099</v>
      </c>
      <c r="J131" s="30" t="s">
        <v>2100</v>
      </c>
      <c r="K131" s="30" t="s">
        <v>2101</v>
      </c>
      <c r="L131" s="30" t="s">
        <v>2102</v>
      </c>
      <c r="M131" s="30" t="s">
        <v>31</v>
      </c>
      <c r="N131" s="30" t="s">
        <v>219</v>
      </c>
      <c r="O131" s="30" t="s">
        <v>2103</v>
      </c>
      <c r="P131" s="30" t="s">
        <v>2104</v>
      </c>
      <c r="Q131" s="30" t="s">
        <v>31</v>
      </c>
      <c r="R131" s="30" t="s">
        <v>219</v>
      </c>
      <c r="S131" s="30" t="s">
        <v>2105</v>
      </c>
      <c r="T131" s="30" t="s">
        <v>2106</v>
      </c>
      <c r="U131" s="30" t="s">
        <v>31</v>
      </c>
      <c r="V131" s="30" t="s">
        <v>219</v>
      </c>
      <c r="W131" s="30" t="s">
        <v>2107</v>
      </c>
      <c r="X131" s="30" t="s">
        <v>2108</v>
      </c>
      <c r="Y131" s="30" t="s">
        <v>31</v>
      </c>
      <c r="Z131" s="30" t="s">
        <v>178</v>
      </c>
      <c r="AA131" s="30" t="s">
        <v>2109</v>
      </c>
      <c r="AB131" s="30" t="s">
        <v>2110</v>
      </c>
      <c r="AC131" s="30" t="s">
        <v>31</v>
      </c>
      <c r="AD131" s="30" t="s">
        <v>126</v>
      </c>
      <c r="AE131" s="30" t="s">
        <v>134</v>
      </c>
    </row>
    <row r="132" ht="22.5" customHeight="1">
      <c r="A132" s="28">
        <v>46240.694037696754</v>
      </c>
      <c r="B132" s="30" t="s">
        <v>2111</v>
      </c>
      <c r="C132" s="30" t="s">
        <v>2112</v>
      </c>
      <c r="D132" s="30" t="s">
        <v>82</v>
      </c>
      <c r="E132" s="30" t="s">
        <v>2113</v>
      </c>
      <c r="F132" s="30" t="s">
        <v>2114</v>
      </c>
      <c r="G132" s="30" t="s">
        <v>31</v>
      </c>
      <c r="H132" s="30" t="s">
        <v>126</v>
      </c>
      <c r="I132" s="30">
        <v>9.342836652E9</v>
      </c>
      <c r="J132" s="30" t="s">
        <v>2115</v>
      </c>
      <c r="K132" s="30" t="s">
        <v>2116</v>
      </c>
      <c r="L132" s="30" t="s">
        <v>2117</v>
      </c>
      <c r="M132" s="30" t="s">
        <v>31</v>
      </c>
      <c r="N132" s="30" t="s">
        <v>313</v>
      </c>
      <c r="O132" s="30" t="s">
        <v>2118</v>
      </c>
      <c r="P132" s="30" t="s">
        <v>2119</v>
      </c>
      <c r="Q132" s="30" t="s">
        <v>31</v>
      </c>
      <c r="R132" s="30" t="s">
        <v>126</v>
      </c>
      <c r="S132" s="30" t="s">
        <v>2120</v>
      </c>
      <c r="T132" s="30" t="s">
        <v>2121</v>
      </c>
      <c r="U132" s="30" t="s">
        <v>31</v>
      </c>
      <c r="V132" s="30" t="s">
        <v>126</v>
      </c>
      <c r="W132" s="30" t="s">
        <v>2122</v>
      </c>
      <c r="X132" s="30" t="s">
        <v>2123</v>
      </c>
      <c r="Y132" s="30" t="s">
        <v>31</v>
      </c>
      <c r="Z132" s="30" t="s">
        <v>126</v>
      </c>
      <c r="AA132" s="30" t="s">
        <v>2124</v>
      </c>
      <c r="AB132" s="30" t="s">
        <v>2125</v>
      </c>
      <c r="AC132" s="30" t="s">
        <v>31</v>
      </c>
      <c r="AD132" s="30" t="s">
        <v>94</v>
      </c>
      <c r="AE132" s="30" t="s">
        <v>134</v>
      </c>
    </row>
    <row r="133" ht="22.5" customHeight="1">
      <c r="A133" s="28">
        <v>46240.694521122685</v>
      </c>
      <c r="B133" s="30" t="s">
        <v>2126</v>
      </c>
      <c r="C133" s="30" t="s">
        <v>2127</v>
      </c>
      <c r="D133" s="30" t="s">
        <v>193</v>
      </c>
      <c r="E133" s="30" t="s">
        <v>2128</v>
      </c>
      <c r="F133" s="30" t="s">
        <v>2129</v>
      </c>
      <c r="G133" s="30" t="s">
        <v>31</v>
      </c>
      <c r="H133" s="30" t="s">
        <v>22</v>
      </c>
      <c r="I133" s="30">
        <v>9.48704763E9</v>
      </c>
      <c r="J133" s="30" t="s">
        <v>2126</v>
      </c>
      <c r="K133" s="30" t="s">
        <v>2130</v>
      </c>
      <c r="L133" s="30" t="s">
        <v>2131</v>
      </c>
      <c r="M133" s="30" t="s">
        <v>31</v>
      </c>
      <c r="N133" s="30" t="s">
        <v>22</v>
      </c>
      <c r="O133" s="30" t="s">
        <v>2132</v>
      </c>
      <c r="P133" s="30" t="s">
        <v>2133</v>
      </c>
      <c r="Q133" s="30" t="s">
        <v>31</v>
      </c>
      <c r="R133" s="30" t="s">
        <v>22</v>
      </c>
      <c r="S133" s="30" t="s">
        <v>2134</v>
      </c>
      <c r="T133" s="30" t="s">
        <v>2135</v>
      </c>
      <c r="U133" s="30" t="s">
        <v>31</v>
      </c>
      <c r="V133" s="30" t="s">
        <v>22</v>
      </c>
      <c r="W133" s="30" t="s">
        <v>2136</v>
      </c>
      <c r="X133" s="30" t="s">
        <v>2137</v>
      </c>
      <c r="Y133" s="30" t="s">
        <v>31</v>
      </c>
      <c r="Z133" s="30" t="s">
        <v>22</v>
      </c>
      <c r="AA133" s="30" t="s">
        <v>2138</v>
      </c>
      <c r="AB133" s="30" t="s">
        <v>2139</v>
      </c>
      <c r="AC133" s="30" t="s">
        <v>89</v>
      </c>
      <c r="AD133" s="30" t="s">
        <v>22</v>
      </c>
      <c r="AE133" s="30" t="s">
        <v>134</v>
      </c>
    </row>
    <row r="134" ht="22.5" customHeight="1">
      <c r="A134" s="28">
        <v>46240.69498328704</v>
      </c>
      <c r="B134" s="30" t="s">
        <v>2140</v>
      </c>
      <c r="C134" s="30" t="s">
        <v>2141</v>
      </c>
      <c r="D134" s="30" t="s">
        <v>193</v>
      </c>
      <c r="E134" s="30" t="s">
        <v>2142</v>
      </c>
      <c r="F134" s="30" t="s">
        <v>2143</v>
      </c>
      <c r="G134" s="30" t="s">
        <v>31</v>
      </c>
      <c r="H134" s="30" t="s">
        <v>78</v>
      </c>
      <c r="I134" s="30">
        <v>8.838145637E9</v>
      </c>
      <c r="J134" s="30" t="s">
        <v>2140</v>
      </c>
      <c r="K134" s="30" t="s">
        <v>2144</v>
      </c>
      <c r="L134" s="30" t="s">
        <v>2145</v>
      </c>
      <c r="M134" s="30" t="s">
        <v>31</v>
      </c>
      <c r="N134" s="30" t="s">
        <v>78</v>
      </c>
      <c r="O134" s="30" t="s">
        <v>2146</v>
      </c>
      <c r="P134" s="30" t="s">
        <v>1813</v>
      </c>
      <c r="Q134" s="30" t="s">
        <v>31</v>
      </c>
      <c r="R134" s="30" t="s">
        <v>78</v>
      </c>
      <c r="S134" s="30" t="s">
        <v>2147</v>
      </c>
      <c r="T134" s="30" t="s">
        <v>2148</v>
      </c>
      <c r="U134" s="30" t="s">
        <v>31</v>
      </c>
      <c r="V134" s="30" t="s">
        <v>126</v>
      </c>
      <c r="W134" s="30" t="s">
        <v>2149</v>
      </c>
      <c r="X134" s="30" t="s">
        <v>2150</v>
      </c>
      <c r="Y134" s="30" t="s">
        <v>31</v>
      </c>
      <c r="Z134" s="30" t="s">
        <v>78</v>
      </c>
      <c r="AA134" s="30" t="s">
        <v>2151</v>
      </c>
      <c r="AB134" s="30" t="s">
        <v>2152</v>
      </c>
      <c r="AC134" s="30" t="s">
        <v>31</v>
      </c>
      <c r="AD134" s="30" t="s">
        <v>69</v>
      </c>
      <c r="AE134" s="30" t="s">
        <v>134</v>
      </c>
    </row>
    <row r="135" ht="22.5" customHeight="1">
      <c r="A135" s="28">
        <v>46240.69505620371</v>
      </c>
      <c r="B135" s="30" t="s">
        <v>2153</v>
      </c>
      <c r="C135" s="30" t="s">
        <v>2154</v>
      </c>
      <c r="D135" s="30" t="s">
        <v>193</v>
      </c>
      <c r="E135" s="30" t="s">
        <v>2155</v>
      </c>
      <c r="F135" s="30" t="s">
        <v>2156</v>
      </c>
      <c r="G135" s="30" t="s">
        <v>23</v>
      </c>
      <c r="H135" s="30" t="s">
        <v>94</v>
      </c>
      <c r="I135" s="30">
        <v>9.360006314E9</v>
      </c>
      <c r="J135" s="30" t="s">
        <v>2153</v>
      </c>
      <c r="K135" s="30" t="s">
        <v>2157</v>
      </c>
      <c r="L135" s="30" t="s">
        <v>2158</v>
      </c>
      <c r="M135" s="30" t="s">
        <v>23</v>
      </c>
      <c r="N135" s="30" t="s">
        <v>94</v>
      </c>
      <c r="O135" s="30" t="s">
        <v>2159</v>
      </c>
      <c r="P135" s="30" t="s">
        <v>2160</v>
      </c>
      <c r="Q135" s="30" t="s">
        <v>23</v>
      </c>
      <c r="R135" s="30" t="s">
        <v>94</v>
      </c>
      <c r="S135" s="30" t="s">
        <v>2161</v>
      </c>
      <c r="T135" s="30" t="s">
        <v>2162</v>
      </c>
      <c r="U135" s="30" t="s">
        <v>23</v>
      </c>
      <c r="V135" s="30" t="s">
        <v>94</v>
      </c>
      <c r="W135" s="30" t="s">
        <v>2163</v>
      </c>
      <c r="X135" s="30" t="s">
        <v>2164</v>
      </c>
      <c r="Y135" s="30" t="s">
        <v>31</v>
      </c>
      <c r="Z135" s="30" t="s">
        <v>280</v>
      </c>
      <c r="AA135" s="30" t="s">
        <v>2165</v>
      </c>
      <c r="AB135" s="30" t="s">
        <v>2166</v>
      </c>
      <c r="AC135" s="30" t="s">
        <v>31</v>
      </c>
      <c r="AD135" s="30" t="s">
        <v>280</v>
      </c>
      <c r="AE135" s="30" t="s">
        <v>134</v>
      </c>
    </row>
    <row r="136" ht="22.5" customHeight="1">
      <c r="A136" s="28">
        <v>46240.69635825232</v>
      </c>
      <c r="B136" s="30" t="s">
        <v>2167</v>
      </c>
      <c r="C136" s="30" t="s">
        <v>2168</v>
      </c>
      <c r="D136" s="30" t="s">
        <v>193</v>
      </c>
      <c r="E136" s="30" t="s">
        <v>2169</v>
      </c>
      <c r="F136" s="30" t="s">
        <v>2170</v>
      </c>
      <c r="G136" s="30" t="s">
        <v>23</v>
      </c>
      <c r="H136" s="30" t="s">
        <v>69</v>
      </c>
      <c r="I136" s="30">
        <v>8.807715828E9</v>
      </c>
      <c r="J136" s="30" t="s">
        <v>2167</v>
      </c>
      <c r="K136" s="30" t="s">
        <v>2171</v>
      </c>
      <c r="L136" s="30" t="s">
        <v>2172</v>
      </c>
      <c r="M136" s="30" t="s">
        <v>23</v>
      </c>
      <c r="N136" s="30" t="s">
        <v>69</v>
      </c>
      <c r="O136" s="30" t="s">
        <v>2173</v>
      </c>
      <c r="P136" s="30" t="s">
        <v>2174</v>
      </c>
      <c r="Q136" s="30" t="s">
        <v>23</v>
      </c>
      <c r="R136" s="30" t="s">
        <v>69</v>
      </c>
      <c r="S136" s="30" t="s">
        <v>2175</v>
      </c>
      <c r="T136" s="30" t="s">
        <v>2176</v>
      </c>
      <c r="U136" s="30" t="s">
        <v>23</v>
      </c>
      <c r="V136" s="30" t="s">
        <v>69</v>
      </c>
      <c r="W136" s="30" t="s">
        <v>2177</v>
      </c>
      <c r="X136" s="30" t="s">
        <v>2178</v>
      </c>
      <c r="Y136" s="30" t="s">
        <v>23</v>
      </c>
      <c r="Z136" s="30" t="s">
        <v>22</v>
      </c>
      <c r="AA136" s="30" t="s">
        <v>2179</v>
      </c>
      <c r="AB136" s="30" t="s">
        <v>2180</v>
      </c>
      <c r="AC136" s="30" t="s">
        <v>23</v>
      </c>
      <c r="AD136" s="30" t="s">
        <v>69</v>
      </c>
      <c r="AE136" s="30" t="s">
        <v>134</v>
      </c>
    </row>
    <row r="137" ht="22.5" customHeight="1">
      <c r="A137" s="28">
        <v>46240.696719178246</v>
      </c>
      <c r="B137" s="30" t="s">
        <v>2181</v>
      </c>
      <c r="C137" s="30" t="s">
        <v>2182</v>
      </c>
      <c r="D137" s="30" t="s">
        <v>82</v>
      </c>
      <c r="E137" s="30" t="s">
        <v>2183</v>
      </c>
      <c r="F137" s="30" t="s">
        <v>2184</v>
      </c>
      <c r="G137" s="30" t="s">
        <v>31</v>
      </c>
      <c r="H137" s="30" t="s">
        <v>126</v>
      </c>
      <c r="I137" s="30">
        <v>8.220789655E9</v>
      </c>
      <c r="J137" s="30" t="s">
        <v>2181</v>
      </c>
      <c r="K137" s="30" t="s">
        <v>2185</v>
      </c>
      <c r="L137" s="30" t="s">
        <v>2186</v>
      </c>
      <c r="M137" s="30" t="s">
        <v>31</v>
      </c>
      <c r="N137" s="30" t="s">
        <v>126</v>
      </c>
      <c r="O137" s="30" t="s">
        <v>2187</v>
      </c>
      <c r="P137" s="30" t="s">
        <v>2188</v>
      </c>
      <c r="Q137" s="30" t="s">
        <v>31</v>
      </c>
      <c r="R137" s="30" t="s">
        <v>126</v>
      </c>
      <c r="S137" s="30" t="s">
        <v>2189</v>
      </c>
      <c r="T137" s="30" t="s">
        <v>2190</v>
      </c>
      <c r="U137" s="30" t="s">
        <v>31</v>
      </c>
      <c r="V137" s="30" t="s">
        <v>126</v>
      </c>
      <c r="W137" s="30" t="s">
        <v>2191</v>
      </c>
      <c r="X137" s="30" t="s">
        <v>2192</v>
      </c>
      <c r="Y137" s="30" t="s">
        <v>31</v>
      </c>
      <c r="Z137" s="30" t="s">
        <v>22</v>
      </c>
      <c r="AA137" s="30" t="s">
        <v>2193</v>
      </c>
      <c r="AB137" s="30" t="s">
        <v>2194</v>
      </c>
      <c r="AC137" s="30" t="s">
        <v>31</v>
      </c>
      <c r="AD137" s="30" t="s">
        <v>22</v>
      </c>
      <c r="AE137" s="30" t="s">
        <v>134</v>
      </c>
    </row>
    <row r="138" ht="22.5" customHeight="1">
      <c r="A138" s="28">
        <v>46240.69677378472</v>
      </c>
      <c r="B138" s="30" t="s">
        <v>2195</v>
      </c>
      <c r="C138" s="30" t="s">
        <v>2196</v>
      </c>
      <c r="D138" s="30" t="s">
        <v>82</v>
      </c>
      <c r="E138" s="30" t="s">
        <v>2197</v>
      </c>
      <c r="F138" s="30" t="s">
        <v>2198</v>
      </c>
      <c r="G138" s="30" t="s">
        <v>31</v>
      </c>
      <c r="H138" s="30" t="s">
        <v>219</v>
      </c>
      <c r="I138" s="30">
        <v>9.025986197E9</v>
      </c>
      <c r="J138" s="30" t="s">
        <v>2195</v>
      </c>
      <c r="K138" s="30" t="s">
        <v>2199</v>
      </c>
      <c r="L138" s="30" t="s">
        <v>2200</v>
      </c>
      <c r="M138" s="30" t="s">
        <v>31</v>
      </c>
      <c r="N138" s="30" t="s">
        <v>219</v>
      </c>
      <c r="O138" s="30" t="s">
        <v>2201</v>
      </c>
      <c r="P138" s="30" t="s">
        <v>2202</v>
      </c>
      <c r="Q138" s="30" t="s">
        <v>31</v>
      </c>
      <c r="R138" s="30" t="s">
        <v>219</v>
      </c>
      <c r="S138" s="30" t="s">
        <v>2203</v>
      </c>
      <c r="T138" s="30" t="s">
        <v>2204</v>
      </c>
      <c r="U138" s="30" t="s">
        <v>31</v>
      </c>
      <c r="V138" s="30" t="s">
        <v>126</v>
      </c>
      <c r="W138" s="30" t="s">
        <v>2205</v>
      </c>
      <c r="X138" s="30" t="s">
        <v>2206</v>
      </c>
      <c r="Y138" s="30" t="s">
        <v>31</v>
      </c>
      <c r="Z138" s="30" t="s">
        <v>126</v>
      </c>
      <c r="AA138" s="30" t="s">
        <v>2207</v>
      </c>
      <c r="AB138" s="30" t="s">
        <v>2208</v>
      </c>
      <c r="AC138" s="30" t="s">
        <v>31</v>
      </c>
      <c r="AD138" s="30" t="s">
        <v>313</v>
      </c>
      <c r="AE138" s="30" t="s">
        <v>134</v>
      </c>
    </row>
    <row r="139" ht="22.5" customHeight="1">
      <c r="A139" s="28">
        <v>46240.698042407406</v>
      </c>
      <c r="B139" s="30" t="s">
        <v>2209</v>
      </c>
      <c r="C139" s="30" t="s">
        <v>2210</v>
      </c>
      <c r="D139" s="30" t="s">
        <v>193</v>
      </c>
      <c r="E139" s="30" t="s">
        <v>2211</v>
      </c>
      <c r="F139" s="30" t="s">
        <v>2212</v>
      </c>
      <c r="G139" s="30" t="s">
        <v>31</v>
      </c>
      <c r="H139" s="30" t="s">
        <v>94</v>
      </c>
      <c r="I139" s="30">
        <v>9.34572647E9</v>
      </c>
      <c r="J139" s="30" t="s">
        <v>2209</v>
      </c>
      <c r="K139" s="30" t="s">
        <v>2213</v>
      </c>
      <c r="L139" s="30" t="s">
        <v>2214</v>
      </c>
      <c r="M139" s="30" t="s">
        <v>31</v>
      </c>
      <c r="N139" s="30" t="s">
        <v>94</v>
      </c>
      <c r="O139" s="30" t="s">
        <v>2215</v>
      </c>
      <c r="P139" s="30" t="s">
        <v>2216</v>
      </c>
      <c r="Q139" s="30" t="s">
        <v>31</v>
      </c>
      <c r="R139" s="30" t="s">
        <v>94</v>
      </c>
      <c r="S139" s="30" t="s">
        <v>2217</v>
      </c>
      <c r="T139" s="30" t="s">
        <v>2218</v>
      </c>
      <c r="U139" s="30" t="s">
        <v>31</v>
      </c>
      <c r="V139" s="30" t="s">
        <v>94</v>
      </c>
      <c r="W139" s="30" t="s">
        <v>2219</v>
      </c>
      <c r="X139" s="30" t="s">
        <v>2220</v>
      </c>
      <c r="Y139" s="30" t="s">
        <v>31</v>
      </c>
      <c r="Z139" s="30" t="s">
        <v>243</v>
      </c>
      <c r="AA139" s="30" t="s">
        <v>2221</v>
      </c>
      <c r="AB139" s="30" t="s">
        <v>2222</v>
      </c>
      <c r="AC139" s="30" t="s">
        <v>31</v>
      </c>
      <c r="AD139" s="30" t="s">
        <v>69</v>
      </c>
      <c r="AE139" s="30" t="s">
        <v>134</v>
      </c>
    </row>
    <row r="140" ht="22.5" customHeight="1">
      <c r="A140" s="28">
        <v>46240.69811986111</v>
      </c>
      <c r="B140" s="30" t="s">
        <v>2223</v>
      </c>
      <c r="C140" s="30" t="s">
        <v>2224</v>
      </c>
      <c r="D140" s="30" t="s">
        <v>82</v>
      </c>
      <c r="E140" s="30" t="s">
        <v>2225</v>
      </c>
      <c r="F140" s="30" t="s">
        <v>2226</v>
      </c>
      <c r="G140" s="30" t="s">
        <v>23</v>
      </c>
      <c r="H140" s="30" t="s">
        <v>313</v>
      </c>
      <c r="I140" s="30">
        <v>9.445838131E9</v>
      </c>
      <c r="J140" s="30" t="s">
        <v>2223</v>
      </c>
      <c r="K140" s="30" t="s">
        <v>2227</v>
      </c>
      <c r="L140" s="30" t="s">
        <v>2228</v>
      </c>
      <c r="M140" s="30" t="s">
        <v>23</v>
      </c>
      <c r="N140" s="30" t="s">
        <v>313</v>
      </c>
      <c r="O140" s="30" t="s">
        <v>2229</v>
      </c>
      <c r="P140" s="30" t="s">
        <v>2230</v>
      </c>
      <c r="Q140" s="30" t="s">
        <v>23</v>
      </c>
      <c r="R140" s="30" t="s">
        <v>313</v>
      </c>
      <c r="S140" s="30" t="s">
        <v>2231</v>
      </c>
      <c r="T140" s="30" t="s">
        <v>2232</v>
      </c>
      <c r="U140" s="30" t="s">
        <v>23</v>
      </c>
      <c r="V140" s="30" t="s">
        <v>313</v>
      </c>
      <c r="W140" s="30" t="s">
        <v>2233</v>
      </c>
      <c r="X140" s="30" t="s">
        <v>2234</v>
      </c>
      <c r="Y140" s="30" t="s">
        <v>23</v>
      </c>
      <c r="Z140" s="30" t="s">
        <v>126</v>
      </c>
      <c r="AA140" s="30" t="s">
        <v>2235</v>
      </c>
      <c r="AB140" s="30" t="s">
        <v>2236</v>
      </c>
      <c r="AC140" s="30" t="s">
        <v>23</v>
      </c>
      <c r="AD140" s="30" t="s">
        <v>313</v>
      </c>
      <c r="AE140" s="30" t="s">
        <v>134</v>
      </c>
    </row>
    <row r="141" ht="22.5" customHeight="1">
      <c r="A141" s="28">
        <v>46240.699793078704</v>
      </c>
      <c r="B141" s="30" t="s">
        <v>2237</v>
      </c>
      <c r="C141" s="30" t="s">
        <v>2238</v>
      </c>
      <c r="D141" s="30" t="s">
        <v>82</v>
      </c>
      <c r="E141" s="30" t="s">
        <v>2239</v>
      </c>
      <c r="F141" s="30" t="s">
        <v>2240</v>
      </c>
      <c r="G141" s="30" t="s">
        <v>31</v>
      </c>
      <c r="H141" s="30" t="s">
        <v>219</v>
      </c>
      <c r="I141" s="30">
        <v>9.042896828E9</v>
      </c>
      <c r="J141" s="30" t="s">
        <v>2241</v>
      </c>
      <c r="K141" s="30" t="s">
        <v>2242</v>
      </c>
      <c r="L141" s="30" t="s">
        <v>2243</v>
      </c>
      <c r="M141" s="30" t="s">
        <v>31</v>
      </c>
      <c r="N141" s="30" t="s">
        <v>219</v>
      </c>
      <c r="O141" s="30" t="s">
        <v>2244</v>
      </c>
      <c r="P141" s="30" t="s">
        <v>2245</v>
      </c>
      <c r="Q141" s="30" t="s">
        <v>31</v>
      </c>
      <c r="R141" s="30" t="s">
        <v>219</v>
      </c>
      <c r="S141" s="30" t="s">
        <v>2246</v>
      </c>
      <c r="T141" s="30" t="s">
        <v>2247</v>
      </c>
      <c r="U141" s="30" t="s">
        <v>31</v>
      </c>
      <c r="V141" s="30" t="s">
        <v>219</v>
      </c>
      <c r="W141" s="30" t="s">
        <v>2248</v>
      </c>
      <c r="X141" s="30" t="s">
        <v>2249</v>
      </c>
      <c r="Y141" s="30" t="s">
        <v>31</v>
      </c>
      <c r="Z141" s="30" t="s">
        <v>126</v>
      </c>
      <c r="AA141" s="30" t="s">
        <v>2250</v>
      </c>
      <c r="AB141" s="30" t="s">
        <v>2251</v>
      </c>
      <c r="AC141" s="30" t="s">
        <v>31</v>
      </c>
      <c r="AD141" s="30" t="s">
        <v>126</v>
      </c>
      <c r="AE141" s="30" t="s">
        <v>134</v>
      </c>
    </row>
    <row r="142" ht="22.5" customHeight="1">
      <c r="A142" s="28">
        <v>46240.699832453705</v>
      </c>
      <c r="B142" s="30" t="s">
        <v>2252</v>
      </c>
      <c r="C142" s="30" t="s">
        <v>2253</v>
      </c>
      <c r="D142" s="30" t="s">
        <v>193</v>
      </c>
      <c r="E142" s="30" t="s">
        <v>2254</v>
      </c>
      <c r="F142" s="30" t="s">
        <v>2255</v>
      </c>
      <c r="G142" s="30" t="s">
        <v>31</v>
      </c>
      <c r="H142" s="30" t="s">
        <v>94</v>
      </c>
      <c r="I142" s="30">
        <v>9.626213133E9</v>
      </c>
      <c r="J142" s="30" t="s">
        <v>2252</v>
      </c>
      <c r="K142" s="30" t="s">
        <v>2256</v>
      </c>
      <c r="L142" s="30" t="s">
        <v>2257</v>
      </c>
      <c r="M142" s="30" t="s">
        <v>31</v>
      </c>
      <c r="N142" s="30" t="s">
        <v>94</v>
      </c>
      <c r="O142" s="30" t="s">
        <v>2258</v>
      </c>
      <c r="P142" s="30" t="s">
        <v>2259</v>
      </c>
      <c r="Q142" s="30" t="s">
        <v>31</v>
      </c>
      <c r="R142" s="30" t="s">
        <v>94</v>
      </c>
      <c r="S142" s="30" t="s">
        <v>2260</v>
      </c>
      <c r="T142" s="30" t="s">
        <v>2261</v>
      </c>
      <c r="U142" s="30" t="s">
        <v>31</v>
      </c>
      <c r="V142" s="30" t="s">
        <v>22</v>
      </c>
      <c r="W142" s="30" t="s">
        <v>2262</v>
      </c>
      <c r="X142" s="30" t="s">
        <v>2263</v>
      </c>
      <c r="Y142" s="30" t="s">
        <v>31</v>
      </c>
      <c r="Z142" s="30" t="s">
        <v>22</v>
      </c>
      <c r="AA142" s="30" t="s">
        <v>2264</v>
      </c>
      <c r="AB142" s="30" t="s">
        <v>2265</v>
      </c>
      <c r="AC142" s="30" t="s">
        <v>31</v>
      </c>
      <c r="AD142" s="30" t="s">
        <v>22</v>
      </c>
      <c r="AE142" s="30" t="s">
        <v>134</v>
      </c>
    </row>
    <row r="143" ht="22.5" customHeight="1">
      <c r="A143" s="28">
        <v>46240.700533958334</v>
      </c>
      <c r="B143" s="30" t="s">
        <v>2266</v>
      </c>
      <c r="C143" s="30" t="s">
        <v>2267</v>
      </c>
      <c r="D143" s="30" t="s">
        <v>193</v>
      </c>
      <c r="E143" s="30" t="s">
        <v>2268</v>
      </c>
      <c r="F143" s="30" t="s">
        <v>2269</v>
      </c>
      <c r="G143" s="30" t="s">
        <v>31</v>
      </c>
      <c r="H143" s="30" t="s">
        <v>178</v>
      </c>
      <c r="I143" s="30">
        <v>9.043807537E9</v>
      </c>
      <c r="J143" s="30" t="s">
        <v>2266</v>
      </c>
      <c r="K143" s="49">
        <v>2.5E29</v>
      </c>
      <c r="L143" s="30" t="s">
        <v>2270</v>
      </c>
      <c r="M143" s="30" t="s">
        <v>31</v>
      </c>
      <c r="N143" s="30" t="s">
        <v>178</v>
      </c>
      <c r="O143" s="30" t="s">
        <v>2271</v>
      </c>
      <c r="P143" s="30" t="s">
        <v>2272</v>
      </c>
      <c r="Q143" s="30" t="s">
        <v>31</v>
      </c>
      <c r="R143" s="30" t="s">
        <v>178</v>
      </c>
      <c r="S143" s="30" t="s">
        <v>2273</v>
      </c>
      <c r="T143" s="30" t="s">
        <v>2274</v>
      </c>
      <c r="U143" s="30" t="s">
        <v>31</v>
      </c>
      <c r="V143" s="30" t="s">
        <v>243</v>
      </c>
      <c r="W143" s="30" t="s">
        <v>2275</v>
      </c>
      <c r="X143" s="30" t="s">
        <v>2276</v>
      </c>
      <c r="Y143" s="30" t="s">
        <v>31</v>
      </c>
      <c r="Z143" s="30" t="s">
        <v>243</v>
      </c>
      <c r="AA143" s="30" t="s">
        <v>2277</v>
      </c>
      <c r="AB143" s="30" t="s">
        <v>2278</v>
      </c>
      <c r="AC143" s="30" t="s">
        <v>31</v>
      </c>
      <c r="AD143" s="30" t="s">
        <v>243</v>
      </c>
      <c r="AE143" s="30" t="s">
        <v>134</v>
      </c>
    </row>
    <row r="144" ht="22.5" customHeight="1">
      <c r="A144" s="28">
        <v>46240.70066192129</v>
      </c>
      <c r="B144" s="30" t="s">
        <v>2279</v>
      </c>
      <c r="C144" s="30" t="s">
        <v>50</v>
      </c>
      <c r="D144" s="30" t="s">
        <v>193</v>
      </c>
      <c r="E144" s="30" t="s">
        <v>2280</v>
      </c>
      <c r="F144" s="30" t="s">
        <v>51</v>
      </c>
      <c r="G144" s="30" t="s">
        <v>31</v>
      </c>
      <c r="H144" s="30" t="s">
        <v>22</v>
      </c>
      <c r="I144" s="30">
        <v>8.87014672E9</v>
      </c>
      <c r="J144" s="30" t="s">
        <v>2279</v>
      </c>
      <c r="K144" s="30" t="s">
        <v>2281</v>
      </c>
      <c r="L144" s="30" t="s">
        <v>2282</v>
      </c>
      <c r="M144" s="30" t="s">
        <v>31</v>
      </c>
      <c r="N144" s="30" t="s">
        <v>22</v>
      </c>
      <c r="O144" s="30" t="s">
        <v>2283</v>
      </c>
      <c r="P144" s="30" t="s">
        <v>2284</v>
      </c>
      <c r="Q144" s="30" t="s">
        <v>31</v>
      </c>
      <c r="R144" s="30" t="s">
        <v>22</v>
      </c>
      <c r="S144" s="30" t="s">
        <v>2285</v>
      </c>
      <c r="T144" s="30" t="s">
        <v>2286</v>
      </c>
      <c r="U144" s="30" t="s">
        <v>31</v>
      </c>
      <c r="V144" s="30" t="s">
        <v>126</v>
      </c>
      <c r="W144" s="30" t="s">
        <v>2287</v>
      </c>
      <c r="X144" s="30" t="s">
        <v>2288</v>
      </c>
      <c r="Y144" s="30" t="s">
        <v>31</v>
      </c>
      <c r="Z144" s="30" t="s">
        <v>313</v>
      </c>
      <c r="AA144" s="30" t="s">
        <v>2289</v>
      </c>
      <c r="AB144" s="30" t="s">
        <v>2290</v>
      </c>
      <c r="AC144" s="30" t="s">
        <v>31</v>
      </c>
      <c r="AD144" s="30" t="s">
        <v>313</v>
      </c>
      <c r="AE144" s="50" t="s">
        <v>134</v>
      </c>
    </row>
    <row r="145" ht="22.5" customHeight="1">
      <c r="A145" s="28">
        <v>46240.701275370375</v>
      </c>
      <c r="B145" s="30" t="s">
        <v>2291</v>
      </c>
      <c r="C145" s="30" t="s">
        <v>2292</v>
      </c>
      <c r="D145" s="30" t="s">
        <v>82</v>
      </c>
      <c r="E145" s="30" t="s">
        <v>2293</v>
      </c>
      <c r="F145" s="30" t="s">
        <v>2294</v>
      </c>
      <c r="G145" s="30" t="s">
        <v>23</v>
      </c>
      <c r="H145" s="30" t="s">
        <v>22</v>
      </c>
      <c r="I145" s="30">
        <v>8.015183007E9</v>
      </c>
      <c r="J145" s="30" t="s">
        <v>2291</v>
      </c>
      <c r="K145" s="30" t="s">
        <v>2295</v>
      </c>
      <c r="L145" s="30" t="s">
        <v>2296</v>
      </c>
      <c r="M145" s="30" t="s">
        <v>23</v>
      </c>
      <c r="N145" s="30" t="s">
        <v>22</v>
      </c>
      <c r="O145" s="30" t="s">
        <v>2297</v>
      </c>
      <c r="P145" s="30" t="s">
        <v>2298</v>
      </c>
      <c r="Q145" s="30" t="s">
        <v>23</v>
      </c>
      <c r="R145" s="30" t="s">
        <v>22</v>
      </c>
      <c r="S145" s="30" t="s">
        <v>2299</v>
      </c>
      <c r="T145" s="30" t="s">
        <v>2300</v>
      </c>
      <c r="U145" s="30" t="s">
        <v>23</v>
      </c>
      <c r="V145" s="30" t="s">
        <v>22</v>
      </c>
      <c r="W145" s="30" t="s">
        <v>2301</v>
      </c>
      <c r="X145" s="30" t="s">
        <v>2302</v>
      </c>
      <c r="Y145" s="30" t="s">
        <v>23</v>
      </c>
      <c r="Z145" s="30" t="s">
        <v>178</v>
      </c>
      <c r="AA145" s="30" t="s">
        <v>2303</v>
      </c>
      <c r="AB145" s="30" t="s">
        <v>2304</v>
      </c>
      <c r="AC145" s="30" t="s">
        <v>23</v>
      </c>
      <c r="AD145" s="30" t="s">
        <v>178</v>
      </c>
      <c r="AE145" s="30" t="s">
        <v>134</v>
      </c>
    </row>
    <row r="146" ht="22.5" customHeight="1">
      <c r="A146" s="28">
        <v>46240.70207138889</v>
      </c>
      <c r="B146" s="30" t="s">
        <v>2305</v>
      </c>
      <c r="C146" s="30" t="s">
        <v>2306</v>
      </c>
      <c r="D146" s="30" t="s">
        <v>82</v>
      </c>
      <c r="E146" s="30" t="s">
        <v>2307</v>
      </c>
      <c r="F146" s="30" t="s">
        <v>2308</v>
      </c>
      <c r="G146" s="30" t="s">
        <v>31</v>
      </c>
      <c r="H146" s="30" t="s">
        <v>178</v>
      </c>
      <c r="I146" s="30">
        <v>8.248272575E9</v>
      </c>
      <c r="J146" s="30" t="s">
        <v>2309</v>
      </c>
      <c r="K146" s="30" t="s">
        <v>2310</v>
      </c>
      <c r="L146" s="30" t="s">
        <v>2311</v>
      </c>
      <c r="M146" s="30" t="s">
        <v>31</v>
      </c>
      <c r="N146" s="30" t="s">
        <v>22</v>
      </c>
      <c r="O146" s="30" t="s">
        <v>2312</v>
      </c>
      <c r="P146" s="30" t="s">
        <v>2313</v>
      </c>
      <c r="Q146" s="30" t="s">
        <v>31</v>
      </c>
      <c r="R146" s="30" t="s">
        <v>22</v>
      </c>
      <c r="S146" s="30" t="s">
        <v>2314</v>
      </c>
      <c r="T146" s="30" t="s">
        <v>2315</v>
      </c>
      <c r="U146" s="30" t="s">
        <v>31</v>
      </c>
      <c r="V146" s="30" t="s">
        <v>178</v>
      </c>
      <c r="W146" s="30" t="s">
        <v>2316</v>
      </c>
      <c r="X146" s="30" t="s">
        <v>2317</v>
      </c>
      <c r="Y146" s="30" t="s">
        <v>31</v>
      </c>
      <c r="Z146" s="30" t="s">
        <v>178</v>
      </c>
      <c r="AA146" s="30" t="s">
        <v>2318</v>
      </c>
      <c r="AB146" s="30" t="s">
        <v>2319</v>
      </c>
      <c r="AC146" s="30" t="s">
        <v>31</v>
      </c>
      <c r="AD146" s="30" t="s">
        <v>219</v>
      </c>
      <c r="AE146" s="30" t="s">
        <v>134</v>
      </c>
    </row>
    <row r="147" ht="22.5" customHeight="1">
      <c r="A147" s="28">
        <v>46240.70218070602</v>
      </c>
      <c r="B147" s="30" t="s">
        <v>2320</v>
      </c>
      <c r="C147" s="30" t="s">
        <v>2321</v>
      </c>
      <c r="D147" s="30" t="s">
        <v>193</v>
      </c>
      <c r="E147" s="30" t="s">
        <v>2322</v>
      </c>
      <c r="F147" s="30" t="s">
        <v>2323</v>
      </c>
      <c r="G147" s="30" t="s">
        <v>31</v>
      </c>
      <c r="H147" s="30" t="s">
        <v>94</v>
      </c>
      <c r="I147" s="30" t="s">
        <v>2324</v>
      </c>
      <c r="J147" s="30" t="s">
        <v>2325</v>
      </c>
      <c r="K147" s="30" t="s">
        <v>2326</v>
      </c>
      <c r="L147" s="30" t="s">
        <v>2327</v>
      </c>
      <c r="M147" s="30" t="s">
        <v>31</v>
      </c>
      <c r="N147" s="30" t="s">
        <v>94</v>
      </c>
      <c r="O147" s="30" t="s">
        <v>2328</v>
      </c>
      <c r="P147" s="30" t="s">
        <v>2329</v>
      </c>
      <c r="Q147" s="30" t="s">
        <v>31</v>
      </c>
      <c r="R147" s="30" t="s">
        <v>94</v>
      </c>
      <c r="S147" s="30" t="s">
        <v>2330</v>
      </c>
      <c r="T147" s="30" t="s">
        <v>2331</v>
      </c>
      <c r="U147" s="30" t="s">
        <v>31</v>
      </c>
      <c r="V147" s="30" t="s">
        <v>94</v>
      </c>
      <c r="W147" s="30" t="s">
        <v>2332</v>
      </c>
      <c r="X147" s="30" t="s">
        <v>2333</v>
      </c>
      <c r="Y147" s="30" t="s">
        <v>31</v>
      </c>
      <c r="Z147" s="30" t="s">
        <v>94</v>
      </c>
      <c r="AA147" s="30" t="s">
        <v>2036</v>
      </c>
      <c r="AB147" s="51" t="s">
        <v>2334</v>
      </c>
      <c r="AC147" s="30" t="s">
        <v>31</v>
      </c>
      <c r="AD147" s="30" t="s">
        <v>94</v>
      </c>
      <c r="AE147" s="30" t="s">
        <v>134</v>
      </c>
    </row>
    <row r="148" ht="22.5" customHeight="1">
      <c r="A148" s="28">
        <v>46240.702746006944</v>
      </c>
      <c r="B148" s="30" t="s">
        <v>2335</v>
      </c>
      <c r="C148" s="30" t="s">
        <v>2336</v>
      </c>
      <c r="D148" s="30" t="s">
        <v>193</v>
      </c>
      <c r="E148" s="30" t="s">
        <v>2337</v>
      </c>
      <c r="F148" s="30" t="s">
        <v>2338</v>
      </c>
      <c r="G148" s="30" t="s">
        <v>31</v>
      </c>
      <c r="H148" s="30" t="s">
        <v>69</v>
      </c>
      <c r="I148" s="30">
        <v>8.807843177E9</v>
      </c>
      <c r="J148" s="30" t="s">
        <v>2339</v>
      </c>
      <c r="K148" s="30" t="s">
        <v>2340</v>
      </c>
      <c r="L148" s="30" t="s">
        <v>2341</v>
      </c>
      <c r="M148" s="30" t="s">
        <v>31</v>
      </c>
      <c r="N148" s="30" t="s">
        <v>69</v>
      </c>
      <c r="O148" s="30" t="s">
        <v>2342</v>
      </c>
      <c r="P148" s="30" t="s">
        <v>2343</v>
      </c>
      <c r="Q148" s="30" t="s">
        <v>31</v>
      </c>
      <c r="R148" s="30" t="s">
        <v>69</v>
      </c>
      <c r="S148" s="30" t="s">
        <v>2344</v>
      </c>
      <c r="T148" s="30" t="s">
        <v>2345</v>
      </c>
      <c r="U148" s="30" t="s">
        <v>31</v>
      </c>
      <c r="V148" s="30" t="s">
        <v>69</v>
      </c>
      <c r="W148" s="30" t="s">
        <v>2346</v>
      </c>
      <c r="X148" s="30" t="s">
        <v>2347</v>
      </c>
      <c r="Y148" s="30" t="s">
        <v>31</v>
      </c>
      <c r="Z148" s="30" t="s">
        <v>78</v>
      </c>
      <c r="AA148" s="30" t="s">
        <v>2348</v>
      </c>
      <c r="AB148" s="30" t="s">
        <v>2349</v>
      </c>
      <c r="AC148" s="30" t="s">
        <v>31</v>
      </c>
      <c r="AD148" s="30" t="s">
        <v>78</v>
      </c>
      <c r="AE148" s="30" t="s">
        <v>134</v>
      </c>
    </row>
    <row r="149" ht="22.5" customHeight="1">
      <c r="A149" s="28">
        <v>46240.70326755787</v>
      </c>
      <c r="B149" s="30" t="s">
        <v>2350</v>
      </c>
      <c r="C149" s="30" t="s">
        <v>308</v>
      </c>
      <c r="D149" s="30" t="s">
        <v>82</v>
      </c>
      <c r="E149" s="30" t="s">
        <v>2351</v>
      </c>
      <c r="F149" s="30" t="s">
        <v>309</v>
      </c>
      <c r="G149" s="30" t="s">
        <v>31</v>
      </c>
      <c r="H149" s="30" t="s">
        <v>126</v>
      </c>
      <c r="I149" s="30">
        <v>6.385436562E9</v>
      </c>
      <c r="J149" s="30" t="s">
        <v>2350</v>
      </c>
      <c r="K149" s="30" t="s">
        <v>2352</v>
      </c>
      <c r="L149" s="30" t="s">
        <v>2353</v>
      </c>
      <c r="M149" s="30" t="s">
        <v>31</v>
      </c>
      <c r="N149" s="30" t="s">
        <v>178</v>
      </c>
      <c r="O149" s="30" t="s">
        <v>2354</v>
      </c>
      <c r="P149" s="30" t="s">
        <v>2355</v>
      </c>
      <c r="Q149" s="30" t="s">
        <v>31</v>
      </c>
      <c r="R149" s="30" t="s">
        <v>178</v>
      </c>
      <c r="S149" s="30" t="s">
        <v>2356</v>
      </c>
      <c r="T149" s="30" t="s">
        <v>2357</v>
      </c>
      <c r="U149" s="30" t="s">
        <v>31</v>
      </c>
      <c r="V149" s="30" t="s">
        <v>178</v>
      </c>
      <c r="W149" s="30" t="s">
        <v>2358</v>
      </c>
      <c r="X149" s="30" t="s">
        <v>2359</v>
      </c>
      <c r="Y149" s="30" t="s">
        <v>31</v>
      </c>
      <c r="Z149" s="30" t="s">
        <v>126</v>
      </c>
      <c r="AA149" s="30" t="s">
        <v>2360</v>
      </c>
      <c r="AB149" s="30" t="s">
        <v>1565</v>
      </c>
      <c r="AC149" s="30" t="s">
        <v>31</v>
      </c>
      <c r="AD149" s="30" t="s">
        <v>126</v>
      </c>
      <c r="AE149" s="30" t="s">
        <v>134</v>
      </c>
    </row>
    <row r="150" ht="22.5" customHeight="1">
      <c r="A150" s="28">
        <v>46240.70344574074</v>
      </c>
      <c r="B150" s="30" t="s">
        <v>2361</v>
      </c>
      <c r="C150" s="30" t="s">
        <v>2362</v>
      </c>
      <c r="D150" s="30" t="s">
        <v>193</v>
      </c>
      <c r="E150" s="30" t="s">
        <v>2363</v>
      </c>
      <c r="F150" s="30" t="s">
        <v>2364</v>
      </c>
      <c r="G150" s="30" t="s">
        <v>31</v>
      </c>
      <c r="H150" s="30" t="s">
        <v>243</v>
      </c>
      <c r="I150" s="30">
        <v>7.010779778E9</v>
      </c>
      <c r="J150" s="30" t="s">
        <v>2361</v>
      </c>
      <c r="K150" s="30" t="s">
        <v>2365</v>
      </c>
      <c r="L150" s="30" t="s">
        <v>2366</v>
      </c>
      <c r="M150" s="30" t="s">
        <v>31</v>
      </c>
      <c r="N150" s="30" t="s">
        <v>243</v>
      </c>
      <c r="O150" s="30" t="s">
        <v>2367</v>
      </c>
      <c r="P150" s="30" t="s">
        <v>2368</v>
      </c>
      <c r="Q150" s="30" t="s">
        <v>31</v>
      </c>
      <c r="R150" s="30" t="s">
        <v>243</v>
      </c>
      <c r="S150" s="30" t="s">
        <v>2369</v>
      </c>
      <c r="T150" s="30" t="s">
        <v>2370</v>
      </c>
      <c r="U150" s="30" t="s">
        <v>31</v>
      </c>
      <c r="V150" s="30" t="s">
        <v>243</v>
      </c>
      <c r="W150" s="30" t="s">
        <v>2371</v>
      </c>
      <c r="X150" s="30" t="s">
        <v>2372</v>
      </c>
      <c r="Y150" s="30" t="s">
        <v>31</v>
      </c>
      <c r="Z150" s="30" t="s">
        <v>243</v>
      </c>
      <c r="AA150" s="30" t="s">
        <v>2373</v>
      </c>
      <c r="AB150" s="30" t="s">
        <v>2374</v>
      </c>
      <c r="AC150" s="30" t="s">
        <v>31</v>
      </c>
      <c r="AD150" s="30" t="s">
        <v>94</v>
      </c>
      <c r="AE150" s="30" t="s">
        <v>134</v>
      </c>
    </row>
    <row r="151" ht="22.5" customHeight="1">
      <c r="A151" s="28">
        <v>46240.70353077546</v>
      </c>
      <c r="B151" s="30" t="s">
        <v>2375</v>
      </c>
      <c r="C151" s="30" t="s">
        <v>2376</v>
      </c>
      <c r="D151" s="30" t="s">
        <v>193</v>
      </c>
      <c r="E151" s="30" t="s">
        <v>2377</v>
      </c>
      <c r="F151" s="30" t="s">
        <v>2378</v>
      </c>
      <c r="G151" s="30" t="s">
        <v>31</v>
      </c>
      <c r="H151" s="30" t="s">
        <v>22</v>
      </c>
      <c r="I151" s="30">
        <v>6.369596894E9</v>
      </c>
      <c r="J151" s="30" t="s">
        <v>2375</v>
      </c>
      <c r="K151" s="30" t="s">
        <v>2379</v>
      </c>
      <c r="L151" s="30" t="s">
        <v>2380</v>
      </c>
      <c r="M151" s="30" t="s">
        <v>31</v>
      </c>
      <c r="N151" s="30" t="s">
        <v>22</v>
      </c>
      <c r="O151" s="30" t="s">
        <v>2381</v>
      </c>
      <c r="P151" s="30" t="s">
        <v>2382</v>
      </c>
      <c r="Q151" s="30" t="s">
        <v>31</v>
      </c>
      <c r="R151" s="30" t="s">
        <v>22</v>
      </c>
      <c r="S151" s="30" t="s">
        <v>2383</v>
      </c>
      <c r="T151" s="30" t="s">
        <v>2384</v>
      </c>
      <c r="U151" s="30" t="s">
        <v>31</v>
      </c>
      <c r="V151" s="30" t="s">
        <v>22</v>
      </c>
      <c r="W151" s="30" t="s">
        <v>2385</v>
      </c>
      <c r="X151" s="30" t="s">
        <v>2386</v>
      </c>
      <c r="Y151" s="30" t="s">
        <v>31</v>
      </c>
      <c r="Z151" s="30" t="s">
        <v>22</v>
      </c>
      <c r="AA151" s="30" t="s">
        <v>2387</v>
      </c>
      <c r="AB151" s="30" t="s">
        <v>2388</v>
      </c>
      <c r="AC151" s="30" t="s">
        <v>31</v>
      </c>
      <c r="AD151" s="30" t="s">
        <v>178</v>
      </c>
      <c r="AE151" s="30" t="s">
        <v>134</v>
      </c>
    </row>
    <row r="152" ht="22.5" customHeight="1">
      <c r="A152" s="28">
        <v>46240.70416378472</v>
      </c>
      <c r="B152" s="30" t="s">
        <v>2389</v>
      </c>
      <c r="C152" s="30" t="s">
        <v>371</v>
      </c>
      <c r="D152" s="30" t="s">
        <v>193</v>
      </c>
      <c r="E152" s="30" t="s">
        <v>2390</v>
      </c>
      <c r="F152" s="30" t="s">
        <v>372</v>
      </c>
      <c r="G152" s="30" t="s">
        <v>23</v>
      </c>
      <c r="H152" s="30" t="s">
        <v>280</v>
      </c>
      <c r="I152" s="30">
        <v>7.904049559E9</v>
      </c>
      <c r="J152" s="30" t="s">
        <v>2389</v>
      </c>
      <c r="K152" s="30" t="s">
        <v>2391</v>
      </c>
      <c r="L152" s="30" t="s">
        <v>2392</v>
      </c>
      <c r="M152" s="30" t="s">
        <v>23</v>
      </c>
      <c r="N152" s="30" t="s">
        <v>280</v>
      </c>
      <c r="O152" s="30" t="s">
        <v>2393</v>
      </c>
      <c r="P152" s="30" t="s">
        <v>2394</v>
      </c>
      <c r="Q152" s="30" t="s">
        <v>23</v>
      </c>
      <c r="R152" s="30" t="s">
        <v>280</v>
      </c>
      <c r="S152" s="30" t="s">
        <v>2395</v>
      </c>
      <c r="T152" s="30" t="s">
        <v>2396</v>
      </c>
      <c r="U152" s="30" t="s">
        <v>23</v>
      </c>
      <c r="V152" s="30" t="s">
        <v>126</v>
      </c>
      <c r="W152" s="30" t="s">
        <v>2397</v>
      </c>
      <c r="X152" s="30" t="s">
        <v>2398</v>
      </c>
      <c r="Y152" s="30" t="s">
        <v>89</v>
      </c>
      <c r="Z152" s="30" t="s">
        <v>280</v>
      </c>
      <c r="AA152" s="30" t="s">
        <v>2399</v>
      </c>
      <c r="AB152" s="30" t="s">
        <v>2400</v>
      </c>
      <c r="AC152" s="30"/>
      <c r="AD152" s="30" t="s">
        <v>280</v>
      </c>
      <c r="AE152" s="30" t="s">
        <v>134</v>
      </c>
    </row>
    <row r="153" ht="22.5" customHeight="1">
      <c r="A153" s="28">
        <v>46240.70453699074</v>
      </c>
      <c r="B153" s="30" t="s">
        <v>2401</v>
      </c>
      <c r="C153" s="30" t="s">
        <v>175</v>
      </c>
      <c r="D153" s="30" t="s">
        <v>82</v>
      </c>
      <c r="E153" s="30" t="s">
        <v>2402</v>
      </c>
      <c r="F153" s="30" t="s">
        <v>176</v>
      </c>
      <c r="G153" s="30" t="s">
        <v>31</v>
      </c>
      <c r="H153" s="30" t="s">
        <v>94</v>
      </c>
      <c r="I153" s="30">
        <v>9.363058606E9</v>
      </c>
      <c r="J153" s="30" t="s">
        <v>2401</v>
      </c>
      <c r="K153" s="30" t="s">
        <v>2403</v>
      </c>
      <c r="L153" s="30" t="s">
        <v>2404</v>
      </c>
      <c r="M153" s="30" t="s">
        <v>31</v>
      </c>
      <c r="N153" s="30" t="s">
        <v>219</v>
      </c>
      <c r="O153" s="30" t="s">
        <v>2405</v>
      </c>
      <c r="P153" s="30" t="s">
        <v>2406</v>
      </c>
      <c r="Q153" s="30" t="s">
        <v>31</v>
      </c>
      <c r="R153" s="30" t="s">
        <v>126</v>
      </c>
      <c r="S153" s="30" t="s">
        <v>2407</v>
      </c>
      <c r="T153" s="30" t="s">
        <v>2408</v>
      </c>
      <c r="U153" s="30" t="s">
        <v>31</v>
      </c>
      <c r="V153" s="30" t="s">
        <v>126</v>
      </c>
      <c r="W153" s="30" t="s">
        <v>2409</v>
      </c>
      <c r="X153" s="30" t="s">
        <v>2410</v>
      </c>
      <c r="Y153" s="30" t="s">
        <v>31</v>
      </c>
      <c r="Z153" s="30" t="s">
        <v>94</v>
      </c>
      <c r="AA153" s="30" t="s">
        <v>2411</v>
      </c>
      <c r="AB153" s="30" t="s">
        <v>2412</v>
      </c>
      <c r="AC153" s="30" t="s">
        <v>31</v>
      </c>
      <c r="AD153" s="30" t="s">
        <v>22</v>
      </c>
      <c r="AE153" s="30" t="s">
        <v>134</v>
      </c>
    </row>
    <row r="154" ht="22.5" customHeight="1">
      <c r="A154" s="28">
        <v>46240.70479077546</v>
      </c>
      <c r="B154" s="30" t="s">
        <v>2413</v>
      </c>
      <c r="C154" s="30" t="s">
        <v>108</v>
      </c>
      <c r="D154" s="30" t="s">
        <v>193</v>
      </c>
      <c r="E154" s="30" t="s">
        <v>2414</v>
      </c>
      <c r="F154" s="30" t="s">
        <v>110</v>
      </c>
      <c r="G154" s="30" t="s">
        <v>31</v>
      </c>
      <c r="H154" s="30" t="s">
        <v>78</v>
      </c>
      <c r="I154" s="30">
        <v>8.015708733E9</v>
      </c>
      <c r="J154" s="30" t="s">
        <v>2413</v>
      </c>
      <c r="K154" s="30" t="s">
        <v>2415</v>
      </c>
      <c r="L154" s="30" t="s">
        <v>2416</v>
      </c>
      <c r="M154" s="30" t="s">
        <v>31</v>
      </c>
      <c r="N154" s="30" t="s">
        <v>78</v>
      </c>
      <c r="O154" s="30" t="s">
        <v>2417</v>
      </c>
      <c r="P154" s="30" t="s">
        <v>2418</v>
      </c>
      <c r="Q154" s="30" t="s">
        <v>31</v>
      </c>
      <c r="R154" s="30" t="s">
        <v>78</v>
      </c>
      <c r="S154" s="30" t="s">
        <v>2419</v>
      </c>
      <c r="T154" s="30" t="s">
        <v>2420</v>
      </c>
      <c r="U154" s="30" t="s">
        <v>31</v>
      </c>
      <c r="V154" s="30" t="s">
        <v>69</v>
      </c>
      <c r="W154" s="30" t="s">
        <v>2421</v>
      </c>
      <c r="X154" s="30" t="s">
        <v>2422</v>
      </c>
      <c r="Y154" s="30" t="s">
        <v>31</v>
      </c>
      <c r="Z154" s="30" t="s">
        <v>69</v>
      </c>
      <c r="AA154" s="30" t="s">
        <v>2423</v>
      </c>
      <c r="AB154" s="30" t="s">
        <v>2424</v>
      </c>
      <c r="AC154" s="30" t="s">
        <v>31</v>
      </c>
      <c r="AD154" s="30" t="s">
        <v>94</v>
      </c>
      <c r="AE154" s="30" t="s">
        <v>134</v>
      </c>
    </row>
    <row r="155" ht="22.5" customHeight="1">
      <c r="A155" s="28">
        <v>46240.70543451389</v>
      </c>
      <c r="B155" s="30" t="s">
        <v>2425</v>
      </c>
      <c r="C155" s="30" t="s">
        <v>2426</v>
      </c>
      <c r="D155" s="30" t="s">
        <v>82</v>
      </c>
      <c r="E155" s="30" t="s">
        <v>2427</v>
      </c>
      <c r="F155" s="30" t="s">
        <v>2428</v>
      </c>
      <c r="G155" s="30" t="s">
        <v>31</v>
      </c>
      <c r="H155" s="30" t="s">
        <v>219</v>
      </c>
      <c r="I155" s="30" t="s">
        <v>2429</v>
      </c>
      <c r="J155" s="30" t="s">
        <v>2430</v>
      </c>
      <c r="K155" s="30" t="s">
        <v>2431</v>
      </c>
      <c r="L155" s="30" t="s">
        <v>2432</v>
      </c>
      <c r="M155" s="30" t="s">
        <v>31</v>
      </c>
      <c r="N155" s="30" t="s">
        <v>22</v>
      </c>
      <c r="O155" s="30" t="s">
        <v>2433</v>
      </c>
      <c r="P155" s="30" t="s">
        <v>2434</v>
      </c>
      <c r="Q155" s="30" t="s">
        <v>31</v>
      </c>
      <c r="R155" s="30" t="s">
        <v>219</v>
      </c>
      <c r="S155" s="30" t="s">
        <v>2435</v>
      </c>
      <c r="T155" s="30" t="s">
        <v>2436</v>
      </c>
      <c r="U155" s="30" t="s">
        <v>31</v>
      </c>
      <c r="V155" s="30" t="s">
        <v>219</v>
      </c>
      <c r="W155" s="30" t="s">
        <v>2437</v>
      </c>
      <c r="X155" s="30" t="s">
        <v>2438</v>
      </c>
      <c r="Y155" s="30" t="s">
        <v>31</v>
      </c>
      <c r="Z155" s="30" t="s">
        <v>78</v>
      </c>
      <c r="AA155" s="30" t="s">
        <v>2439</v>
      </c>
      <c r="AB155" s="30" t="s">
        <v>2440</v>
      </c>
      <c r="AC155" s="30" t="s">
        <v>31</v>
      </c>
      <c r="AD155" s="30" t="s">
        <v>219</v>
      </c>
      <c r="AE155" s="30" t="s">
        <v>134</v>
      </c>
    </row>
    <row r="156" ht="22.5" customHeight="1">
      <c r="A156" s="28">
        <v>46240.70548628472</v>
      </c>
      <c r="B156" s="30" t="s">
        <v>2441</v>
      </c>
      <c r="C156" s="30" t="s">
        <v>374</v>
      </c>
      <c r="D156" s="30" t="s">
        <v>193</v>
      </c>
      <c r="E156" s="30" t="s">
        <v>2442</v>
      </c>
      <c r="F156" s="30" t="s">
        <v>375</v>
      </c>
      <c r="G156" s="30" t="s">
        <v>31</v>
      </c>
      <c r="H156" s="30" t="s">
        <v>280</v>
      </c>
      <c r="I156" s="30" t="s">
        <v>376</v>
      </c>
      <c r="J156" s="30" t="s">
        <v>2443</v>
      </c>
      <c r="K156" s="30" t="s">
        <v>2444</v>
      </c>
      <c r="L156" s="30" t="s">
        <v>2445</v>
      </c>
      <c r="M156" s="30" t="s">
        <v>31</v>
      </c>
      <c r="N156" s="30" t="s">
        <v>280</v>
      </c>
      <c r="O156" s="30" t="s">
        <v>2446</v>
      </c>
      <c r="P156" s="30" t="s">
        <v>2447</v>
      </c>
      <c r="Q156" s="30" t="s">
        <v>31</v>
      </c>
      <c r="R156" s="30" t="s">
        <v>280</v>
      </c>
      <c r="S156" s="30" t="s">
        <v>2448</v>
      </c>
      <c r="T156" s="30" t="s">
        <v>2449</v>
      </c>
      <c r="U156" s="30" t="s">
        <v>31</v>
      </c>
      <c r="V156" s="30" t="s">
        <v>280</v>
      </c>
      <c r="W156" s="30" t="s">
        <v>2450</v>
      </c>
      <c r="X156" s="30" t="s">
        <v>2451</v>
      </c>
      <c r="Y156" s="30" t="s">
        <v>31</v>
      </c>
      <c r="Z156" s="30" t="s">
        <v>219</v>
      </c>
      <c r="AA156" s="30" t="s">
        <v>2452</v>
      </c>
      <c r="AB156" s="30" t="s">
        <v>2453</v>
      </c>
      <c r="AC156" s="30" t="s">
        <v>31</v>
      </c>
      <c r="AD156" s="30" t="s">
        <v>69</v>
      </c>
      <c r="AE156" s="30" t="s">
        <v>134</v>
      </c>
    </row>
    <row r="157" ht="22.5" customHeight="1">
      <c r="A157" s="28">
        <v>46240.70574372685</v>
      </c>
      <c r="B157" s="30" t="s">
        <v>2454</v>
      </c>
      <c r="C157" s="30" t="s">
        <v>2455</v>
      </c>
      <c r="D157" s="30" t="s">
        <v>193</v>
      </c>
      <c r="E157" s="30" t="s">
        <v>2456</v>
      </c>
      <c r="F157" s="30" t="s">
        <v>2457</v>
      </c>
      <c r="G157" s="30" t="s">
        <v>31</v>
      </c>
      <c r="H157" s="30" t="s">
        <v>94</v>
      </c>
      <c r="I157" s="30">
        <v>6.369424966E9</v>
      </c>
      <c r="J157" s="30" t="s">
        <v>2458</v>
      </c>
      <c r="K157" s="30" t="s">
        <v>2459</v>
      </c>
      <c r="L157" s="30" t="s">
        <v>2460</v>
      </c>
      <c r="M157" s="30" t="s">
        <v>31</v>
      </c>
      <c r="N157" s="30" t="s">
        <v>94</v>
      </c>
      <c r="O157" s="30" t="s">
        <v>2461</v>
      </c>
      <c r="P157" s="30" t="s">
        <v>2462</v>
      </c>
      <c r="Q157" s="30" t="s">
        <v>31</v>
      </c>
      <c r="R157" s="30" t="s">
        <v>94</v>
      </c>
      <c r="S157" s="30" t="s">
        <v>2463</v>
      </c>
      <c r="T157" s="30" t="s">
        <v>2464</v>
      </c>
      <c r="U157" s="30" t="s">
        <v>31</v>
      </c>
      <c r="V157" s="30" t="s">
        <v>94</v>
      </c>
      <c r="W157" s="30" t="s">
        <v>2465</v>
      </c>
      <c r="X157" s="30" t="s">
        <v>2466</v>
      </c>
      <c r="Y157" s="30" t="s">
        <v>31</v>
      </c>
      <c r="Z157" s="30" t="s">
        <v>94</v>
      </c>
      <c r="AA157" s="30" t="s">
        <v>2467</v>
      </c>
      <c r="AB157" s="30" t="s">
        <v>2468</v>
      </c>
      <c r="AC157" s="30" t="s">
        <v>31</v>
      </c>
      <c r="AD157" s="30" t="s">
        <v>94</v>
      </c>
      <c r="AE157" s="30" t="s">
        <v>134</v>
      </c>
    </row>
    <row r="158" ht="22.5" customHeight="1">
      <c r="A158" s="28">
        <v>46240.70586100694</v>
      </c>
      <c r="B158" s="30" t="s">
        <v>2469</v>
      </c>
      <c r="C158" s="30" t="s">
        <v>2470</v>
      </c>
      <c r="D158" s="30" t="s">
        <v>193</v>
      </c>
      <c r="E158" s="30" t="s">
        <v>2471</v>
      </c>
      <c r="F158" s="30" t="s">
        <v>2472</v>
      </c>
      <c r="G158" s="30" t="s">
        <v>31</v>
      </c>
      <c r="H158" s="30" t="s">
        <v>243</v>
      </c>
      <c r="I158" s="30">
        <v>8.870952993E9</v>
      </c>
      <c r="J158" s="30" t="s">
        <v>2469</v>
      </c>
      <c r="K158" s="30" t="s">
        <v>2473</v>
      </c>
      <c r="L158" s="30" t="s">
        <v>2474</v>
      </c>
      <c r="M158" s="30" t="s">
        <v>31</v>
      </c>
      <c r="N158" s="30" t="s">
        <v>243</v>
      </c>
      <c r="O158" s="30" t="s">
        <v>2475</v>
      </c>
      <c r="P158" s="30" t="s">
        <v>2476</v>
      </c>
      <c r="Q158" s="30" t="s">
        <v>31</v>
      </c>
      <c r="R158" s="30" t="s">
        <v>94</v>
      </c>
      <c r="S158" s="30" t="s">
        <v>2477</v>
      </c>
      <c r="T158" s="30" t="s">
        <v>1965</v>
      </c>
      <c r="U158" s="30" t="s">
        <v>31</v>
      </c>
      <c r="V158" s="30" t="s">
        <v>94</v>
      </c>
      <c r="W158" s="30" t="s">
        <v>2478</v>
      </c>
      <c r="X158" s="30" t="s">
        <v>2479</v>
      </c>
      <c r="Y158" s="30" t="s">
        <v>31</v>
      </c>
      <c r="Z158" s="30" t="s">
        <v>94</v>
      </c>
      <c r="AA158" s="30" t="s">
        <v>803</v>
      </c>
      <c r="AB158" s="30" t="s">
        <v>2480</v>
      </c>
      <c r="AC158" s="30" t="s">
        <v>31</v>
      </c>
      <c r="AD158" s="30" t="s">
        <v>243</v>
      </c>
      <c r="AE158" s="30" t="s">
        <v>134</v>
      </c>
    </row>
    <row r="159" ht="22.5" customHeight="1">
      <c r="A159" s="28">
        <v>46240.70599828704</v>
      </c>
      <c r="B159" s="30" t="s">
        <v>2481</v>
      </c>
      <c r="C159" s="30" t="s">
        <v>2482</v>
      </c>
      <c r="D159" s="30" t="s">
        <v>193</v>
      </c>
      <c r="E159" s="30" t="s">
        <v>2483</v>
      </c>
      <c r="F159" s="30" t="s">
        <v>2484</v>
      </c>
      <c r="G159" s="30" t="s">
        <v>31</v>
      </c>
      <c r="H159" s="30" t="s">
        <v>94</v>
      </c>
      <c r="I159" s="30" t="s">
        <v>2485</v>
      </c>
      <c r="J159" s="30" t="s">
        <v>2486</v>
      </c>
      <c r="K159" s="30" t="s">
        <v>2487</v>
      </c>
      <c r="L159" s="30" t="s">
        <v>2488</v>
      </c>
      <c r="M159" s="30" t="s">
        <v>31</v>
      </c>
      <c r="N159" s="30" t="s">
        <v>94</v>
      </c>
      <c r="O159" s="30" t="s">
        <v>2489</v>
      </c>
      <c r="P159" s="30" t="s">
        <v>2490</v>
      </c>
      <c r="Q159" s="30" t="s">
        <v>31</v>
      </c>
      <c r="R159" s="30" t="s">
        <v>94</v>
      </c>
      <c r="S159" s="30" t="s">
        <v>2491</v>
      </c>
      <c r="T159" s="30" t="s">
        <v>2492</v>
      </c>
      <c r="U159" s="30" t="s">
        <v>31</v>
      </c>
      <c r="V159" s="30" t="s">
        <v>243</v>
      </c>
      <c r="W159" s="30" t="s">
        <v>2493</v>
      </c>
      <c r="X159" s="30" t="s">
        <v>2494</v>
      </c>
      <c r="Y159" s="30" t="s">
        <v>31</v>
      </c>
      <c r="Z159" s="30" t="s">
        <v>243</v>
      </c>
      <c r="AA159" s="30" t="s">
        <v>2495</v>
      </c>
      <c r="AB159" s="30" t="s">
        <v>2496</v>
      </c>
      <c r="AC159" s="30" t="s">
        <v>31</v>
      </c>
      <c r="AD159" s="30" t="s">
        <v>94</v>
      </c>
      <c r="AE159" s="30" t="s">
        <v>134</v>
      </c>
    </row>
    <row r="160" ht="22.5" customHeight="1">
      <c r="A160" s="28">
        <v>46240.70661717592</v>
      </c>
      <c r="B160" s="30" t="s">
        <v>2497</v>
      </c>
      <c r="C160" s="30" t="s">
        <v>72</v>
      </c>
      <c r="D160" s="30" t="s">
        <v>82</v>
      </c>
      <c r="E160" s="30" t="s">
        <v>2498</v>
      </c>
      <c r="F160" s="30" t="s">
        <v>73</v>
      </c>
      <c r="G160" s="30" t="s">
        <v>31</v>
      </c>
      <c r="H160" s="30" t="s">
        <v>69</v>
      </c>
      <c r="I160" s="30">
        <v>8.438497339E9</v>
      </c>
      <c r="J160" s="30" t="s">
        <v>2497</v>
      </c>
      <c r="K160" s="30" t="s">
        <v>2499</v>
      </c>
      <c r="L160" s="30" t="s">
        <v>2500</v>
      </c>
      <c r="M160" s="30" t="s">
        <v>31</v>
      </c>
      <c r="N160" s="30" t="s">
        <v>219</v>
      </c>
      <c r="O160" s="30" t="s">
        <v>2501</v>
      </c>
      <c r="P160" s="30" t="s">
        <v>2502</v>
      </c>
      <c r="Q160" s="30" t="s">
        <v>31</v>
      </c>
      <c r="R160" s="30" t="s">
        <v>178</v>
      </c>
      <c r="S160" s="30" t="s">
        <v>2503</v>
      </c>
      <c r="T160" s="30" t="s">
        <v>2504</v>
      </c>
      <c r="U160" s="30" t="s">
        <v>31</v>
      </c>
      <c r="V160" s="30" t="s">
        <v>178</v>
      </c>
      <c r="W160" s="30" t="s">
        <v>2505</v>
      </c>
      <c r="X160" s="30" t="s">
        <v>2506</v>
      </c>
      <c r="Y160" s="30" t="s">
        <v>31</v>
      </c>
      <c r="Z160" s="30" t="s">
        <v>69</v>
      </c>
      <c r="AA160" s="30" t="s">
        <v>2507</v>
      </c>
      <c r="AB160" s="30" t="s">
        <v>2508</v>
      </c>
      <c r="AC160" s="30" t="s">
        <v>31</v>
      </c>
      <c r="AD160" s="30" t="s">
        <v>69</v>
      </c>
      <c r="AE160" s="30" t="s">
        <v>134</v>
      </c>
    </row>
    <row r="161" ht="22.5" customHeight="1">
      <c r="A161" s="28">
        <v>46240.70722145833</v>
      </c>
      <c r="B161" s="30" t="s">
        <v>2509</v>
      </c>
      <c r="C161" s="30" t="s">
        <v>2510</v>
      </c>
      <c r="D161" s="30" t="s">
        <v>82</v>
      </c>
      <c r="E161" s="30" t="s">
        <v>2511</v>
      </c>
      <c r="F161" s="30" t="s">
        <v>2512</v>
      </c>
      <c r="G161" s="30" t="s">
        <v>31</v>
      </c>
      <c r="H161" s="30" t="s">
        <v>94</v>
      </c>
      <c r="I161" s="30">
        <v>6.379267639E9</v>
      </c>
      <c r="J161" s="30" t="s">
        <v>2509</v>
      </c>
      <c r="K161" s="30" t="s">
        <v>2513</v>
      </c>
      <c r="L161" s="30" t="s">
        <v>2514</v>
      </c>
      <c r="M161" s="30" t="s">
        <v>31</v>
      </c>
      <c r="N161" s="30" t="s">
        <v>94</v>
      </c>
      <c r="O161" s="30" t="s">
        <v>2515</v>
      </c>
      <c r="P161" s="30" t="s">
        <v>2516</v>
      </c>
      <c r="Q161" s="30" t="s">
        <v>31</v>
      </c>
      <c r="R161" s="30" t="s">
        <v>94</v>
      </c>
      <c r="S161" s="30" t="s">
        <v>2517</v>
      </c>
      <c r="T161" s="30" t="s">
        <v>2518</v>
      </c>
      <c r="U161" s="30" t="s">
        <v>31</v>
      </c>
      <c r="V161" s="30" t="s">
        <v>94</v>
      </c>
      <c r="W161" s="30" t="s">
        <v>2519</v>
      </c>
      <c r="X161" s="30" t="s">
        <v>2520</v>
      </c>
      <c r="Y161" s="30" t="s">
        <v>31</v>
      </c>
      <c r="Z161" s="30" t="s">
        <v>178</v>
      </c>
      <c r="AA161" s="30" t="s">
        <v>2521</v>
      </c>
      <c r="AB161" s="30" t="s">
        <v>2522</v>
      </c>
      <c r="AC161" s="30" t="s">
        <v>31</v>
      </c>
      <c r="AD161" s="30" t="s">
        <v>178</v>
      </c>
      <c r="AE161" s="30" t="s">
        <v>134</v>
      </c>
    </row>
    <row r="162" ht="22.5" customHeight="1">
      <c r="A162" s="28">
        <v>46240.70782689815</v>
      </c>
      <c r="B162" s="30" t="s">
        <v>2523</v>
      </c>
      <c r="C162" s="30" t="s">
        <v>179</v>
      </c>
      <c r="D162" s="30" t="s">
        <v>82</v>
      </c>
      <c r="E162" s="30" t="s">
        <v>2524</v>
      </c>
      <c r="F162" s="30" t="s">
        <v>180</v>
      </c>
      <c r="G162" s="30" t="s">
        <v>31</v>
      </c>
      <c r="H162" s="30" t="s">
        <v>94</v>
      </c>
      <c r="I162" s="30">
        <v>6.38207742E9</v>
      </c>
      <c r="J162" s="30" t="s">
        <v>2525</v>
      </c>
      <c r="K162" s="30" t="s">
        <v>2526</v>
      </c>
      <c r="L162" s="30" t="s">
        <v>2527</v>
      </c>
      <c r="M162" s="30" t="s">
        <v>31</v>
      </c>
      <c r="N162" s="30" t="s">
        <v>94</v>
      </c>
      <c r="O162" s="30" t="s">
        <v>2528</v>
      </c>
      <c r="P162" s="30" t="s">
        <v>2529</v>
      </c>
      <c r="Q162" s="30" t="s">
        <v>31</v>
      </c>
      <c r="R162" s="30" t="s">
        <v>94</v>
      </c>
      <c r="S162" s="30" t="s">
        <v>2530</v>
      </c>
      <c r="T162" s="30" t="s">
        <v>2531</v>
      </c>
      <c r="U162" s="30" t="s">
        <v>31</v>
      </c>
      <c r="V162" s="30" t="s">
        <v>126</v>
      </c>
      <c r="W162" s="30" t="s">
        <v>2532</v>
      </c>
      <c r="X162" s="30" t="s">
        <v>2533</v>
      </c>
      <c r="Y162" s="30" t="s">
        <v>31</v>
      </c>
      <c r="Z162" s="30" t="s">
        <v>22</v>
      </c>
      <c r="AA162" s="30" t="s">
        <v>2534</v>
      </c>
      <c r="AB162" s="30" t="s">
        <v>2535</v>
      </c>
      <c r="AC162" s="30" t="s">
        <v>31</v>
      </c>
      <c r="AD162" s="30" t="s">
        <v>78</v>
      </c>
      <c r="AE162" s="30" t="s">
        <v>134</v>
      </c>
    </row>
    <row r="163" ht="22.5" customHeight="1">
      <c r="A163" s="28">
        <v>46240.70795240741</v>
      </c>
      <c r="B163" s="30" t="s">
        <v>2536</v>
      </c>
      <c r="C163" s="30" t="s">
        <v>2537</v>
      </c>
      <c r="D163" s="30" t="s">
        <v>82</v>
      </c>
      <c r="E163" s="30" t="s">
        <v>2538</v>
      </c>
      <c r="F163" s="30" t="s">
        <v>2539</v>
      </c>
      <c r="G163" s="30" t="s">
        <v>31</v>
      </c>
      <c r="H163" s="30" t="s">
        <v>126</v>
      </c>
      <c r="I163" s="30" t="s">
        <v>2540</v>
      </c>
      <c r="J163" s="30" t="s">
        <v>2541</v>
      </c>
      <c r="K163" s="30" t="s">
        <v>2542</v>
      </c>
      <c r="L163" s="30" t="s">
        <v>2543</v>
      </c>
      <c r="M163" s="30" t="s">
        <v>31</v>
      </c>
      <c r="N163" s="30" t="s">
        <v>126</v>
      </c>
      <c r="O163" s="30" t="s">
        <v>2544</v>
      </c>
      <c r="P163" s="30" t="s">
        <v>2545</v>
      </c>
      <c r="Q163" s="30" t="s">
        <v>31</v>
      </c>
      <c r="R163" s="30" t="s">
        <v>313</v>
      </c>
      <c r="S163" s="30" t="s">
        <v>2546</v>
      </c>
      <c r="T163" s="30" t="s">
        <v>2547</v>
      </c>
      <c r="U163" s="30" t="s">
        <v>31</v>
      </c>
      <c r="V163" s="30" t="s">
        <v>94</v>
      </c>
      <c r="W163" s="30" t="s">
        <v>2548</v>
      </c>
      <c r="X163" s="30" t="s">
        <v>2549</v>
      </c>
      <c r="Y163" s="30" t="s">
        <v>31</v>
      </c>
      <c r="Z163" s="30" t="s">
        <v>219</v>
      </c>
      <c r="AA163" s="30" t="s">
        <v>418</v>
      </c>
      <c r="AB163" s="30" t="s">
        <v>2550</v>
      </c>
      <c r="AC163" s="30" t="s">
        <v>31</v>
      </c>
      <c r="AD163" s="30" t="s">
        <v>126</v>
      </c>
      <c r="AE163" s="30" t="s">
        <v>134</v>
      </c>
    </row>
    <row r="164" ht="22.5" customHeight="1">
      <c r="A164" s="28">
        <v>46240.70796672454</v>
      </c>
      <c r="B164" s="30" t="s">
        <v>2551</v>
      </c>
      <c r="C164" s="30" t="s">
        <v>2552</v>
      </c>
      <c r="D164" s="30" t="s">
        <v>82</v>
      </c>
      <c r="E164" s="30" t="s">
        <v>2553</v>
      </c>
      <c r="F164" s="30" t="s">
        <v>2554</v>
      </c>
      <c r="G164" s="30" t="s">
        <v>31</v>
      </c>
      <c r="H164" s="30" t="s">
        <v>94</v>
      </c>
      <c r="I164" s="30" t="s">
        <v>2555</v>
      </c>
      <c r="J164" s="30" t="s">
        <v>2556</v>
      </c>
      <c r="K164" s="30" t="s">
        <v>2557</v>
      </c>
      <c r="L164" s="30" t="s">
        <v>2558</v>
      </c>
      <c r="M164" s="30" t="s">
        <v>31</v>
      </c>
      <c r="N164" s="30" t="s">
        <v>94</v>
      </c>
      <c r="O164" s="30" t="s">
        <v>2559</v>
      </c>
      <c r="P164" s="30" t="s">
        <v>2560</v>
      </c>
      <c r="Q164" s="30" t="s">
        <v>31</v>
      </c>
      <c r="R164" s="30" t="s">
        <v>69</v>
      </c>
      <c r="S164" s="30" t="s">
        <v>2561</v>
      </c>
      <c r="T164" s="30" t="s">
        <v>2562</v>
      </c>
      <c r="U164" s="30" t="s">
        <v>31</v>
      </c>
      <c r="V164" s="30" t="s">
        <v>69</v>
      </c>
      <c r="W164" s="30" t="s">
        <v>2563</v>
      </c>
      <c r="X164" s="30" t="s">
        <v>2564</v>
      </c>
      <c r="Y164" s="30" t="s">
        <v>31</v>
      </c>
      <c r="Z164" s="30" t="s">
        <v>69</v>
      </c>
      <c r="AA164" s="30" t="s">
        <v>2565</v>
      </c>
      <c r="AB164" s="30" t="s">
        <v>2566</v>
      </c>
      <c r="AC164" s="30" t="s">
        <v>31</v>
      </c>
      <c r="AD164" s="30" t="s">
        <v>69</v>
      </c>
      <c r="AE164" s="30" t="s">
        <v>134</v>
      </c>
    </row>
    <row r="165" ht="22.5" customHeight="1">
      <c r="A165" s="28">
        <v>46240.71005501157</v>
      </c>
      <c r="B165" s="30" t="s">
        <v>2567</v>
      </c>
      <c r="C165" s="30" t="s">
        <v>2568</v>
      </c>
      <c r="D165" s="30" t="s">
        <v>193</v>
      </c>
      <c r="E165" s="30" t="s">
        <v>2569</v>
      </c>
      <c r="F165" s="30" t="s">
        <v>2570</v>
      </c>
      <c r="G165" s="30" t="s">
        <v>31</v>
      </c>
      <c r="H165" s="30" t="s">
        <v>94</v>
      </c>
      <c r="I165" s="30" t="s">
        <v>2571</v>
      </c>
      <c r="J165" s="30" t="s">
        <v>2572</v>
      </c>
      <c r="K165" s="30" t="s">
        <v>2573</v>
      </c>
      <c r="L165" s="30" t="s">
        <v>2574</v>
      </c>
      <c r="M165" s="30" t="s">
        <v>31</v>
      </c>
      <c r="N165" s="30" t="s">
        <v>94</v>
      </c>
      <c r="O165" s="30" t="s">
        <v>2575</v>
      </c>
      <c r="P165" s="30" t="s">
        <v>2576</v>
      </c>
      <c r="Q165" s="30" t="s">
        <v>31</v>
      </c>
      <c r="R165" s="30" t="s">
        <v>94</v>
      </c>
      <c r="S165" s="30" t="s">
        <v>2577</v>
      </c>
      <c r="T165" s="30" t="s">
        <v>2578</v>
      </c>
      <c r="U165" s="30" t="s">
        <v>31</v>
      </c>
      <c r="V165" s="30" t="s">
        <v>94</v>
      </c>
      <c r="W165" s="30" t="s">
        <v>2579</v>
      </c>
      <c r="X165" s="30" t="s">
        <v>2580</v>
      </c>
      <c r="Y165" s="30" t="s">
        <v>31</v>
      </c>
      <c r="Z165" s="30" t="s">
        <v>94</v>
      </c>
      <c r="AA165" s="30" t="s">
        <v>2581</v>
      </c>
      <c r="AB165" s="30" t="s">
        <v>2582</v>
      </c>
      <c r="AC165" s="30" t="s">
        <v>31</v>
      </c>
      <c r="AD165" s="30" t="s">
        <v>94</v>
      </c>
      <c r="AE165" s="30" t="s">
        <v>134</v>
      </c>
    </row>
    <row r="166" ht="22.5" customHeight="1">
      <c r="A166" s="28">
        <v>46240.7101196875</v>
      </c>
      <c r="B166" s="30" t="s">
        <v>2583</v>
      </c>
      <c r="C166" s="30" t="s">
        <v>184</v>
      </c>
      <c r="D166" s="30" t="s">
        <v>193</v>
      </c>
      <c r="E166" s="30" t="s">
        <v>2584</v>
      </c>
      <c r="F166" s="30" t="s">
        <v>185</v>
      </c>
      <c r="G166" s="30" t="s">
        <v>31</v>
      </c>
      <c r="H166" s="30" t="s">
        <v>94</v>
      </c>
      <c r="I166" s="30">
        <v>6.369303183E9</v>
      </c>
      <c r="J166" s="30" t="s">
        <v>2583</v>
      </c>
      <c r="K166" s="30" t="s">
        <v>2585</v>
      </c>
      <c r="L166" s="30" t="s">
        <v>2586</v>
      </c>
      <c r="M166" s="30" t="s">
        <v>31</v>
      </c>
      <c r="N166" s="30" t="s">
        <v>94</v>
      </c>
      <c r="O166" s="30" t="s">
        <v>2587</v>
      </c>
      <c r="P166" s="30" t="s">
        <v>2588</v>
      </c>
      <c r="Q166" s="30" t="s">
        <v>31</v>
      </c>
      <c r="R166" s="30" t="s">
        <v>94</v>
      </c>
      <c r="S166" s="30" t="s">
        <v>2589</v>
      </c>
      <c r="T166" s="30" t="s">
        <v>2590</v>
      </c>
      <c r="U166" s="30" t="s">
        <v>31</v>
      </c>
      <c r="V166" s="30" t="s">
        <v>126</v>
      </c>
      <c r="W166" s="30" t="s">
        <v>2591</v>
      </c>
      <c r="X166" s="30" t="s">
        <v>2592</v>
      </c>
      <c r="Y166" s="30" t="s">
        <v>31</v>
      </c>
      <c r="Z166" s="30" t="s">
        <v>22</v>
      </c>
      <c r="AA166" s="30" t="s">
        <v>2593</v>
      </c>
      <c r="AB166" s="30" t="s">
        <v>2594</v>
      </c>
      <c r="AC166" s="30" t="s">
        <v>31</v>
      </c>
      <c r="AD166" s="30" t="s">
        <v>94</v>
      </c>
      <c r="AE166" s="30" t="s">
        <v>134</v>
      </c>
    </row>
    <row r="167" ht="22.5" customHeight="1">
      <c r="A167" s="28">
        <v>46240.71108057871</v>
      </c>
      <c r="B167" s="30" t="s">
        <v>2595</v>
      </c>
      <c r="C167" s="30" t="s">
        <v>2596</v>
      </c>
      <c r="D167" s="30" t="s">
        <v>193</v>
      </c>
      <c r="E167" s="30" t="s">
        <v>2597</v>
      </c>
      <c r="F167" s="30" t="s">
        <v>2598</v>
      </c>
      <c r="G167" s="30" t="s">
        <v>31</v>
      </c>
      <c r="H167" s="30" t="s">
        <v>22</v>
      </c>
      <c r="I167" s="30">
        <v>9.043560495E9</v>
      </c>
      <c r="J167" s="30" t="s">
        <v>2595</v>
      </c>
      <c r="K167" s="30" t="s">
        <v>2599</v>
      </c>
      <c r="L167" s="30" t="s">
        <v>2600</v>
      </c>
      <c r="M167" s="30" t="s">
        <v>31</v>
      </c>
      <c r="N167" s="30" t="s">
        <v>22</v>
      </c>
      <c r="O167" s="30" t="s">
        <v>2601</v>
      </c>
      <c r="P167" s="30" t="s">
        <v>2602</v>
      </c>
      <c r="Q167" s="30" t="s">
        <v>31</v>
      </c>
      <c r="R167" s="30" t="s">
        <v>22</v>
      </c>
      <c r="S167" s="30" t="s">
        <v>2603</v>
      </c>
      <c r="T167" s="30" t="s">
        <v>2604</v>
      </c>
      <c r="U167" s="30" t="s">
        <v>31</v>
      </c>
      <c r="V167" s="30" t="s">
        <v>22</v>
      </c>
      <c r="W167" s="30" t="s">
        <v>2605</v>
      </c>
      <c r="X167" s="30" t="s">
        <v>2606</v>
      </c>
      <c r="Y167" s="30" t="s">
        <v>31</v>
      </c>
      <c r="Z167" s="30" t="s">
        <v>69</v>
      </c>
      <c r="AA167" s="30" t="s">
        <v>2607</v>
      </c>
      <c r="AB167" s="30" t="s">
        <v>2608</v>
      </c>
      <c r="AC167" s="30" t="s">
        <v>31</v>
      </c>
      <c r="AD167" s="30" t="s">
        <v>313</v>
      </c>
      <c r="AE167" s="30" t="s">
        <v>134</v>
      </c>
    </row>
    <row r="168" ht="22.5" customHeight="1">
      <c r="A168" s="28">
        <v>46240.71191048611</v>
      </c>
      <c r="B168" s="30" t="s">
        <v>2609</v>
      </c>
      <c r="C168" s="30" t="s">
        <v>55</v>
      </c>
      <c r="D168" s="30" t="s">
        <v>193</v>
      </c>
      <c r="E168" s="30" t="s">
        <v>2610</v>
      </c>
      <c r="F168" s="30" t="s">
        <v>56</v>
      </c>
      <c r="G168" s="30" t="s">
        <v>31</v>
      </c>
      <c r="H168" s="30" t="s">
        <v>22</v>
      </c>
      <c r="I168" s="30">
        <v>9.025303285E9</v>
      </c>
      <c r="J168" s="30" t="s">
        <v>2609</v>
      </c>
      <c r="K168" s="30" t="s">
        <v>2611</v>
      </c>
      <c r="L168" s="30" t="s">
        <v>2612</v>
      </c>
      <c r="M168" s="30" t="s">
        <v>31</v>
      </c>
      <c r="N168" s="30" t="s">
        <v>22</v>
      </c>
      <c r="O168" s="30" t="s">
        <v>2613</v>
      </c>
      <c r="P168" s="30" t="s">
        <v>2614</v>
      </c>
      <c r="Q168" s="30" t="s">
        <v>31</v>
      </c>
      <c r="R168" s="30" t="s">
        <v>22</v>
      </c>
      <c r="S168" s="30" t="s">
        <v>2615</v>
      </c>
      <c r="T168" s="30" t="s">
        <v>2616</v>
      </c>
      <c r="U168" s="30" t="s">
        <v>31</v>
      </c>
      <c r="V168" s="30" t="s">
        <v>78</v>
      </c>
      <c r="W168" s="30" t="s">
        <v>2617</v>
      </c>
      <c r="X168" s="30" t="s">
        <v>2618</v>
      </c>
      <c r="Y168" s="30" t="s">
        <v>31</v>
      </c>
      <c r="Z168" s="30" t="s">
        <v>219</v>
      </c>
      <c r="AA168" s="30" t="s">
        <v>2619</v>
      </c>
      <c r="AB168" s="30" t="s">
        <v>2620</v>
      </c>
      <c r="AC168" s="30" t="s">
        <v>31</v>
      </c>
      <c r="AD168" s="30" t="s">
        <v>357</v>
      </c>
      <c r="AE168" s="30" t="s">
        <v>134</v>
      </c>
    </row>
    <row r="169" ht="22.5" customHeight="1">
      <c r="A169" s="28">
        <v>46240.71205079861</v>
      </c>
      <c r="B169" s="30" t="s">
        <v>2621</v>
      </c>
      <c r="C169" s="30" t="s">
        <v>2622</v>
      </c>
      <c r="D169" s="30" t="s">
        <v>193</v>
      </c>
      <c r="E169" s="30" t="s">
        <v>2623</v>
      </c>
      <c r="F169" s="30" t="s">
        <v>2624</v>
      </c>
      <c r="G169" s="30" t="s">
        <v>31</v>
      </c>
      <c r="H169" s="30" t="s">
        <v>243</v>
      </c>
      <c r="I169" s="30" t="s">
        <v>2625</v>
      </c>
      <c r="J169" s="30" t="s">
        <v>2626</v>
      </c>
      <c r="K169" s="30" t="s">
        <v>2627</v>
      </c>
      <c r="L169" s="30" t="s">
        <v>2628</v>
      </c>
      <c r="M169" s="30" t="s">
        <v>31</v>
      </c>
      <c r="N169" s="30" t="s">
        <v>22</v>
      </c>
      <c r="O169" s="30" t="s">
        <v>2629</v>
      </c>
      <c r="P169" s="30" t="s">
        <v>2630</v>
      </c>
      <c r="Q169" s="30" t="s">
        <v>31</v>
      </c>
      <c r="R169" s="30" t="s">
        <v>22</v>
      </c>
      <c r="S169" s="30" t="s">
        <v>2631</v>
      </c>
      <c r="T169" s="30" t="s">
        <v>2632</v>
      </c>
      <c r="U169" s="30" t="s">
        <v>31</v>
      </c>
      <c r="V169" s="30" t="s">
        <v>243</v>
      </c>
      <c r="W169" s="30" t="s">
        <v>2633</v>
      </c>
      <c r="X169" s="30" t="s">
        <v>2634</v>
      </c>
      <c r="Y169" s="30" t="s">
        <v>31</v>
      </c>
      <c r="Z169" s="30" t="s">
        <v>243</v>
      </c>
      <c r="AA169" s="30" t="s">
        <v>2635</v>
      </c>
      <c r="AB169" s="30" t="s">
        <v>2636</v>
      </c>
      <c r="AC169" s="30" t="s">
        <v>31</v>
      </c>
      <c r="AD169" s="30" t="s">
        <v>22</v>
      </c>
      <c r="AE169" s="30" t="s">
        <v>134</v>
      </c>
    </row>
    <row r="170" ht="22.5" customHeight="1">
      <c r="A170" s="28">
        <v>46240.71445043982</v>
      </c>
      <c r="B170" s="30" t="s">
        <v>2637</v>
      </c>
      <c r="C170" s="30" t="s">
        <v>312</v>
      </c>
      <c r="D170" s="30" t="s">
        <v>82</v>
      </c>
      <c r="E170" s="30" t="s">
        <v>2638</v>
      </c>
      <c r="F170" s="30" t="s">
        <v>314</v>
      </c>
      <c r="G170" s="30" t="s">
        <v>31</v>
      </c>
      <c r="H170" s="30" t="s">
        <v>126</v>
      </c>
      <c r="I170" s="30">
        <v>9.00350905E9</v>
      </c>
      <c r="J170" s="30" t="s">
        <v>2637</v>
      </c>
      <c r="K170" s="30" t="s">
        <v>2639</v>
      </c>
      <c r="L170" s="30" t="s">
        <v>2640</v>
      </c>
      <c r="M170" s="30" t="s">
        <v>31</v>
      </c>
      <c r="N170" s="30" t="s">
        <v>126</v>
      </c>
      <c r="O170" s="30" t="s">
        <v>2641</v>
      </c>
      <c r="P170" s="30" t="s">
        <v>2642</v>
      </c>
      <c r="Q170" s="30" t="s">
        <v>31</v>
      </c>
      <c r="R170" s="30" t="s">
        <v>22</v>
      </c>
      <c r="S170" s="30" t="s">
        <v>2643</v>
      </c>
      <c r="T170" s="30" t="s">
        <v>2644</v>
      </c>
      <c r="U170" s="30" t="s">
        <v>31</v>
      </c>
      <c r="V170" s="30" t="s">
        <v>69</v>
      </c>
      <c r="W170" s="30" t="s">
        <v>2645</v>
      </c>
      <c r="X170" s="30" t="s">
        <v>2646</v>
      </c>
      <c r="Y170" s="30" t="s">
        <v>31</v>
      </c>
      <c r="Z170" s="30" t="s">
        <v>178</v>
      </c>
      <c r="AA170" s="30" t="s">
        <v>2647</v>
      </c>
      <c r="AB170" s="30" t="s">
        <v>2648</v>
      </c>
      <c r="AC170" s="30" t="s">
        <v>31</v>
      </c>
      <c r="AD170" s="30" t="s">
        <v>313</v>
      </c>
      <c r="AE170" s="30" t="s">
        <v>134</v>
      </c>
    </row>
    <row r="171" ht="22.5" customHeight="1">
      <c r="A171" s="28">
        <v>46240.71546072917</v>
      </c>
      <c r="B171" s="30" t="s">
        <v>2649</v>
      </c>
      <c r="C171" s="30" t="s">
        <v>318</v>
      </c>
      <c r="D171" s="30" t="s">
        <v>193</v>
      </c>
      <c r="E171" s="30" t="s">
        <v>2650</v>
      </c>
      <c r="F171" s="30" t="s">
        <v>319</v>
      </c>
      <c r="G171" s="30" t="s">
        <v>31</v>
      </c>
      <c r="H171" s="30" t="s">
        <v>126</v>
      </c>
      <c r="I171" s="30">
        <v>6.380608892E9</v>
      </c>
      <c r="J171" s="30" t="s">
        <v>2649</v>
      </c>
      <c r="K171" s="30" t="s">
        <v>2651</v>
      </c>
      <c r="L171" s="30" t="s">
        <v>2652</v>
      </c>
      <c r="M171" s="30" t="s">
        <v>31</v>
      </c>
      <c r="N171" s="30" t="s">
        <v>219</v>
      </c>
      <c r="O171" s="30" t="s">
        <v>2036</v>
      </c>
      <c r="P171" s="30" t="s">
        <v>2653</v>
      </c>
      <c r="Q171" s="30" t="s">
        <v>31</v>
      </c>
      <c r="R171" s="30" t="s">
        <v>126</v>
      </c>
      <c r="S171" s="30" t="s">
        <v>2654</v>
      </c>
      <c r="T171" s="30" t="s">
        <v>2655</v>
      </c>
      <c r="U171" s="30" t="s">
        <v>31</v>
      </c>
      <c r="V171" s="30" t="s">
        <v>22</v>
      </c>
      <c r="W171" s="30" t="s">
        <v>2656</v>
      </c>
      <c r="X171" s="30" t="s">
        <v>2657</v>
      </c>
      <c r="Y171" s="30" t="s">
        <v>31</v>
      </c>
      <c r="Z171" s="30" t="s">
        <v>219</v>
      </c>
      <c r="AA171" s="30" t="s">
        <v>2658</v>
      </c>
      <c r="AB171" s="30" t="s">
        <v>2659</v>
      </c>
      <c r="AC171" s="30" t="s">
        <v>31</v>
      </c>
      <c r="AD171" s="30" t="s">
        <v>280</v>
      </c>
      <c r="AE171" s="30" t="s">
        <v>134</v>
      </c>
    </row>
    <row r="172" ht="22.5" customHeight="1">
      <c r="A172" s="28">
        <v>46240.715665428244</v>
      </c>
      <c r="B172" s="30" t="s">
        <v>2660</v>
      </c>
      <c r="C172" s="30" t="s">
        <v>322</v>
      </c>
      <c r="D172" s="30" t="s">
        <v>82</v>
      </c>
      <c r="E172" s="30" t="s">
        <v>2661</v>
      </c>
      <c r="F172" s="30" t="s">
        <v>323</v>
      </c>
      <c r="G172" s="30" t="s">
        <v>31</v>
      </c>
      <c r="H172" s="30" t="s">
        <v>126</v>
      </c>
      <c r="I172" s="30">
        <v>9.79148621E9</v>
      </c>
      <c r="J172" s="30" t="s">
        <v>2660</v>
      </c>
      <c r="K172" s="30" t="s">
        <v>2662</v>
      </c>
      <c r="L172" s="30" t="s">
        <v>2663</v>
      </c>
      <c r="M172" s="30" t="s">
        <v>31</v>
      </c>
      <c r="N172" s="30" t="s">
        <v>126</v>
      </c>
      <c r="O172" s="30" t="s">
        <v>2664</v>
      </c>
      <c r="P172" s="30" t="s">
        <v>2665</v>
      </c>
      <c r="Q172" s="30" t="s">
        <v>31</v>
      </c>
      <c r="R172" s="30" t="s">
        <v>126</v>
      </c>
      <c r="S172" s="30" t="s">
        <v>2666</v>
      </c>
      <c r="T172" s="30" t="s">
        <v>2667</v>
      </c>
      <c r="U172" s="30" t="s">
        <v>31</v>
      </c>
      <c r="V172" s="30" t="s">
        <v>178</v>
      </c>
      <c r="W172" s="30" t="s">
        <v>2668</v>
      </c>
      <c r="X172" s="30" t="s">
        <v>1991</v>
      </c>
      <c r="Y172" s="30" t="s">
        <v>31</v>
      </c>
      <c r="Z172" s="30" t="s">
        <v>280</v>
      </c>
      <c r="AA172" s="30" t="s">
        <v>2669</v>
      </c>
      <c r="AB172" s="30" t="s">
        <v>2670</v>
      </c>
      <c r="AC172" s="30" t="s">
        <v>31</v>
      </c>
      <c r="AD172" s="30" t="s">
        <v>280</v>
      </c>
      <c r="AE172" s="30" t="s">
        <v>134</v>
      </c>
    </row>
    <row r="173" ht="22.5" customHeight="1">
      <c r="A173" s="28">
        <v>46240.717164918984</v>
      </c>
      <c r="B173" s="30" t="s">
        <v>2671</v>
      </c>
      <c r="C173" s="30" t="s">
        <v>338</v>
      </c>
      <c r="D173" s="30" t="s">
        <v>82</v>
      </c>
      <c r="E173" s="30" t="s">
        <v>2672</v>
      </c>
      <c r="F173" s="30" t="s">
        <v>340</v>
      </c>
      <c r="G173" s="30" t="s">
        <v>31</v>
      </c>
      <c r="H173" s="30" t="s">
        <v>178</v>
      </c>
      <c r="I173" s="30">
        <v>9.944862206E9</v>
      </c>
      <c r="J173" s="30" t="s">
        <v>2671</v>
      </c>
      <c r="K173" s="30" t="s">
        <v>2673</v>
      </c>
      <c r="L173" s="30" t="s">
        <v>2674</v>
      </c>
      <c r="M173" s="30" t="s">
        <v>31</v>
      </c>
      <c r="N173" s="30" t="s">
        <v>178</v>
      </c>
      <c r="O173" s="30" t="s">
        <v>2675</v>
      </c>
      <c r="P173" s="30" t="s">
        <v>2676</v>
      </c>
      <c r="Q173" s="30" t="s">
        <v>31</v>
      </c>
      <c r="R173" s="30" t="s">
        <v>178</v>
      </c>
      <c r="S173" s="30" t="s">
        <v>2677</v>
      </c>
      <c r="T173" s="30" t="s">
        <v>2678</v>
      </c>
      <c r="U173" s="30" t="s">
        <v>31</v>
      </c>
      <c r="V173" s="30" t="s">
        <v>94</v>
      </c>
      <c r="W173" s="30" t="s">
        <v>2679</v>
      </c>
      <c r="X173" s="30" t="s">
        <v>2680</v>
      </c>
      <c r="Y173" s="30" t="s">
        <v>31</v>
      </c>
      <c r="Z173" s="30" t="s">
        <v>94</v>
      </c>
      <c r="AA173" s="30" t="s">
        <v>2681</v>
      </c>
      <c r="AB173" s="30" t="s">
        <v>2682</v>
      </c>
      <c r="AC173" s="30" t="s">
        <v>31</v>
      </c>
      <c r="AD173" s="30" t="s">
        <v>178</v>
      </c>
      <c r="AE173" s="30" t="s">
        <v>134</v>
      </c>
    </row>
    <row r="174" ht="22.5" customHeight="1">
      <c r="A174" s="28">
        <v>46240.718426875</v>
      </c>
      <c r="B174" s="30" t="s">
        <v>2683</v>
      </c>
      <c r="C174" s="30" t="s">
        <v>222</v>
      </c>
      <c r="D174" s="30" t="s">
        <v>82</v>
      </c>
      <c r="E174" s="30" t="s">
        <v>2684</v>
      </c>
      <c r="F174" s="30" t="s">
        <v>223</v>
      </c>
      <c r="G174" s="30" t="s">
        <v>31</v>
      </c>
      <c r="H174" s="30" t="s">
        <v>219</v>
      </c>
      <c r="I174" s="30">
        <v>7.708957447E9</v>
      </c>
      <c r="J174" s="30" t="s">
        <v>2683</v>
      </c>
      <c r="K174" s="30" t="s">
        <v>2685</v>
      </c>
      <c r="L174" s="30" t="s">
        <v>2686</v>
      </c>
      <c r="M174" s="30" t="s">
        <v>31</v>
      </c>
      <c r="N174" s="30" t="s">
        <v>243</v>
      </c>
      <c r="O174" s="30" t="s">
        <v>2687</v>
      </c>
      <c r="P174" s="30" t="s">
        <v>2688</v>
      </c>
      <c r="Q174" s="30" t="s">
        <v>31</v>
      </c>
      <c r="R174" s="30" t="s">
        <v>219</v>
      </c>
      <c r="S174" s="30" t="s">
        <v>2689</v>
      </c>
      <c r="T174" s="30" t="s">
        <v>2690</v>
      </c>
      <c r="U174" s="30" t="s">
        <v>31</v>
      </c>
      <c r="V174" s="30" t="s">
        <v>243</v>
      </c>
      <c r="W174" s="30" t="s">
        <v>2691</v>
      </c>
      <c r="X174" s="30" t="s">
        <v>2692</v>
      </c>
      <c r="Y174" s="30" t="s">
        <v>31</v>
      </c>
      <c r="Z174" s="30" t="s">
        <v>243</v>
      </c>
      <c r="AA174" s="30" t="s">
        <v>2693</v>
      </c>
      <c r="AB174" s="30" t="s">
        <v>2694</v>
      </c>
      <c r="AC174" s="30" t="s">
        <v>31</v>
      </c>
      <c r="AD174" s="30" t="s">
        <v>243</v>
      </c>
      <c r="AE174" s="30" t="s">
        <v>134</v>
      </c>
    </row>
    <row r="175" ht="22.5" customHeight="1">
      <c r="A175" s="28">
        <v>46240.71876736111</v>
      </c>
      <c r="B175" s="30" t="s">
        <v>2695</v>
      </c>
      <c r="C175" s="30" t="s">
        <v>2696</v>
      </c>
      <c r="D175" s="30" t="s">
        <v>82</v>
      </c>
      <c r="E175" s="30" t="s">
        <v>2697</v>
      </c>
      <c r="F175" s="30" t="s">
        <v>2698</v>
      </c>
      <c r="G175" s="30" t="s">
        <v>31</v>
      </c>
      <c r="H175" s="30" t="s">
        <v>22</v>
      </c>
      <c r="I175" s="30" t="s">
        <v>2699</v>
      </c>
      <c r="J175" s="30" t="s">
        <v>2700</v>
      </c>
      <c r="K175" s="30" t="s">
        <v>2701</v>
      </c>
      <c r="L175" s="30" t="s">
        <v>2702</v>
      </c>
      <c r="M175" s="30" t="s">
        <v>31</v>
      </c>
      <c r="N175" s="30" t="s">
        <v>22</v>
      </c>
      <c r="O175" s="30" t="s">
        <v>2703</v>
      </c>
      <c r="P175" s="30" t="s">
        <v>2704</v>
      </c>
      <c r="Q175" s="30" t="s">
        <v>31</v>
      </c>
      <c r="R175" s="30" t="s">
        <v>22</v>
      </c>
      <c r="S175" s="30" t="s">
        <v>2705</v>
      </c>
      <c r="T175" s="30" t="s">
        <v>2706</v>
      </c>
      <c r="U175" s="30" t="s">
        <v>31</v>
      </c>
      <c r="V175" s="30" t="s">
        <v>22</v>
      </c>
      <c r="W175" s="30" t="s">
        <v>2707</v>
      </c>
      <c r="X175" s="30" t="s">
        <v>2708</v>
      </c>
      <c r="Y175" s="30" t="s">
        <v>31</v>
      </c>
      <c r="Z175" s="30" t="s">
        <v>94</v>
      </c>
      <c r="AA175" s="30" t="s">
        <v>2709</v>
      </c>
      <c r="AB175" s="30" t="s">
        <v>2710</v>
      </c>
      <c r="AC175" s="30" t="s">
        <v>31</v>
      </c>
      <c r="AD175" s="30" t="s">
        <v>219</v>
      </c>
      <c r="AE175" s="30" t="s">
        <v>134</v>
      </c>
    </row>
    <row r="176" ht="22.5" customHeight="1">
      <c r="A176" s="28">
        <v>46240.72294083334</v>
      </c>
      <c r="B176" s="30" t="s">
        <v>2711</v>
      </c>
      <c r="C176" s="30" t="s">
        <v>2712</v>
      </c>
      <c r="D176" s="30" t="s">
        <v>193</v>
      </c>
      <c r="E176" s="30" t="s">
        <v>2713</v>
      </c>
      <c r="F176" s="30" t="s">
        <v>2714</v>
      </c>
      <c r="G176" s="30" t="s">
        <v>31</v>
      </c>
      <c r="H176" s="30" t="s">
        <v>78</v>
      </c>
      <c r="I176" s="30">
        <v>7.397059472E9</v>
      </c>
      <c r="J176" s="30" t="s">
        <v>2711</v>
      </c>
      <c r="K176" s="30" t="s">
        <v>2715</v>
      </c>
      <c r="L176" s="30" t="s">
        <v>2716</v>
      </c>
      <c r="M176" s="30" t="s">
        <v>31</v>
      </c>
      <c r="N176" s="30" t="s">
        <v>78</v>
      </c>
      <c r="O176" s="30" t="s">
        <v>2717</v>
      </c>
      <c r="P176" s="30" t="s">
        <v>2718</v>
      </c>
      <c r="Q176" s="30" t="s">
        <v>31</v>
      </c>
      <c r="R176" s="30" t="s">
        <v>78</v>
      </c>
      <c r="S176" s="30" t="s">
        <v>2719</v>
      </c>
      <c r="T176" s="30" t="s">
        <v>2720</v>
      </c>
      <c r="U176" s="30" t="s">
        <v>31</v>
      </c>
      <c r="V176" s="30" t="s">
        <v>78</v>
      </c>
      <c r="W176" s="30" t="s">
        <v>2721</v>
      </c>
      <c r="X176" s="30" t="s">
        <v>2722</v>
      </c>
      <c r="Y176" s="30" t="s">
        <v>31</v>
      </c>
      <c r="Z176" s="30" t="s">
        <v>126</v>
      </c>
      <c r="AA176" s="30" t="s">
        <v>2723</v>
      </c>
      <c r="AB176" s="30" t="s">
        <v>2724</v>
      </c>
      <c r="AC176" s="30" t="s">
        <v>31</v>
      </c>
      <c r="AD176" s="30" t="s">
        <v>126</v>
      </c>
      <c r="AE176" s="30" t="s">
        <v>134</v>
      </c>
    </row>
    <row r="177" ht="22.5" customHeight="1">
      <c r="A177" s="28">
        <v>46240.725330914356</v>
      </c>
      <c r="B177" s="30" t="s">
        <v>2725</v>
      </c>
      <c r="C177" s="30" t="s">
        <v>127</v>
      </c>
      <c r="D177" s="30" t="s">
        <v>82</v>
      </c>
      <c r="E177" s="30" t="s">
        <v>2726</v>
      </c>
      <c r="F177" s="30" t="s">
        <v>128</v>
      </c>
      <c r="G177" s="30" t="s">
        <v>23</v>
      </c>
      <c r="H177" s="30" t="s">
        <v>78</v>
      </c>
      <c r="I177" s="30">
        <v>9.99477932E9</v>
      </c>
      <c r="J177" s="30" t="s">
        <v>2725</v>
      </c>
      <c r="K177" s="30" t="s">
        <v>2727</v>
      </c>
      <c r="L177" s="30" t="s">
        <v>2728</v>
      </c>
      <c r="M177" s="30" t="s">
        <v>23</v>
      </c>
      <c r="N177" s="30" t="s">
        <v>78</v>
      </c>
      <c r="O177" s="30" t="s">
        <v>2729</v>
      </c>
      <c r="P177" s="30" t="s">
        <v>2730</v>
      </c>
      <c r="Q177" s="30" t="s">
        <v>23</v>
      </c>
      <c r="R177" s="30" t="s">
        <v>78</v>
      </c>
      <c r="S177" s="30" t="s">
        <v>2731</v>
      </c>
      <c r="T177" s="30" t="s">
        <v>2732</v>
      </c>
      <c r="U177" s="30" t="s">
        <v>23</v>
      </c>
      <c r="V177" s="30" t="s">
        <v>78</v>
      </c>
      <c r="W177" s="30" t="s">
        <v>2733</v>
      </c>
      <c r="X177" s="30" t="s">
        <v>2734</v>
      </c>
      <c r="Y177" s="30" t="s">
        <v>23</v>
      </c>
      <c r="Z177" s="30" t="s">
        <v>126</v>
      </c>
      <c r="AA177" s="30" t="s">
        <v>2735</v>
      </c>
      <c r="AB177" s="30" t="s">
        <v>2736</v>
      </c>
      <c r="AC177" s="30" t="s">
        <v>23</v>
      </c>
      <c r="AD177" s="30" t="s">
        <v>126</v>
      </c>
      <c r="AE177" s="30" t="s">
        <v>134</v>
      </c>
    </row>
    <row r="178" ht="22.5" customHeight="1">
      <c r="A178" s="28">
        <v>46240.748153506946</v>
      </c>
      <c r="B178" s="30" t="s">
        <v>2737</v>
      </c>
      <c r="C178" s="30" t="s">
        <v>2738</v>
      </c>
      <c r="D178" s="30" t="s">
        <v>193</v>
      </c>
      <c r="E178" s="30" t="s">
        <v>2739</v>
      </c>
      <c r="F178" s="30" t="s">
        <v>2740</v>
      </c>
      <c r="G178" s="30" t="s">
        <v>31</v>
      </c>
      <c r="H178" s="30" t="s">
        <v>126</v>
      </c>
      <c r="I178" s="30">
        <v>6.374043156E9</v>
      </c>
      <c r="J178" s="30" t="s">
        <v>2741</v>
      </c>
      <c r="K178" s="30" t="s">
        <v>2742</v>
      </c>
      <c r="L178" s="30" t="s">
        <v>2743</v>
      </c>
      <c r="M178" s="30" t="s">
        <v>31</v>
      </c>
      <c r="N178" s="30" t="s">
        <v>94</v>
      </c>
      <c r="O178" s="30" t="s">
        <v>2744</v>
      </c>
      <c r="P178" s="30" t="s">
        <v>2745</v>
      </c>
      <c r="Q178" s="30" t="s">
        <v>31</v>
      </c>
      <c r="R178" s="30" t="s">
        <v>94</v>
      </c>
      <c r="S178" s="30" t="s">
        <v>2746</v>
      </c>
      <c r="T178" s="30" t="s">
        <v>2747</v>
      </c>
      <c r="U178" s="30" t="s">
        <v>31</v>
      </c>
      <c r="V178" s="30" t="s">
        <v>69</v>
      </c>
      <c r="W178" s="30" t="s">
        <v>2748</v>
      </c>
      <c r="X178" s="30" t="s">
        <v>2749</v>
      </c>
      <c r="Y178" s="30" t="s">
        <v>31</v>
      </c>
      <c r="Z178" s="30" t="s">
        <v>126</v>
      </c>
      <c r="AA178" s="30" t="s">
        <v>2750</v>
      </c>
      <c r="AB178" s="30" t="s">
        <v>2751</v>
      </c>
      <c r="AC178" s="30" t="s">
        <v>31</v>
      </c>
      <c r="AD178" s="30" t="s">
        <v>126</v>
      </c>
      <c r="AE178" s="30" t="s">
        <v>134</v>
      </c>
    </row>
    <row r="179" ht="22.5" customHeight="1">
      <c r="A179" s="28">
        <v>46240.75594809028</v>
      </c>
      <c r="B179" s="30" t="s">
        <v>2752</v>
      </c>
      <c r="C179" s="30" t="s">
        <v>2753</v>
      </c>
      <c r="D179" s="30" t="s">
        <v>82</v>
      </c>
      <c r="E179" s="30" t="s">
        <v>2754</v>
      </c>
      <c r="F179" s="30" t="s">
        <v>2755</v>
      </c>
      <c r="G179" s="30" t="s">
        <v>31</v>
      </c>
      <c r="H179" s="30" t="s">
        <v>126</v>
      </c>
      <c r="I179" s="30" t="s">
        <v>2756</v>
      </c>
      <c r="J179" s="30" t="s">
        <v>2757</v>
      </c>
      <c r="K179" s="30" t="s">
        <v>2758</v>
      </c>
      <c r="L179" s="30" t="s">
        <v>2759</v>
      </c>
      <c r="M179" s="30" t="s">
        <v>31</v>
      </c>
      <c r="N179" s="30" t="s">
        <v>126</v>
      </c>
      <c r="O179" s="30" t="s">
        <v>2760</v>
      </c>
      <c r="P179" s="30" t="s">
        <v>2761</v>
      </c>
      <c r="Q179" s="30" t="s">
        <v>31</v>
      </c>
      <c r="R179" s="30" t="s">
        <v>126</v>
      </c>
      <c r="S179" s="30" t="s">
        <v>2762</v>
      </c>
      <c r="T179" s="30" t="s">
        <v>2763</v>
      </c>
      <c r="U179" s="30" t="s">
        <v>31</v>
      </c>
      <c r="V179" s="30" t="s">
        <v>126</v>
      </c>
      <c r="W179" s="30" t="s">
        <v>2764</v>
      </c>
      <c r="X179" s="30" t="s">
        <v>2765</v>
      </c>
      <c r="Y179" s="30" t="s">
        <v>31</v>
      </c>
      <c r="Z179" s="30" t="s">
        <v>94</v>
      </c>
      <c r="AA179" s="30" t="s">
        <v>2766</v>
      </c>
      <c r="AB179" s="30" t="s">
        <v>2767</v>
      </c>
      <c r="AC179" s="30" t="s">
        <v>31</v>
      </c>
      <c r="AD179" s="30" t="s">
        <v>94</v>
      </c>
      <c r="AE179" s="30" t="s">
        <v>134</v>
      </c>
    </row>
    <row r="180" ht="22.5" customHeight="1">
      <c r="A180" s="28">
        <v>46240.76259233797</v>
      </c>
      <c r="B180" s="30" t="s">
        <v>2768</v>
      </c>
      <c r="C180" s="30" t="s">
        <v>2769</v>
      </c>
      <c r="D180" s="30" t="s">
        <v>82</v>
      </c>
      <c r="E180" s="30" t="s">
        <v>2770</v>
      </c>
      <c r="F180" s="30" t="s">
        <v>2771</v>
      </c>
      <c r="G180" s="30" t="s">
        <v>31</v>
      </c>
      <c r="H180" s="30" t="s">
        <v>126</v>
      </c>
      <c r="I180" s="30">
        <v>7.550029696E9</v>
      </c>
      <c r="J180" s="30" t="s">
        <v>2768</v>
      </c>
      <c r="K180" s="30" t="s">
        <v>2772</v>
      </c>
      <c r="L180" s="30" t="s">
        <v>2773</v>
      </c>
      <c r="M180" s="30" t="s">
        <v>31</v>
      </c>
      <c r="N180" s="30" t="s">
        <v>126</v>
      </c>
      <c r="O180" s="30" t="s">
        <v>2774</v>
      </c>
      <c r="P180" s="30" t="s">
        <v>2775</v>
      </c>
      <c r="Q180" s="30" t="s">
        <v>31</v>
      </c>
      <c r="R180" s="30" t="s">
        <v>126</v>
      </c>
      <c r="S180" s="30" t="s">
        <v>2776</v>
      </c>
      <c r="T180" s="30" t="s">
        <v>2777</v>
      </c>
      <c r="U180" s="30" t="s">
        <v>31</v>
      </c>
      <c r="V180" s="30" t="s">
        <v>126</v>
      </c>
      <c r="W180" s="30" t="s">
        <v>2778</v>
      </c>
      <c r="X180" s="30" t="s">
        <v>2779</v>
      </c>
      <c r="Y180" s="30" t="s">
        <v>31</v>
      </c>
      <c r="Z180" s="30" t="s">
        <v>178</v>
      </c>
      <c r="AA180" s="30" t="s">
        <v>2780</v>
      </c>
      <c r="AB180" s="30" t="s">
        <v>2781</v>
      </c>
      <c r="AC180" s="30" t="s">
        <v>31</v>
      </c>
      <c r="AD180" s="30" t="s">
        <v>94</v>
      </c>
      <c r="AE180" s="30" t="s">
        <v>134</v>
      </c>
    </row>
    <row r="181" ht="22.5" customHeight="1">
      <c r="A181" s="28">
        <v>46240.79812435185</v>
      </c>
      <c r="B181" s="30" t="s">
        <v>2782</v>
      </c>
      <c r="C181" s="30" t="s">
        <v>61</v>
      </c>
      <c r="D181" s="30" t="s">
        <v>193</v>
      </c>
      <c r="E181" s="30" t="s">
        <v>2783</v>
      </c>
      <c r="F181" s="30" t="s">
        <v>62</v>
      </c>
      <c r="G181" s="30" t="s">
        <v>31</v>
      </c>
      <c r="H181" s="30" t="s">
        <v>22</v>
      </c>
      <c r="I181" s="30">
        <v>8.83810202E9</v>
      </c>
      <c r="J181" s="30" t="s">
        <v>2782</v>
      </c>
      <c r="K181" s="30" t="s">
        <v>2784</v>
      </c>
      <c r="L181" s="30" t="s">
        <v>2785</v>
      </c>
      <c r="M181" s="30" t="s">
        <v>31</v>
      </c>
      <c r="N181" s="30" t="s">
        <v>22</v>
      </c>
      <c r="O181" s="30" t="s">
        <v>2786</v>
      </c>
      <c r="P181" s="30" t="s">
        <v>2787</v>
      </c>
      <c r="Q181" s="30" t="s">
        <v>31</v>
      </c>
      <c r="R181" s="30" t="s">
        <v>22</v>
      </c>
      <c r="S181" s="30" t="s">
        <v>2788</v>
      </c>
      <c r="T181" s="30" t="s">
        <v>2789</v>
      </c>
      <c r="U181" s="30" t="s">
        <v>31</v>
      </c>
      <c r="V181" s="30" t="s">
        <v>219</v>
      </c>
      <c r="W181" s="30" t="s">
        <v>2790</v>
      </c>
      <c r="X181" s="30" t="s">
        <v>2791</v>
      </c>
      <c r="Y181" s="30" t="s">
        <v>31</v>
      </c>
      <c r="Z181" s="30" t="s">
        <v>243</v>
      </c>
      <c r="AA181" s="30" t="s">
        <v>2792</v>
      </c>
      <c r="AB181" s="30" t="s">
        <v>2793</v>
      </c>
      <c r="AC181" s="30" t="s">
        <v>31</v>
      </c>
      <c r="AD181" s="30" t="s">
        <v>243</v>
      </c>
      <c r="AE181" s="30" t="s">
        <v>134</v>
      </c>
    </row>
    <row r="182" ht="22.5" customHeight="1">
      <c r="A182" s="28">
        <v>46240.82789990741</v>
      </c>
      <c r="B182" s="30" t="s">
        <v>2794</v>
      </c>
      <c r="C182" s="30" t="s">
        <v>227</v>
      </c>
      <c r="D182" s="30" t="s">
        <v>193</v>
      </c>
      <c r="E182" s="30" t="s">
        <v>2795</v>
      </c>
      <c r="F182" s="51" t="s">
        <v>228</v>
      </c>
      <c r="G182" s="30" t="s">
        <v>31</v>
      </c>
      <c r="H182" s="30" t="s">
        <v>219</v>
      </c>
      <c r="I182" s="30">
        <v>8.489738089E9</v>
      </c>
      <c r="J182" s="30" t="s">
        <v>2796</v>
      </c>
      <c r="K182" s="30" t="s">
        <v>803</v>
      </c>
      <c r="L182" s="30" t="s">
        <v>2797</v>
      </c>
      <c r="M182" s="30" t="s">
        <v>31</v>
      </c>
      <c r="N182" s="30" t="s">
        <v>219</v>
      </c>
      <c r="O182" s="30" t="s">
        <v>2798</v>
      </c>
      <c r="P182" s="30" t="s">
        <v>2799</v>
      </c>
      <c r="Q182" s="30" t="s">
        <v>31</v>
      </c>
      <c r="R182" s="30" t="s">
        <v>219</v>
      </c>
      <c r="S182" s="30" t="s">
        <v>2800</v>
      </c>
      <c r="T182" s="30" t="s">
        <v>2801</v>
      </c>
      <c r="U182" s="30" t="s">
        <v>31</v>
      </c>
      <c r="V182" s="30" t="s">
        <v>126</v>
      </c>
      <c r="W182" s="30" t="s">
        <v>803</v>
      </c>
      <c r="X182" s="30" t="s">
        <v>2802</v>
      </c>
      <c r="Y182" s="30" t="s">
        <v>31</v>
      </c>
      <c r="Z182" s="30" t="s">
        <v>219</v>
      </c>
      <c r="AA182" s="30" t="s">
        <v>803</v>
      </c>
      <c r="AB182" s="30" t="s">
        <v>2803</v>
      </c>
      <c r="AC182" s="30" t="s">
        <v>31</v>
      </c>
      <c r="AD182" s="30" t="s">
        <v>280</v>
      </c>
      <c r="AE182" s="30" t="s">
        <v>134</v>
      </c>
    </row>
    <row r="183" ht="22.5" customHeight="1">
      <c r="A183" s="28">
        <v>46240.854571041666</v>
      </c>
      <c r="B183" s="30" t="s">
        <v>2804</v>
      </c>
      <c r="C183" s="30" t="s">
        <v>2805</v>
      </c>
      <c r="D183" s="30" t="s">
        <v>82</v>
      </c>
      <c r="E183" s="30" t="s">
        <v>2806</v>
      </c>
      <c r="F183" s="30" t="s">
        <v>2807</v>
      </c>
      <c r="G183" s="30" t="s">
        <v>31</v>
      </c>
      <c r="H183" s="30" t="s">
        <v>219</v>
      </c>
      <c r="I183" s="30">
        <v>9.345292221E9</v>
      </c>
      <c r="J183" s="30" t="s">
        <v>2808</v>
      </c>
      <c r="K183" s="30" t="s">
        <v>2809</v>
      </c>
      <c r="L183" s="30" t="s">
        <v>2810</v>
      </c>
      <c r="M183" s="30" t="s">
        <v>31</v>
      </c>
      <c r="N183" s="30" t="s">
        <v>219</v>
      </c>
      <c r="O183" s="30" t="s">
        <v>2811</v>
      </c>
      <c r="P183" s="30" t="s">
        <v>2812</v>
      </c>
      <c r="Q183" s="30" t="s">
        <v>31</v>
      </c>
      <c r="R183" s="30" t="s">
        <v>219</v>
      </c>
      <c r="S183" s="30" t="s">
        <v>2813</v>
      </c>
      <c r="T183" s="30" t="s">
        <v>2814</v>
      </c>
      <c r="U183" s="30" t="s">
        <v>31</v>
      </c>
      <c r="V183" s="30" t="s">
        <v>69</v>
      </c>
      <c r="W183" s="30" t="s">
        <v>2815</v>
      </c>
      <c r="X183" s="30" t="s">
        <v>2816</v>
      </c>
      <c r="Y183" s="30" t="s">
        <v>31</v>
      </c>
      <c r="Z183" s="30" t="s">
        <v>69</v>
      </c>
      <c r="AA183" s="30" t="s">
        <v>2817</v>
      </c>
      <c r="AB183" s="30" t="s">
        <v>2818</v>
      </c>
      <c r="AC183" s="30" t="s">
        <v>31</v>
      </c>
      <c r="AD183" s="30" t="s">
        <v>69</v>
      </c>
      <c r="AE183" s="30" t="s">
        <v>134</v>
      </c>
    </row>
    <row r="184" ht="22.5" customHeight="1">
      <c r="A184" s="28">
        <v>46240.89078307871</v>
      </c>
      <c r="B184" s="30" t="s">
        <v>2819</v>
      </c>
      <c r="C184" s="30" t="s">
        <v>327</v>
      </c>
      <c r="D184" s="30" t="s">
        <v>82</v>
      </c>
      <c r="E184" s="30" t="s">
        <v>2820</v>
      </c>
      <c r="F184" s="30" t="s">
        <v>328</v>
      </c>
      <c r="G184" s="30" t="s">
        <v>23</v>
      </c>
      <c r="H184" s="30" t="s">
        <v>126</v>
      </c>
      <c r="I184" s="30">
        <v>9.789603102E9</v>
      </c>
      <c r="J184" s="30" t="s">
        <v>2819</v>
      </c>
      <c r="K184" s="30" t="s">
        <v>2821</v>
      </c>
      <c r="L184" s="30" t="s">
        <v>2822</v>
      </c>
      <c r="M184" s="30" t="s">
        <v>23</v>
      </c>
      <c r="N184" s="30" t="s">
        <v>126</v>
      </c>
      <c r="O184" s="30" t="s">
        <v>2823</v>
      </c>
      <c r="P184" s="30" t="s">
        <v>2824</v>
      </c>
      <c r="Q184" s="30" t="s">
        <v>23</v>
      </c>
      <c r="R184" s="30" t="s">
        <v>126</v>
      </c>
      <c r="S184" s="30" t="s">
        <v>2825</v>
      </c>
      <c r="T184" s="30" t="s">
        <v>2826</v>
      </c>
      <c r="U184" s="30" t="s">
        <v>23</v>
      </c>
      <c r="V184" s="30" t="s">
        <v>22</v>
      </c>
      <c r="W184" s="30" t="s">
        <v>2827</v>
      </c>
      <c r="X184" s="30" t="s">
        <v>2828</v>
      </c>
      <c r="Y184" s="30" t="s">
        <v>23</v>
      </c>
      <c r="Z184" s="30" t="s">
        <v>22</v>
      </c>
      <c r="AA184" s="30" t="s">
        <v>2829</v>
      </c>
      <c r="AB184" s="30" t="s">
        <v>2830</v>
      </c>
      <c r="AC184" s="30" t="s">
        <v>23</v>
      </c>
      <c r="AD184" s="30" t="s">
        <v>178</v>
      </c>
      <c r="AE184" s="30" t="s">
        <v>134</v>
      </c>
    </row>
    <row r="185" ht="22.5" customHeight="1">
      <c r="A185" s="28">
        <v>46240.89618524305</v>
      </c>
      <c r="B185" s="30" t="s">
        <v>2831</v>
      </c>
      <c r="C185" s="30" t="s">
        <v>2832</v>
      </c>
      <c r="D185" s="30" t="s">
        <v>193</v>
      </c>
      <c r="E185" s="30" t="s">
        <v>2833</v>
      </c>
      <c r="F185" s="30" t="s">
        <v>2834</v>
      </c>
      <c r="G185" s="30" t="s">
        <v>23</v>
      </c>
      <c r="H185" s="30" t="s">
        <v>178</v>
      </c>
      <c r="I185" s="30">
        <v>7.339162279E9</v>
      </c>
      <c r="J185" s="30" t="s">
        <v>2831</v>
      </c>
      <c r="K185" s="30" t="s">
        <v>2835</v>
      </c>
      <c r="L185" s="30" t="s">
        <v>2836</v>
      </c>
      <c r="M185" s="30" t="s">
        <v>23</v>
      </c>
      <c r="N185" s="30" t="s">
        <v>178</v>
      </c>
      <c r="O185" s="30" t="s">
        <v>2837</v>
      </c>
      <c r="P185" s="30" t="s">
        <v>2838</v>
      </c>
      <c r="Q185" s="30" t="s">
        <v>23</v>
      </c>
      <c r="R185" s="30" t="s">
        <v>219</v>
      </c>
      <c r="S185" s="30" t="s">
        <v>2839</v>
      </c>
      <c r="T185" s="30" t="s">
        <v>2840</v>
      </c>
      <c r="U185" s="30" t="s">
        <v>31</v>
      </c>
      <c r="V185" s="30" t="s">
        <v>178</v>
      </c>
      <c r="W185" s="30" t="s">
        <v>2841</v>
      </c>
      <c r="X185" s="30" t="s">
        <v>2842</v>
      </c>
      <c r="Y185" s="30" t="s">
        <v>31</v>
      </c>
      <c r="Z185" s="30" t="s">
        <v>69</v>
      </c>
      <c r="AA185" s="30" t="s">
        <v>2843</v>
      </c>
      <c r="AB185" s="30" t="s">
        <v>2844</v>
      </c>
      <c r="AC185" s="30" t="s">
        <v>31</v>
      </c>
      <c r="AD185" s="30" t="s">
        <v>69</v>
      </c>
      <c r="AE185" s="30" t="s">
        <v>134</v>
      </c>
    </row>
    <row r="186" ht="22.5" customHeight="1">
      <c r="A186" s="28">
        <v>46240.89765666667</v>
      </c>
      <c r="B186" s="30" t="s">
        <v>2845</v>
      </c>
      <c r="C186" s="30" t="s">
        <v>2846</v>
      </c>
      <c r="D186" s="30" t="s">
        <v>193</v>
      </c>
      <c r="E186" s="30" t="s">
        <v>2847</v>
      </c>
      <c r="F186" s="30" t="s">
        <v>2848</v>
      </c>
      <c r="G186" s="30" t="s">
        <v>23</v>
      </c>
      <c r="H186" s="30" t="s">
        <v>219</v>
      </c>
      <c r="I186" s="30">
        <v>8.667035123E9</v>
      </c>
      <c r="J186" s="30" t="s">
        <v>2845</v>
      </c>
      <c r="K186" s="30" t="s">
        <v>2849</v>
      </c>
      <c r="L186" s="30" t="s">
        <v>2850</v>
      </c>
      <c r="M186" s="30" t="s">
        <v>23</v>
      </c>
      <c r="N186" s="30" t="s">
        <v>219</v>
      </c>
      <c r="O186" s="30" t="s">
        <v>2851</v>
      </c>
      <c r="P186" s="30" t="s">
        <v>2852</v>
      </c>
      <c r="Q186" s="30" t="s">
        <v>23</v>
      </c>
      <c r="R186" s="30" t="s">
        <v>219</v>
      </c>
      <c r="S186" s="30" t="s">
        <v>2853</v>
      </c>
      <c r="T186" s="30" t="s">
        <v>2854</v>
      </c>
      <c r="U186" s="30" t="s">
        <v>23</v>
      </c>
      <c r="V186" s="30" t="s">
        <v>219</v>
      </c>
      <c r="W186" s="30" t="s">
        <v>2855</v>
      </c>
      <c r="X186" s="30" t="s">
        <v>2856</v>
      </c>
      <c r="Y186" s="30" t="s">
        <v>23</v>
      </c>
      <c r="Z186" s="30" t="s">
        <v>280</v>
      </c>
      <c r="AA186" s="30" t="s">
        <v>2857</v>
      </c>
      <c r="AB186" s="30" t="s">
        <v>2858</v>
      </c>
      <c r="AC186" s="30" t="s">
        <v>23</v>
      </c>
      <c r="AD186" s="30" t="s">
        <v>22</v>
      </c>
      <c r="AE186" s="30" t="s">
        <v>134</v>
      </c>
    </row>
    <row r="187" ht="22.5" customHeight="1">
      <c r="A187" s="28">
        <v>46240.923661759254</v>
      </c>
      <c r="B187" s="30" t="s">
        <v>2859</v>
      </c>
      <c r="C187" s="30" t="s">
        <v>331</v>
      </c>
      <c r="D187" s="30" t="s">
        <v>82</v>
      </c>
      <c r="E187" s="30" t="s">
        <v>2860</v>
      </c>
      <c r="F187" s="30" t="s">
        <v>332</v>
      </c>
      <c r="G187" s="30" t="s">
        <v>23</v>
      </c>
      <c r="H187" s="30" t="s">
        <v>126</v>
      </c>
      <c r="I187" s="30">
        <v>7.708840346E9</v>
      </c>
      <c r="J187" s="30" t="s">
        <v>2861</v>
      </c>
      <c r="K187" s="30" t="s">
        <v>2862</v>
      </c>
      <c r="L187" s="30" t="s">
        <v>2863</v>
      </c>
      <c r="M187" s="30" t="s">
        <v>23</v>
      </c>
      <c r="N187" s="30" t="s">
        <v>126</v>
      </c>
      <c r="O187" s="30" t="s">
        <v>2864</v>
      </c>
      <c r="P187" s="30" t="s">
        <v>2865</v>
      </c>
      <c r="Q187" s="30" t="s">
        <v>23</v>
      </c>
      <c r="R187" s="30" t="s">
        <v>126</v>
      </c>
      <c r="S187" s="30" t="s">
        <v>2866</v>
      </c>
      <c r="T187" s="30" t="s">
        <v>1058</v>
      </c>
      <c r="U187" s="30" t="s">
        <v>23</v>
      </c>
      <c r="V187" s="30" t="s">
        <v>219</v>
      </c>
      <c r="W187" s="30" t="s">
        <v>2867</v>
      </c>
      <c r="X187" s="30" t="s">
        <v>2868</v>
      </c>
      <c r="Y187" s="30" t="s">
        <v>23</v>
      </c>
      <c r="Z187" s="30" t="s">
        <v>126</v>
      </c>
      <c r="AA187" s="30" t="s">
        <v>2869</v>
      </c>
      <c r="AB187" s="30" t="s">
        <v>2870</v>
      </c>
      <c r="AC187" s="30" t="s">
        <v>23</v>
      </c>
      <c r="AD187" s="30" t="s">
        <v>219</v>
      </c>
      <c r="AE187" s="30" t="s">
        <v>134</v>
      </c>
    </row>
    <row r="188" ht="22.5" customHeight="1">
      <c r="A188" s="28">
        <v>46240.924642094906</v>
      </c>
      <c r="B188" s="30" t="s">
        <v>2871</v>
      </c>
      <c r="C188" s="30" t="s">
        <v>186</v>
      </c>
      <c r="D188" s="30" t="s">
        <v>193</v>
      </c>
      <c r="E188" s="30" t="s">
        <v>2872</v>
      </c>
      <c r="F188" s="30" t="s">
        <v>187</v>
      </c>
      <c r="G188" s="30" t="s">
        <v>31</v>
      </c>
      <c r="H188" s="30" t="s">
        <v>94</v>
      </c>
      <c r="I188" s="30">
        <v>8.248894369E9</v>
      </c>
      <c r="J188" s="30" t="s">
        <v>2871</v>
      </c>
      <c r="K188" s="30" t="s">
        <v>2873</v>
      </c>
      <c r="L188" s="30" t="s">
        <v>2874</v>
      </c>
      <c r="M188" s="30" t="s">
        <v>31</v>
      </c>
      <c r="N188" s="30" t="s">
        <v>94</v>
      </c>
      <c r="O188" s="30" t="s">
        <v>2875</v>
      </c>
      <c r="P188" s="30" t="s">
        <v>2876</v>
      </c>
      <c r="Q188" s="30" t="s">
        <v>31</v>
      </c>
      <c r="R188" s="30" t="s">
        <v>94</v>
      </c>
      <c r="S188" s="30" t="s">
        <v>2877</v>
      </c>
      <c r="T188" s="30" t="s">
        <v>2878</v>
      </c>
      <c r="U188" s="30" t="s">
        <v>31</v>
      </c>
      <c r="V188" s="30" t="s">
        <v>126</v>
      </c>
      <c r="W188" s="30" t="s">
        <v>2879</v>
      </c>
      <c r="X188" s="30" t="s">
        <v>2880</v>
      </c>
      <c r="Y188" s="30" t="s">
        <v>31</v>
      </c>
      <c r="Z188" s="30" t="s">
        <v>78</v>
      </c>
      <c r="AA188" s="30" t="s">
        <v>2881</v>
      </c>
      <c r="AB188" s="30" t="s">
        <v>2882</v>
      </c>
      <c r="AC188" s="30" t="s">
        <v>31</v>
      </c>
      <c r="AD188" s="30" t="s">
        <v>2883</v>
      </c>
      <c r="AE188" s="30" t="s">
        <v>134</v>
      </c>
    </row>
    <row r="189" ht="22.5" customHeight="1">
      <c r="A189" s="28">
        <v>46240.93367412037</v>
      </c>
      <c r="B189" s="30" t="s">
        <v>2884</v>
      </c>
      <c r="C189" s="30" t="s">
        <v>272</v>
      </c>
      <c r="D189" s="30" t="s">
        <v>193</v>
      </c>
      <c r="E189" s="30" t="s">
        <v>2885</v>
      </c>
      <c r="F189" s="30" t="s">
        <v>273</v>
      </c>
      <c r="G189" s="30" t="s">
        <v>31</v>
      </c>
      <c r="H189" s="30" t="s">
        <v>243</v>
      </c>
      <c r="I189" s="30">
        <v>9.150773538E9</v>
      </c>
      <c r="J189" s="30" t="s">
        <v>2884</v>
      </c>
      <c r="K189" s="30" t="s">
        <v>2886</v>
      </c>
      <c r="L189" s="30" t="s">
        <v>2887</v>
      </c>
      <c r="M189" s="30" t="s">
        <v>31</v>
      </c>
      <c r="N189" s="30" t="s">
        <v>243</v>
      </c>
      <c r="O189" s="30" t="s">
        <v>2888</v>
      </c>
      <c r="P189" s="30" t="s">
        <v>2889</v>
      </c>
      <c r="Q189" s="30" t="s">
        <v>31</v>
      </c>
      <c r="R189" s="30" t="s">
        <v>243</v>
      </c>
      <c r="S189" s="30" t="s">
        <v>2890</v>
      </c>
      <c r="T189" s="30" t="s">
        <v>2891</v>
      </c>
      <c r="U189" s="30" t="s">
        <v>31</v>
      </c>
      <c r="V189" s="30" t="s">
        <v>243</v>
      </c>
      <c r="W189" s="30" t="s">
        <v>2892</v>
      </c>
      <c r="X189" s="30" t="s">
        <v>2893</v>
      </c>
      <c r="Y189" s="30" t="s">
        <v>31</v>
      </c>
      <c r="Z189" s="30" t="s">
        <v>243</v>
      </c>
      <c r="AA189" s="30" t="s">
        <v>2894</v>
      </c>
      <c r="AB189" s="30" t="s">
        <v>2895</v>
      </c>
      <c r="AC189" s="30" t="s">
        <v>31</v>
      </c>
      <c r="AD189" s="30" t="s">
        <v>280</v>
      </c>
      <c r="AE189" s="30" t="s">
        <v>134</v>
      </c>
    </row>
    <row r="190" ht="22.5" customHeight="1">
      <c r="A190" s="28">
        <v>46240.96751017361</v>
      </c>
      <c r="B190" s="30" t="s">
        <v>2896</v>
      </c>
      <c r="C190" s="30" t="s">
        <v>232</v>
      </c>
      <c r="D190" s="30" t="s">
        <v>82</v>
      </c>
      <c r="E190" s="30" t="s">
        <v>2897</v>
      </c>
      <c r="F190" s="30" t="s">
        <v>233</v>
      </c>
      <c r="G190" s="30" t="s">
        <v>31</v>
      </c>
      <c r="H190" s="30" t="s">
        <v>219</v>
      </c>
      <c r="I190" s="30">
        <v>9.003467159E9</v>
      </c>
      <c r="J190" s="30" t="s">
        <v>2898</v>
      </c>
      <c r="K190" s="30" t="s">
        <v>2899</v>
      </c>
      <c r="L190" s="30" t="s">
        <v>2900</v>
      </c>
      <c r="M190" s="30" t="s">
        <v>31</v>
      </c>
      <c r="N190" s="30" t="s">
        <v>219</v>
      </c>
      <c r="O190" s="30" t="s">
        <v>2901</v>
      </c>
      <c r="P190" s="30" t="s">
        <v>2902</v>
      </c>
      <c r="Q190" s="30" t="s">
        <v>31</v>
      </c>
      <c r="R190" s="30" t="s">
        <v>219</v>
      </c>
      <c r="S190" s="30" t="s">
        <v>2903</v>
      </c>
      <c r="T190" s="30" t="s">
        <v>2904</v>
      </c>
      <c r="U190" s="30" t="s">
        <v>31</v>
      </c>
      <c r="V190" s="30" t="s">
        <v>219</v>
      </c>
      <c r="W190" s="30" t="s">
        <v>2905</v>
      </c>
      <c r="X190" s="30" t="s">
        <v>2906</v>
      </c>
      <c r="Y190" s="30" t="s">
        <v>31</v>
      </c>
      <c r="Z190" s="30" t="s">
        <v>178</v>
      </c>
      <c r="AA190" s="30" t="s">
        <v>2907</v>
      </c>
      <c r="AB190" s="30" t="s">
        <v>2908</v>
      </c>
      <c r="AC190" s="30" t="s">
        <v>31</v>
      </c>
      <c r="AD190" s="30" t="s">
        <v>178</v>
      </c>
      <c r="AE190" s="30" t="s">
        <v>134</v>
      </c>
    </row>
    <row r="191" ht="22.5" customHeight="1">
      <c r="A191" s="28">
        <v>46240.969265127314</v>
      </c>
      <c r="B191" s="30" t="s">
        <v>2909</v>
      </c>
      <c r="C191" s="30" t="s">
        <v>2910</v>
      </c>
      <c r="D191" s="30" t="s">
        <v>82</v>
      </c>
      <c r="E191" s="30" t="s">
        <v>2911</v>
      </c>
      <c r="F191" s="30" t="s">
        <v>2912</v>
      </c>
      <c r="G191" s="30" t="s">
        <v>31</v>
      </c>
      <c r="H191" s="30" t="s">
        <v>94</v>
      </c>
      <c r="I191" s="30">
        <v>8.2208165E9</v>
      </c>
      <c r="J191" s="30" t="s">
        <v>2913</v>
      </c>
      <c r="K191" s="30" t="s">
        <v>2914</v>
      </c>
      <c r="L191" s="30" t="s">
        <v>2915</v>
      </c>
      <c r="M191" s="30" t="s">
        <v>31</v>
      </c>
      <c r="N191" s="30" t="s">
        <v>94</v>
      </c>
      <c r="O191" s="30" t="s">
        <v>2916</v>
      </c>
      <c r="P191" s="30" t="s">
        <v>2917</v>
      </c>
      <c r="Q191" s="30" t="s">
        <v>31</v>
      </c>
      <c r="R191" s="30" t="s">
        <v>94</v>
      </c>
      <c r="S191" s="30" t="s">
        <v>2918</v>
      </c>
      <c r="T191" s="30" t="s">
        <v>2919</v>
      </c>
      <c r="U191" s="30" t="s">
        <v>31</v>
      </c>
      <c r="V191" s="30" t="s">
        <v>94</v>
      </c>
      <c r="W191" s="30" t="s">
        <v>2920</v>
      </c>
      <c r="X191" s="30" t="s">
        <v>2921</v>
      </c>
      <c r="Y191" s="30" t="s">
        <v>31</v>
      </c>
      <c r="Z191" s="30" t="s">
        <v>22</v>
      </c>
      <c r="AA191" s="30" t="s">
        <v>2922</v>
      </c>
      <c r="AB191" s="30" t="s">
        <v>2923</v>
      </c>
      <c r="AC191" s="30" t="s">
        <v>31</v>
      </c>
      <c r="AD191" s="30" t="s">
        <v>94</v>
      </c>
      <c r="AE191" s="30" t="s">
        <v>134</v>
      </c>
    </row>
    <row r="192" ht="22.5" customHeight="1">
      <c r="A192" s="28">
        <v>46241.38470369213</v>
      </c>
      <c r="B192" s="30" t="s">
        <v>2924</v>
      </c>
      <c r="C192" s="30" t="s">
        <v>2925</v>
      </c>
      <c r="D192" s="30" t="s">
        <v>193</v>
      </c>
      <c r="E192" s="30" t="s">
        <v>2926</v>
      </c>
      <c r="F192" s="30" t="s">
        <v>2927</v>
      </c>
      <c r="G192" s="30" t="s">
        <v>23</v>
      </c>
      <c r="H192" s="30" t="s">
        <v>69</v>
      </c>
      <c r="I192" s="30">
        <v>9.363622164E9</v>
      </c>
      <c r="J192" s="30" t="s">
        <v>2924</v>
      </c>
      <c r="K192" s="30" t="s">
        <v>2928</v>
      </c>
      <c r="L192" s="30" t="s">
        <v>2929</v>
      </c>
      <c r="M192" s="30" t="s">
        <v>23</v>
      </c>
      <c r="N192" s="30" t="s">
        <v>69</v>
      </c>
      <c r="O192" s="30" t="s">
        <v>2930</v>
      </c>
      <c r="P192" s="30" t="s">
        <v>2931</v>
      </c>
      <c r="Q192" s="30" t="s">
        <v>23</v>
      </c>
      <c r="R192" s="30" t="s">
        <v>219</v>
      </c>
      <c r="S192" s="30" t="s">
        <v>2932</v>
      </c>
      <c r="T192" s="30" t="s">
        <v>2933</v>
      </c>
      <c r="U192" s="30" t="s">
        <v>23</v>
      </c>
      <c r="V192" s="30" t="s">
        <v>22</v>
      </c>
      <c r="W192" s="30" t="s">
        <v>2934</v>
      </c>
      <c r="X192" s="30" t="s">
        <v>2935</v>
      </c>
      <c r="Y192" s="30" t="s">
        <v>23</v>
      </c>
      <c r="Z192" s="30" t="s">
        <v>22</v>
      </c>
      <c r="AA192" s="30" t="s">
        <v>2936</v>
      </c>
      <c r="AB192" s="30" t="s">
        <v>2937</v>
      </c>
      <c r="AC192" s="30" t="s">
        <v>23</v>
      </c>
      <c r="AD192" s="30" t="s">
        <v>22</v>
      </c>
      <c r="AE192" s="30" t="s">
        <v>134</v>
      </c>
    </row>
    <row r="193" ht="22.5" customHeight="1">
      <c r="A193" s="28">
        <v>46241.40428340278</v>
      </c>
      <c r="B193" s="30" t="s">
        <v>2938</v>
      </c>
      <c r="C193" s="30" t="s">
        <v>2939</v>
      </c>
      <c r="D193" s="30" t="s">
        <v>193</v>
      </c>
      <c r="E193" s="30" t="s">
        <v>2940</v>
      </c>
      <c r="F193" s="30" t="s">
        <v>2941</v>
      </c>
      <c r="G193" s="30" t="s">
        <v>23</v>
      </c>
      <c r="H193" s="30" t="s">
        <v>69</v>
      </c>
      <c r="I193" s="30">
        <v>9.360645466E9</v>
      </c>
      <c r="J193" s="30" t="s">
        <v>2938</v>
      </c>
      <c r="K193" s="30" t="s">
        <v>2942</v>
      </c>
      <c r="L193" s="30" t="s">
        <v>2943</v>
      </c>
      <c r="M193" s="30" t="s">
        <v>23</v>
      </c>
      <c r="N193" s="30" t="s">
        <v>69</v>
      </c>
      <c r="O193" s="30" t="s">
        <v>2944</v>
      </c>
      <c r="P193" s="30" t="s">
        <v>2945</v>
      </c>
      <c r="Q193" s="30" t="s">
        <v>23</v>
      </c>
      <c r="R193" s="30" t="s">
        <v>94</v>
      </c>
      <c r="S193" s="30" t="s">
        <v>2946</v>
      </c>
      <c r="T193" s="30" t="s">
        <v>2947</v>
      </c>
      <c r="U193" s="30" t="s">
        <v>23</v>
      </c>
      <c r="V193" s="30" t="s">
        <v>78</v>
      </c>
      <c r="W193" s="30" t="s">
        <v>2948</v>
      </c>
      <c r="X193" s="30" t="s">
        <v>2949</v>
      </c>
      <c r="Y193" s="30" t="s">
        <v>23</v>
      </c>
      <c r="Z193" s="30" t="s">
        <v>94</v>
      </c>
      <c r="AA193" s="30" t="s">
        <v>2950</v>
      </c>
      <c r="AB193" s="30" t="s">
        <v>2951</v>
      </c>
      <c r="AC193" s="30" t="s">
        <v>23</v>
      </c>
      <c r="AD193" s="30" t="s">
        <v>69</v>
      </c>
      <c r="AE193" s="30" t="s">
        <v>134</v>
      </c>
    </row>
    <row r="194" ht="22.5" customHeight="1">
      <c r="A194" s="28">
        <v>46241.42039775463</v>
      </c>
      <c r="B194" s="30" t="s">
        <v>2952</v>
      </c>
      <c r="C194" s="30" t="s">
        <v>277</v>
      </c>
      <c r="D194" s="30" t="s">
        <v>193</v>
      </c>
      <c r="E194" s="30" t="s">
        <v>2953</v>
      </c>
      <c r="F194" s="30" t="s">
        <v>278</v>
      </c>
      <c r="G194" s="30" t="s">
        <v>31</v>
      </c>
      <c r="H194" s="30" t="s">
        <v>243</v>
      </c>
      <c r="I194" s="30">
        <v>9.600443377E9</v>
      </c>
      <c r="J194" s="30" t="s">
        <v>2954</v>
      </c>
      <c r="K194" s="30" t="s">
        <v>2955</v>
      </c>
      <c r="L194" s="30" t="s">
        <v>2956</v>
      </c>
      <c r="M194" s="30" t="s">
        <v>31</v>
      </c>
      <c r="N194" s="30" t="s">
        <v>243</v>
      </c>
      <c r="O194" s="30" t="s">
        <v>2957</v>
      </c>
      <c r="P194" s="30" t="s">
        <v>2958</v>
      </c>
      <c r="Q194" s="30" t="s">
        <v>31</v>
      </c>
      <c r="R194" s="30" t="s">
        <v>243</v>
      </c>
      <c r="S194" s="30" t="s">
        <v>2959</v>
      </c>
      <c r="T194" s="30" t="s">
        <v>2960</v>
      </c>
      <c r="U194" s="30" t="s">
        <v>31</v>
      </c>
      <c r="V194" s="30" t="s">
        <v>243</v>
      </c>
      <c r="W194" s="30" t="s">
        <v>2961</v>
      </c>
      <c r="X194" s="30" t="s">
        <v>705</v>
      </c>
      <c r="Y194" s="30" t="s">
        <v>31</v>
      </c>
      <c r="Z194" s="30" t="s">
        <v>94</v>
      </c>
      <c r="AA194" s="30" t="s">
        <v>2962</v>
      </c>
      <c r="AB194" s="30" t="s">
        <v>2963</v>
      </c>
      <c r="AC194" s="30" t="s">
        <v>31</v>
      </c>
      <c r="AD194" s="30" t="s">
        <v>126</v>
      </c>
      <c r="AE194" s="30" t="s">
        <v>134</v>
      </c>
    </row>
    <row r="195" ht="22.5" customHeight="1">
      <c r="A195" s="28">
        <v>46241.44625059028</v>
      </c>
      <c r="B195" s="30" t="s">
        <v>2964</v>
      </c>
      <c r="C195" s="30" t="s">
        <v>2965</v>
      </c>
      <c r="D195" s="30" t="s">
        <v>193</v>
      </c>
      <c r="E195" s="30" t="s">
        <v>2966</v>
      </c>
      <c r="F195" s="30" t="s">
        <v>2967</v>
      </c>
      <c r="G195" s="30" t="s">
        <v>23</v>
      </c>
      <c r="H195" s="30" t="s">
        <v>94</v>
      </c>
      <c r="I195" s="30">
        <v>8.677002836E9</v>
      </c>
      <c r="J195" s="30" t="s">
        <v>2968</v>
      </c>
      <c r="K195" s="30" t="s">
        <v>2969</v>
      </c>
      <c r="L195" s="30" t="s">
        <v>2970</v>
      </c>
      <c r="M195" s="30" t="s">
        <v>23</v>
      </c>
      <c r="N195" s="30" t="s">
        <v>94</v>
      </c>
      <c r="O195" s="30" t="s">
        <v>2971</v>
      </c>
      <c r="P195" s="30" t="s">
        <v>2972</v>
      </c>
      <c r="Q195" s="30" t="s">
        <v>23</v>
      </c>
      <c r="R195" s="30" t="s">
        <v>94</v>
      </c>
      <c r="S195" s="30" t="s">
        <v>2973</v>
      </c>
      <c r="T195" s="30" t="s">
        <v>2974</v>
      </c>
      <c r="U195" s="30" t="s">
        <v>23</v>
      </c>
      <c r="V195" s="30" t="s">
        <v>94</v>
      </c>
      <c r="W195" s="30" t="s">
        <v>2975</v>
      </c>
      <c r="X195" s="30" t="s">
        <v>2976</v>
      </c>
      <c r="Y195" s="30" t="s">
        <v>23</v>
      </c>
      <c r="Z195" s="30" t="s">
        <v>69</v>
      </c>
      <c r="AA195" s="30" t="s">
        <v>2977</v>
      </c>
      <c r="AB195" s="30" t="s">
        <v>2978</v>
      </c>
      <c r="AC195" s="30" t="s">
        <v>23</v>
      </c>
      <c r="AD195" s="30" t="s">
        <v>69</v>
      </c>
      <c r="AE195" s="30" t="s">
        <v>134</v>
      </c>
    </row>
    <row r="196" ht="22.5" customHeight="1">
      <c r="A196" s="28">
        <v>46241.455305208336</v>
      </c>
      <c r="B196" s="30" t="s">
        <v>2979</v>
      </c>
      <c r="C196" s="30" t="s">
        <v>2980</v>
      </c>
      <c r="D196" s="30" t="s">
        <v>193</v>
      </c>
      <c r="E196" s="30" t="s">
        <v>2981</v>
      </c>
      <c r="F196" s="30" t="s">
        <v>2982</v>
      </c>
      <c r="G196" s="30" t="s">
        <v>23</v>
      </c>
      <c r="H196" s="30" t="s">
        <v>219</v>
      </c>
      <c r="I196" s="30">
        <v>7.01040579E9</v>
      </c>
      <c r="J196" s="30" t="s">
        <v>2983</v>
      </c>
      <c r="K196" s="30" t="s">
        <v>2984</v>
      </c>
      <c r="L196" s="30" t="s">
        <v>2985</v>
      </c>
      <c r="M196" s="30" t="s">
        <v>23</v>
      </c>
      <c r="N196" s="30" t="s">
        <v>219</v>
      </c>
      <c r="O196" s="30" t="s">
        <v>2986</v>
      </c>
      <c r="P196" s="30" t="s">
        <v>2987</v>
      </c>
      <c r="Q196" s="30" t="s">
        <v>23</v>
      </c>
      <c r="R196" s="30" t="s">
        <v>219</v>
      </c>
      <c r="S196" s="30" t="s">
        <v>2988</v>
      </c>
      <c r="T196" s="30" t="s">
        <v>2989</v>
      </c>
      <c r="U196" s="30" t="s">
        <v>23</v>
      </c>
      <c r="V196" s="30" t="s">
        <v>219</v>
      </c>
      <c r="W196" s="30" t="s">
        <v>2990</v>
      </c>
      <c r="X196" s="30" t="s">
        <v>2991</v>
      </c>
      <c r="Y196" s="30" t="s">
        <v>23</v>
      </c>
      <c r="Z196" s="30" t="s">
        <v>178</v>
      </c>
      <c r="AA196" s="30" t="s">
        <v>2992</v>
      </c>
      <c r="AB196" s="30" t="s">
        <v>2993</v>
      </c>
      <c r="AC196" s="30" t="s">
        <v>23</v>
      </c>
      <c r="AD196" s="30" t="s">
        <v>126</v>
      </c>
      <c r="AE196" s="30" t="s">
        <v>134</v>
      </c>
    </row>
    <row r="197" ht="22.5" customHeight="1">
      <c r="A197" s="28">
        <v>46241.47179913195</v>
      </c>
      <c r="B197" s="30" t="s">
        <v>2994</v>
      </c>
      <c r="C197" s="30" t="s">
        <v>2995</v>
      </c>
      <c r="D197" s="30" t="s">
        <v>82</v>
      </c>
      <c r="E197" s="30" t="s">
        <v>2996</v>
      </c>
      <c r="F197" s="30" t="s">
        <v>2995</v>
      </c>
      <c r="G197" s="30" t="s">
        <v>23</v>
      </c>
      <c r="H197" s="30" t="s">
        <v>219</v>
      </c>
      <c r="I197" s="30">
        <v>6.38241762E9</v>
      </c>
      <c r="J197" s="30" t="s">
        <v>2994</v>
      </c>
      <c r="K197" s="30" t="s">
        <v>2997</v>
      </c>
      <c r="L197" s="30" t="s">
        <v>2998</v>
      </c>
      <c r="M197" s="30" t="s">
        <v>23</v>
      </c>
      <c r="N197" s="30" t="s">
        <v>219</v>
      </c>
      <c r="O197" s="30" t="s">
        <v>2999</v>
      </c>
      <c r="P197" s="30" t="s">
        <v>3000</v>
      </c>
      <c r="Q197" s="30" t="s">
        <v>23</v>
      </c>
      <c r="R197" s="30" t="s">
        <v>219</v>
      </c>
      <c r="S197" s="30" t="s">
        <v>3001</v>
      </c>
      <c r="T197" s="30" t="s">
        <v>3002</v>
      </c>
      <c r="U197" s="30" t="s">
        <v>23</v>
      </c>
      <c r="V197" s="30" t="s">
        <v>219</v>
      </c>
      <c r="W197" s="30" t="s">
        <v>3003</v>
      </c>
      <c r="X197" s="30" t="s">
        <v>3004</v>
      </c>
      <c r="Y197" s="30" t="s">
        <v>23</v>
      </c>
      <c r="Z197" s="30" t="s">
        <v>69</v>
      </c>
      <c r="AA197" s="30" t="s">
        <v>3005</v>
      </c>
      <c r="AB197" s="30" t="s">
        <v>3006</v>
      </c>
      <c r="AC197" s="30" t="s">
        <v>23</v>
      </c>
      <c r="AD197" s="30" t="s">
        <v>126</v>
      </c>
      <c r="AE197" s="30" t="s">
        <v>134</v>
      </c>
    </row>
    <row r="198" ht="22.5" customHeight="1">
      <c r="A198" s="28">
        <v>46241.48838569444</v>
      </c>
      <c r="B198" s="30" t="s">
        <v>3007</v>
      </c>
      <c r="C198" s="30" t="s">
        <v>3008</v>
      </c>
      <c r="D198" s="30" t="s">
        <v>193</v>
      </c>
      <c r="E198" s="30" t="s">
        <v>3009</v>
      </c>
      <c r="F198" s="30" t="s">
        <v>3010</v>
      </c>
      <c r="G198" s="30" t="s">
        <v>23</v>
      </c>
      <c r="H198" s="30" t="s">
        <v>243</v>
      </c>
      <c r="I198" s="30">
        <v>6.379831587E9</v>
      </c>
      <c r="J198" s="30" t="s">
        <v>3007</v>
      </c>
      <c r="K198" s="30" t="s">
        <v>3011</v>
      </c>
      <c r="L198" s="30" t="s">
        <v>3012</v>
      </c>
      <c r="M198" s="30" t="s">
        <v>23</v>
      </c>
      <c r="N198" s="30" t="s">
        <v>94</v>
      </c>
      <c r="O198" s="30" t="s">
        <v>3013</v>
      </c>
      <c r="P198" s="30" t="s">
        <v>3014</v>
      </c>
      <c r="Q198" s="30" t="s">
        <v>23</v>
      </c>
      <c r="R198" s="30" t="s">
        <v>243</v>
      </c>
      <c r="S198" s="30" t="s">
        <v>3015</v>
      </c>
      <c r="T198" s="30" t="s">
        <v>3016</v>
      </c>
      <c r="U198" s="30" t="s">
        <v>23</v>
      </c>
      <c r="V198" s="30" t="s">
        <v>243</v>
      </c>
      <c r="W198" s="30" t="s">
        <v>3017</v>
      </c>
      <c r="X198" s="30" t="s">
        <v>3018</v>
      </c>
      <c r="Y198" s="30" t="s">
        <v>23</v>
      </c>
      <c r="Z198" s="30" t="s">
        <v>243</v>
      </c>
      <c r="AA198" s="30" t="s">
        <v>3019</v>
      </c>
      <c r="AB198" s="30" t="s">
        <v>3020</v>
      </c>
      <c r="AC198" s="30" t="s">
        <v>31</v>
      </c>
      <c r="AD198" s="30" t="s">
        <v>126</v>
      </c>
      <c r="AE198" s="30" t="s">
        <v>134</v>
      </c>
    </row>
    <row r="199" ht="22.5" customHeight="1">
      <c r="A199" s="28">
        <v>46241.48864105324</v>
      </c>
      <c r="B199" s="30" t="s">
        <v>3021</v>
      </c>
      <c r="C199" s="30" t="s">
        <v>3022</v>
      </c>
      <c r="D199" s="30" t="s">
        <v>193</v>
      </c>
      <c r="E199" s="30" t="s">
        <v>3023</v>
      </c>
      <c r="F199" s="30" t="s">
        <v>3024</v>
      </c>
      <c r="G199" s="30" t="s">
        <v>23</v>
      </c>
      <c r="H199" s="30" t="s">
        <v>22</v>
      </c>
      <c r="I199" s="30">
        <v>6.383191041E9</v>
      </c>
      <c r="J199" s="30" t="s">
        <v>3025</v>
      </c>
      <c r="K199" s="30" t="s">
        <v>3026</v>
      </c>
      <c r="L199" s="30" t="s">
        <v>3027</v>
      </c>
      <c r="M199" s="30" t="s">
        <v>23</v>
      </c>
      <c r="N199" s="30" t="s">
        <v>22</v>
      </c>
      <c r="O199" s="30" t="s">
        <v>3028</v>
      </c>
      <c r="P199" s="30" t="s">
        <v>3029</v>
      </c>
      <c r="Q199" s="30" t="s">
        <v>23</v>
      </c>
      <c r="R199" s="30" t="s">
        <v>94</v>
      </c>
      <c r="S199" s="30" t="s">
        <v>3030</v>
      </c>
      <c r="T199" s="30" t="s">
        <v>3031</v>
      </c>
      <c r="U199" s="30" t="s">
        <v>23</v>
      </c>
      <c r="V199" s="30" t="s">
        <v>22</v>
      </c>
      <c r="W199" s="30" t="s">
        <v>3032</v>
      </c>
      <c r="X199" s="30" t="s">
        <v>3033</v>
      </c>
      <c r="Y199" s="30" t="s">
        <v>23</v>
      </c>
      <c r="Z199" s="30" t="s">
        <v>22</v>
      </c>
      <c r="AA199" s="30" t="s">
        <v>3034</v>
      </c>
      <c r="AB199" s="30" t="s">
        <v>3035</v>
      </c>
      <c r="AC199" s="30" t="s">
        <v>23</v>
      </c>
      <c r="AD199" s="30" t="s">
        <v>22</v>
      </c>
      <c r="AE199" s="30" t="s">
        <v>134</v>
      </c>
    </row>
    <row r="200" ht="22.5" customHeight="1">
      <c r="A200" s="28">
        <v>46241.49523556713</v>
      </c>
      <c r="B200" s="30" t="s">
        <v>3036</v>
      </c>
      <c r="C200" s="30" t="s">
        <v>3037</v>
      </c>
      <c r="D200" s="30" t="s">
        <v>193</v>
      </c>
      <c r="E200" s="30" t="s">
        <v>3038</v>
      </c>
      <c r="F200" s="30" t="s">
        <v>3039</v>
      </c>
      <c r="G200" s="30" t="s">
        <v>23</v>
      </c>
      <c r="H200" s="30" t="s">
        <v>22</v>
      </c>
      <c r="I200" s="30">
        <v>9.080049006E9</v>
      </c>
      <c r="J200" s="30" t="s">
        <v>3036</v>
      </c>
      <c r="K200" s="30" t="s">
        <v>3040</v>
      </c>
      <c r="L200" s="30" t="s">
        <v>3041</v>
      </c>
      <c r="M200" s="30" t="s">
        <v>23</v>
      </c>
      <c r="N200" s="30" t="s">
        <v>22</v>
      </c>
      <c r="O200" s="30" t="s">
        <v>3042</v>
      </c>
      <c r="P200" s="30" t="s">
        <v>3043</v>
      </c>
      <c r="Q200" s="30" t="s">
        <v>23</v>
      </c>
      <c r="R200" s="30" t="s">
        <v>22</v>
      </c>
      <c r="S200" s="30" t="s">
        <v>3044</v>
      </c>
      <c r="T200" s="30" t="s">
        <v>3045</v>
      </c>
      <c r="U200" s="30" t="s">
        <v>23</v>
      </c>
      <c r="V200" s="30" t="s">
        <v>22</v>
      </c>
      <c r="W200" s="30" t="s">
        <v>3046</v>
      </c>
      <c r="X200" s="30" t="s">
        <v>3047</v>
      </c>
      <c r="Y200" s="30" t="s">
        <v>23</v>
      </c>
      <c r="Z200" s="30" t="s">
        <v>94</v>
      </c>
      <c r="AA200" s="30" t="s">
        <v>3048</v>
      </c>
      <c r="AB200" s="30" t="s">
        <v>3049</v>
      </c>
      <c r="AC200" s="30" t="s">
        <v>31</v>
      </c>
      <c r="AD200" s="30" t="s">
        <v>94</v>
      </c>
      <c r="AE200" s="30" t="s">
        <v>134</v>
      </c>
    </row>
    <row r="201" ht="22.5" customHeight="1">
      <c r="A201" s="28">
        <v>46241.581388067134</v>
      </c>
      <c r="B201" s="30" t="s">
        <v>3050</v>
      </c>
      <c r="C201" s="30" t="s">
        <v>189</v>
      </c>
      <c r="D201" s="30" t="s">
        <v>193</v>
      </c>
      <c r="E201" s="30" t="s">
        <v>3051</v>
      </c>
      <c r="F201" s="30" t="s">
        <v>191</v>
      </c>
      <c r="G201" s="30" t="s">
        <v>23</v>
      </c>
      <c r="H201" s="30" t="s">
        <v>94</v>
      </c>
      <c r="I201" s="30">
        <v>9.67755859E9</v>
      </c>
      <c r="J201" s="30" t="s">
        <v>3050</v>
      </c>
      <c r="K201" s="30" t="s">
        <v>3052</v>
      </c>
      <c r="L201" s="30" t="s">
        <v>3053</v>
      </c>
      <c r="M201" s="30" t="s">
        <v>23</v>
      </c>
      <c r="N201" s="30" t="s">
        <v>94</v>
      </c>
      <c r="O201" s="30" t="s">
        <v>3054</v>
      </c>
      <c r="P201" s="30" t="s">
        <v>3055</v>
      </c>
      <c r="Q201" s="30" t="s">
        <v>23</v>
      </c>
      <c r="R201" s="30" t="s">
        <v>219</v>
      </c>
      <c r="S201" s="30" t="s">
        <v>3056</v>
      </c>
      <c r="T201" s="30" t="s">
        <v>3057</v>
      </c>
      <c r="U201" s="30" t="s">
        <v>23</v>
      </c>
      <c r="V201" s="30" t="s">
        <v>219</v>
      </c>
      <c r="W201" s="30" t="s">
        <v>3058</v>
      </c>
      <c r="X201" s="30" t="s">
        <v>3059</v>
      </c>
      <c r="Y201" s="30" t="s">
        <v>23</v>
      </c>
      <c r="Z201" s="30" t="s">
        <v>219</v>
      </c>
      <c r="AA201" s="30" t="s">
        <v>3060</v>
      </c>
      <c r="AB201" s="30" t="s">
        <v>3061</v>
      </c>
      <c r="AC201" s="30" t="s">
        <v>23</v>
      </c>
      <c r="AD201" s="30" t="s">
        <v>22</v>
      </c>
      <c r="AE201" s="30" t="s">
        <v>134</v>
      </c>
    </row>
    <row r="202" ht="22.5" customHeight="1">
      <c r="A202" s="28">
        <v>46241.58454869213</v>
      </c>
      <c r="B202" s="30" t="s">
        <v>3062</v>
      </c>
      <c r="C202" s="30" t="s">
        <v>3063</v>
      </c>
      <c r="D202" s="30" t="s">
        <v>193</v>
      </c>
      <c r="E202" s="30" t="s">
        <v>3064</v>
      </c>
      <c r="F202" s="30" t="s">
        <v>3065</v>
      </c>
      <c r="G202" s="30" t="s">
        <v>23</v>
      </c>
      <c r="H202" s="30" t="s">
        <v>219</v>
      </c>
      <c r="I202" s="30">
        <v>9.56693271E9</v>
      </c>
      <c r="J202" s="30" t="s">
        <v>3062</v>
      </c>
      <c r="K202" s="30" t="s">
        <v>3066</v>
      </c>
      <c r="L202" s="30" t="s">
        <v>3067</v>
      </c>
      <c r="M202" s="30" t="s">
        <v>23</v>
      </c>
      <c r="N202" s="30" t="s">
        <v>219</v>
      </c>
      <c r="O202" s="30" t="s">
        <v>3068</v>
      </c>
      <c r="P202" s="30" t="s">
        <v>3069</v>
      </c>
      <c r="Q202" s="30" t="s">
        <v>23</v>
      </c>
      <c r="R202" s="30" t="s">
        <v>219</v>
      </c>
      <c r="S202" s="30" t="s">
        <v>3070</v>
      </c>
      <c r="T202" s="30" t="s">
        <v>3071</v>
      </c>
      <c r="U202" s="30" t="s">
        <v>23</v>
      </c>
      <c r="V202" s="30" t="s">
        <v>219</v>
      </c>
      <c r="W202" s="30" t="s">
        <v>3072</v>
      </c>
      <c r="X202" s="30" t="s">
        <v>3073</v>
      </c>
      <c r="Y202" s="30" t="s">
        <v>23</v>
      </c>
      <c r="Z202" s="30" t="s">
        <v>69</v>
      </c>
      <c r="AA202" s="30" t="s">
        <v>3074</v>
      </c>
      <c r="AB202" s="30" t="s">
        <v>3075</v>
      </c>
      <c r="AC202" s="30" t="s">
        <v>23</v>
      </c>
      <c r="AD202" s="30" t="s">
        <v>22</v>
      </c>
      <c r="AE202" s="30" t="s">
        <v>134</v>
      </c>
    </row>
    <row r="203" ht="22.5" customHeight="1">
      <c r="A203" s="28">
        <v>46241.58576553241</v>
      </c>
      <c r="B203" s="30" t="s">
        <v>3076</v>
      </c>
      <c r="C203" s="30" t="s">
        <v>3077</v>
      </c>
      <c r="D203" s="30" t="s">
        <v>193</v>
      </c>
      <c r="E203" s="30" t="s">
        <v>3078</v>
      </c>
      <c r="F203" s="30" t="s">
        <v>3079</v>
      </c>
      <c r="G203" s="30" t="s">
        <v>31</v>
      </c>
      <c r="H203" s="30" t="s">
        <v>22</v>
      </c>
      <c r="I203" s="30">
        <v>6.383525774E9</v>
      </c>
      <c r="J203" s="30" t="s">
        <v>3076</v>
      </c>
      <c r="K203" s="30" t="s">
        <v>3080</v>
      </c>
      <c r="L203" s="30" t="s">
        <v>3081</v>
      </c>
      <c r="M203" s="30" t="s">
        <v>31</v>
      </c>
      <c r="N203" s="30" t="s">
        <v>22</v>
      </c>
      <c r="O203" s="30" t="s">
        <v>3082</v>
      </c>
      <c r="P203" s="30" t="s">
        <v>3083</v>
      </c>
      <c r="Q203" s="30" t="s">
        <v>31</v>
      </c>
      <c r="R203" s="30" t="s">
        <v>22</v>
      </c>
      <c r="S203" s="30" t="s">
        <v>3084</v>
      </c>
      <c r="T203" s="30" t="s">
        <v>3085</v>
      </c>
      <c r="U203" s="30" t="s">
        <v>31</v>
      </c>
      <c r="V203" s="30" t="s">
        <v>22</v>
      </c>
      <c r="W203" s="30" t="s">
        <v>3086</v>
      </c>
      <c r="X203" s="30" t="s">
        <v>3087</v>
      </c>
      <c r="Y203" s="30" t="s">
        <v>31</v>
      </c>
      <c r="Z203" s="30" t="s">
        <v>94</v>
      </c>
      <c r="AA203" s="30" t="s">
        <v>3088</v>
      </c>
      <c r="AB203" s="30" t="s">
        <v>3089</v>
      </c>
      <c r="AC203" s="30" t="s">
        <v>31</v>
      </c>
      <c r="AD203" s="30" t="s">
        <v>280</v>
      </c>
      <c r="AE203" s="30" t="s">
        <v>134</v>
      </c>
    </row>
    <row r="204" ht="22.5" customHeight="1">
      <c r="A204" s="28">
        <v>46241.59016851852</v>
      </c>
      <c r="B204" s="30" t="s">
        <v>3090</v>
      </c>
      <c r="C204" s="30" t="s">
        <v>3091</v>
      </c>
      <c r="D204" s="30" t="s">
        <v>193</v>
      </c>
      <c r="E204" s="30" t="s">
        <v>3092</v>
      </c>
      <c r="F204" s="30" t="s">
        <v>3093</v>
      </c>
      <c r="G204" s="30" t="s">
        <v>23</v>
      </c>
      <c r="H204" s="30" t="s">
        <v>22</v>
      </c>
      <c r="I204" s="30">
        <v>6.381077598E9</v>
      </c>
      <c r="J204" s="30" t="s">
        <v>3090</v>
      </c>
      <c r="K204" s="30" t="s">
        <v>3094</v>
      </c>
      <c r="L204" s="30" t="s">
        <v>3095</v>
      </c>
      <c r="M204" s="30" t="s">
        <v>23</v>
      </c>
      <c r="N204" s="30" t="s">
        <v>22</v>
      </c>
      <c r="O204" s="30" t="s">
        <v>3096</v>
      </c>
      <c r="P204" s="30" t="s">
        <v>3097</v>
      </c>
      <c r="Q204" s="30" t="s">
        <v>23</v>
      </c>
      <c r="R204" s="30" t="s">
        <v>22</v>
      </c>
      <c r="S204" s="30" t="s">
        <v>3098</v>
      </c>
      <c r="T204" s="30" t="s">
        <v>3099</v>
      </c>
      <c r="U204" s="30" t="s">
        <v>23</v>
      </c>
      <c r="V204" s="30" t="s">
        <v>22</v>
      </c>
      <c r="W204" s="30" t="s">
        <v>3100</v>
      </c>
      <c r="X204" s="30" t="s">
        <v>3101</v>
      </c>
      <c r="Y204" s="30" t="s">
        <v>23</v>
      </c>
      <c r="Z204" s="30" t="s">
        <v>22</v>
      </c>
      <c r="AA204" s="30" t="s">
        <v>3102</v>
      </c>
      <c r="AB204" s="30" t="s">
        <v>3103</v>
      </c>
      <c r="AC204" s="30" t="s">
        <v>23</v>
      </c>
      <c r="AD204" s="30" t="s">
        <v>94</v>
      </c>
      <c r="AE204" s="30" t="s">
        <v>134</v>
      </c>
    </row>
    <row r="205" ht="22.5" customHeight="1">
      <c r="A205" s="28">
        <v>46241.59491315972</v>
      </c>
      <c r="B205" s="30" t="s">
        <v>3104</v>
      </c>
      <c r="C205" s="30" t="s">
        <v>3105</v>
      </c>
      <c r="D205" s="30" t="s">
        <v>82</v>
      </c>
      <c r="E205" s="30" t="s">
        <v>3106</v>
      </c>
      <c r="F205" s="30" t="s">
        <v>3107</v>
      </c>
      <c r="G205" s="30" t="s">
        <v>23</v>
      </c>
      <c r="H205" s="30" t="s">
        <v>22</v>
      </c>
      <c r="I205" s="30">
        <v>9.597297256E9</v>
      </c>
      <c r="J205" s="30" t="s">
        <v>3104</v>
      </c>
      <c r="K205" s="30" t="s">
        <v>3108</v>
      </c>
      <c r="L205" s="30" t="s">
        <v>3109</v>
      </c>
      <c r="M205" s="30" t="s">
        <v>23</v>
      </c>
      <c r="N205" s="30" t="s">
        <v>22</v>
      </c>
      <c r="O205" s="30" t="s">
        <v>3110</v>
      </c>
      <c r="P205" s="30" t="s">
        <v>3111</v>
      </c>
      <c r="Q205" s="30" t="s">
        <v>23</v>
      </c>
      <c r="R205" s="30" t="s">
        <v>22</v>
      </c>
      <c r="S205" s="30" t="s">
        <v>3112</v>
      </c>
      <c r="T205" s="30" t="s">
        <v>3113</v>
      </c>
      <c r="U205" s="30" t="s">
        <v>23</v>
      </c>
      <c r="V205" s="30" t="s">
        <v>22</v>
      </c>
      <c r="W205" s="30" t="s">
        <v>3114</v>
      </c>
      <c r="X205" s="30" t="s">
        <v>3115</v>
      </c>
      <c r="Y205" s="30" t="s">
        <v>23</v>
      </c>
      <c r="Z205" s="30" t="s">
        <v>126</v>
      </c>
      <c r="AA205" s="30" t="s">
        <v>3116</v>
      </c>
      <c r="AB205" s="30" t="s">
        <v>3117</v>
      </c>
      <c r="AC205" s="30" t="s">
        <v>23</v>
      </c>
      <c r="AD205" s="30" t="s">
        <v>126</v>
      </c>
      <c r="AE205" s="30" t="s">
        <v>134</v>
      </c>
    </row>
    <row r="206" ht="22.5" customHeight="1">
      <c r="A206" s="28">
        <v>46241.59539956019</v>
      </c>
      <c r="B206" s="30" t="s">
        <v>3118</v>
      </c>
      <c r="C206" s="30" t="s">
        <v>3119</v>
      </c>
      <c r="D206" s="30" t="s">
        <v>193</v>
      </c>
      <c r="E206" s="30" t="s">
        <v>3120</v>
      </c>
      <c r="F206" s="30" t="s">
        <v>3121</v>
      </c>
      <c r="G206" s="30" t="s">
        <v>23</v>
      </c>
      <c r="H206" s="30" t="s">
        <v>126</v>
      </c>
      <c r="I206" s="30">
        <v>9.345646034E9</v>
      </c>
      <c r="J206" s="30" t="s">
        <v>3118</v>
      </c>
      <c r="K206" s="30" t="s">
        <v>3122</v>
      </c>
      <c r="L206" s="30" t="s">
        <v>3123</v>
      </c>
      <c r="M206" s="30" t="s">
        <v>23</v>
      </c>
      <c r="N206" s="30" t="s">
        <v>126</v>
      </c>
      <c r="O206" s="30" t="s">
        <v>3124</v>
      </c>
      <c r="P206" s="30" t="s">
        <v>3125</v>
      </c>
      <c r="Q206" s="30" t="s">
        <v>23</v>
      </c>
      <c r="R206" s="30" t="s">
        <v>126</v>
      </c>
      <c r="S206" s="30" t="s">
        <v>3126</v>
      </c>
      <c r="T206" s="30" t="s">
        <v>3127</v>
      </c>
      <c r="U206" s="30" t="s">
        <v>23</v>
      </c>
      <c r="V206" s="30" t="s">
        <v>126</v>
      </c>
      <c r="W206" s="30" t="s">
        <v>3128</v>
      </c>
      <c r="X206" s="30" t="s">
        <v>3129</v>
      </c>
      <c r="Y206" s="30" t="s">
        <v>23</v>
      </c>
      <c r="Z206" s="30" t="s">
        <v>126</v>
      </c>
      <c r="AA206" s="30" t="s">
        <v>3130</v>
      </c>
      <c r="AB206" s="30" t="s">
        <v>3131</v>
      </c>
      <c r="AC206" s="30" t="s">
        <v>23</v>
      </c>
      <c r="AD206" s="30" t="s">
        <v>22</v>
      </c>
      <c r="AE206" s="30" t="s">
        <v>134</v>
      </c>
    </row>
    <row r="207" ht="22.5" customHeight="1">
      <c r="A207" s="28">
        <v>46241.60247054398</v>
      </c>
      <c r="B207" s="30" t="s">
        <v>3132</v>
      </c>
      <c r="C207" s="30" t="s">
        <v>3133</v>
      </c>
      <c r="D207" s="30" t="s">
        <v>193</v>
      </c>
      <c r="E207" s="30" t="s">
        <v>3134</v>
      </c>
      <c r="F207" s="30" t="s">
        <v>3135</v>
      </c>
      <c r="G207" s="30" t="s">
        <v>23</v>
      </c>
      <c r="H207" s="30" t="s">
        <v>22</v>
      </c>
      <c r="I207" s="30">
        <v>9.080420607E9</v>
      </c>
      <c r="J207" s="30" t="s">
        <v>3132</v>
      </c>
      <c r="K207" s="30" t="s">
        <v>3136</v>
      </c>
      <c r="L207" s="30" t="s">
        <v>3137</v>
      </c>
      <c r="M207" s="30" t="s">
        <v>23</v>
      </c>
      <c r="N207" s="30" t="s">
        <v>22</v>
      </c>
      <c r="O207" s="30" t="s">
        <v>3138</v>
      </c>
      <c r="P207" s="30" t="s">
        <v>3139</v>
      </c>
      <c r="Q207" s="30" t="s">
        <v>23</v>
      </c>
      <c r="R207" s="30" t="s">
        <v>22</v>
      </c>
      <c r="S207" s="30" t="s">
        <v>3140</v>
      </c>
      <c r="T207" s="30" t="s">
        <v>3039</v>
      </c>
      <c r="U207" s="30" t="s">
        <v>23</v>
      </c>
      <c r="V207" s="30" t="s">
        <v>22</v>
      </c>
      <c r="W207" s="30" t="s">
        <v>3141</v>
      </c>
      <c r="X207" s="30" t="s">
        <v>3142</v>
      </c>
      <c r="Y207" s="30" t="s">
        <v>23</v>
      </c>
      <c r="Z207" s="30" t="s">
        <v>22</v>
      </c>
      <c r="AA207" s="30" t="s">
        <v>3143</v>
      </c>
      <c r="AB207" s="30" t="s">
        <v>3144</v>
      </c>
      <c r="AC207" s="30" t="s">
        <v>23</v>
      </c>
      <c r="AD207" s="30" t="s">
        <v>69</v>
      </c>
      <c r="AE207" s="30" t="s">
        <v>134</v>
      </c>
    </row>
    <row r="208" ht="22.5" customHeight="1">
      <c r="A208" s="28">
        <v>46241.604001377316</v>
      </c>
      <c r="B208" s="30" t="s">
        <v>3145</v>
      </c>
      <c r="C208" s="30" t="s">
        <v>3146</v>
      </c>
      <c r="D208" s="30" t="s">
        <v>193</v>
      </c>
      <c r="E208" s="30" t="s">
        <v>3147</v>
      </c>
      <c r="F208" s="30" t="s">
        <v>3148</v>
      </c>
      <c r="G208" s="30" t="s">
        <v>23</v>
      </c>
      <c r="H208" s="30" t="s">
        <v>22</v>
      </c>
      <c r="I208" s="30">
        <v>6.384940977E9</v>
      </c>
      <c r="J208" s="30" t="s">
        <v>3145</v>
      </c>
      <c r="K208" s="30" t="s">
        <v>3149</v>
      </c>
      <c r="L208" s="30" t="s">
        <v>3150</v>
      </c>
      <c r="M208" s="30" t="s">
        <v>23</v>
      </c>
      <c r="N208" s="30" t="s">
        <v>22</v>
      </c>
      <c r="O208" s="30" t="s">
        <v>3151</v>
      </c>
      <c r="P208" s="30" t="s">
        <v>3152</v>
      </c>
      <c r="Q208" s="30" t="s">
        <v>23</v>
      </c>
      <c r="R208" s="30" t="s">
        <v>22</v>
      </c>
      <c r="S208" s="30" t="s">
        <v>3153</v>
      </c>
      <c r="T208" s="30" t="s">
        <v>3154</v>
      </c>
      <c r="U208" s="30" t="s">
        <v>23</v>
      </c>
      <c r="V208" s="30" t="s">
        <v>22</v>
      </c>
      <c r="W208" s="30" t="s">
        <v>3155</v>
      </c>
      <c r="X208" s="30" t="s">
        <v>3156</v>
      </c>
      <c r="Y208" s="30" t="s">
        <v>23</v>
      </c>
      <c r="Z208" s="30" t="s">
        <v>22</v>
      </c>
      <c r="AA208" s="30" t="s">
        <v>3157</v>
      </c>
      <c r="AB208" s="30" t="s">
        <v>3158</v>
      </c>
      <c r="AC208" s="30" t="s">
        <v>23</v>
      </c>
      <c r="AD208" s="30" t="s">
        <v>219</v>
      </c>
      <c r="AE208" s="30" t="s">
        <v>134</v>
      </c>
    </row>
    <row r="209" ht="22.5" customHeight="1">
      <c r="A209" s="28">
        <v>46241.60861634259</v>
      </c>
      <c r="B209" s="30" t="s">
        <v>3159</v>
      </c>
      <c r="C209" s="30" t="s">
        <v>3160</v>
      </c>
      <c r="D209" s="30" t="s">
        <v>82</v>
      </c>
      <c r="E209" s="30" t="s">
        <v>3161</v>
      </c>
      <c r="F209" s="30" t="s">
        <v>3162</v>
      </c>
      <c r="G209" s="30" t="s">
        <v>23</v>
      </c>
      <c r="H209" s="30" t="s">
        <v>22</v>
      </c>
      <c r="I209" s="30">
        <v>9.04200154E9</v>
      </c>
      <c r="J209" s="30" t="s">
        <v>3163</v>
      </c>
      <c r="K209" s="30" t="s">
        <v>3164</v>
      </c>
      <c r="L209" s="30" t="s">
        <v>3165</v>
      </c>
      <c r="M209" s="30" t="s">
        <v>23</v>
      </c>
      <c r="N209" s="30" t="s">
        <v>22</v>
      </c>
      <c r="O209" s="30" t="s">
        <v>3166</v>
      </c>
      <c r="P209" s="30" t="s">
        <v>3167</v>
      </c>
      <c r="Q209" s="30" t="s">
        <v>23</v>
      </c>
      <c r="R209" s="30" t="s">
        <v>22</v>
      </c>
      <c r="S209" s="30" t="s">
        <v>3168</v>
      </c>
      <c r="T209" s="30" t="s">
        <v>3169</v>
      </c>
      <c r="U209" s="30" t="s">
        <v>23</v>
      </c>
      <c r="V209" s="30" t="s">
        <v>22</v>
      </c>
      <c r="W209" s="30" t="s">
        <v>3170</v>
      </c>
      <c r="X209" s="30" t="s">
        <v>3171</v>
      </c>
      <c r="Y209" s="30" t="s">
        <v>23</v>
      </c>
      <c r="Z209" s="30" t="s">
        <v>178</v>
      </c>
      <c r="AA209" s="30" t="s">
        <v>3172</v>
      </c>
      <c r="AB209" s="30" t="s">
        <v>3173</v>
      </c>
      <c r="AC209" s="30" t="s">
        <v>23</v>
      </c>
      <c r="AD209" s="30" t="s">
        <v>178</v>
      </c>
      <c r="AE209" s="30" t="s">
        <v>134</v>
      </c>
    </row>
    <row r="210" ht="22.5" customHeight="1">
      <c r="A210" s="28">
        <v>46241.61357778935</v>
      </c>
      <c r="B210" s="30" t="s">
        <v>3174</v>
      </c>
      <c r="C210" s="30" t="s">
        <v>3175</v>
      </c>
      <c r="D210" s="30" t="s">
        <v>82</v>
      </c>
      <c r="E210" s="30" t="s">
        <v>3176</v>
      </c>
      <c r="F210" s="30" t="s">
        <v>3177</v>
      </c>
      <c r="G210" s="30" t="s">
        <v>31</v>
      </c>
      <c r="H210" s="30" t="s">
        <v>219</v>
      </c>
      <c r="I210" s="30">
        <v>7.548831559E9</v>
      </c>
      <c r="J210" s="30" t="s">
        <v>3174</v>
      </c>
      <c r="K210" s="30" t="s">
        <v>3178</v>
      </c>
      <c r="L210" s="30" t="s">
        <v>3179</v>
      </c>
      <c r="M210" s="30" t="s">
        <v>31</v>
      </c>
      <c r="N210" s="30" t="s">
        <v>219</v>
      </c>
      <c r="O210" s="30" t="s">
        <v>3180</v>
      </c>
      <c r="P210" s="30" t="s">
        <v>3181</v>
      </c>
      <c r="Q210" s="30" t="s">
        <v>31</v>
      </c>
      <c r="R210" s="30" t="s">
        <v>219</v>
      </c>
      <c r="S210" s="30" t="s">
        <v>3182</v>
      </c>
      <c r="T210" s="30" t="s">
        <v>1813</v>
      </c>
      <c r="U210" s="30" t="s">
        <v>31</v>
      </c>
      <c r="V210" s="30" t="s">
        <v>219</v>
      </c>
      <c r="W210" s="30" t="s">
        <v>3183</v>
      </c>
      <c r="X210" s="30" t="s">
        <v>3184</v>
      </c>
      <c r="Y210" s="30" t="s">
        <v>31</v>
      </c>
      <c r="Z210" s="30" t="s">
        <v>126</v>
      </c>
      <c r="AA210" s="30" t="s">
        <v>3185</v>
      </c>
      <c r="AB210" s="30" t="s">
        <v>3186</v>
      </c>
      <c r="AC210" s="30" t="s">
        <v>31</v>
      </c>
      <c r="AD210" s="30" t="s">
        <v>126</v>
      </c>
      <c r="AE210" s="30" t="s">
        <v>134</v>
      </c>
    </row>
    <row r="211" ht="22.5" customHeight="1">
      <c r="A211" s="28">
        <v>46241.621437407404</v>
      </c>
      <c r="B211" s="30" t="s">
        <v>3187</v>
      </c>
      <c r="C211" s="30" t="s">
        <v>3188</v>
      </c>
      <c r="D211" s="30" t="s">
        <v>82</v>
      </c>
      <c r="E211" s="30" t="s">
        <v>3189</v>
      </c>
      <c r="F211" s="30" t="s">
        <v>3190</v>
      </c>
      <c r="G211" s="30" t="s">
        <v>23</v>
      </c>
      <c r="H211" s="30" t="s">
        <v>219</v>
      </c>
      <c r="I211" s="30">
        <v>9.345788571E9</v>
      </c>
      <c r="J211" s="30" t="s">
        <v>3187</v>
      </c>
      <c r="K211" s="30" t="s">
        <v>3191</v>
      </c>
      <c r="L211" s="30" t="s">
        <v>3192</v>
      </c>
      <c r="M211" s="30" t="s">
        <v>23</v>
      </c>
      <c r="N211" s="30" t="s">
        <v>219</v>
      </c>
      <c r="O211" s="30" t="s">
        <v>3193</v>
      </c>
      <c r="P211" s="30" t="s">
        <v>3194</v>
      </c>
      <c r="Q211" s="30" t="s">
        <v>23</v>
      </c>
      <c r="R211" s="30" t="s">
        <v>219</v>
      </c>
      <c r="S211" s="30" t="s">
        <v>3195</v>
      </c>
      <c r="T211" s="30" t="s">
        <v>3196</v>
      </c>
      <c r="U211" s="30" t="s">
        <v>23</v>
      </c>
      <c r="V211" s="30" t="s">
        <v>219</v>
      </c>
      <c r="W211" s="30" t="s">
        <v>3197</v>
      </c>
      <c r="X211" s="30" t="s">
        <v>3198</v>
      </c>
      <c r="Y211" s="30" t="s">
        <v>23</v>
      </c>
      <c r="Z211" s="30" t="s">
        <v>22</v>
      </c>
      <c r="AA211" s="30" t="s">
        <v>3199</v>
      </c>
      <c r="AB211" s="30" t="s">
        <v>3200</v>
      </c>
      <c r="AC211" s="30" t="s">
        <v>23</v>
      </c>
      <c r="AD211" s="30" t="s">
        <v>22</v>
      </c>
      <c r="AE211" s="30" t="s">
        <v>134</v>
      </c>
    </row>
    <row r="212" ht="22.5" customHeight="1">
      <c r="A212" s="28">
        <v>46241.62781822917</v>
      </c>
      <c r="B212" s="30" t="s">
        <v>3201</v>
      </c>
      <c r="C212" s="30" t="s">
        <v>3202</v>
      </c>
      <c r="D212" s="30" t="s">
        <v>82</v>
      </c>
      <c r="E212" s="30" t="s">
        <v>3203</v>
      </c>
      <c r="F212" s="30" t="s">
        <v>3204</v>
      </c>
      <c r="G212" s="30" t="s">
        <v>31</v>
      </c>
      <c r="H212" s="30" t="s">
        <v>219</v>
      </c>
      <c r="I212" s="30" t="s">
        <v>3205</v>
      </c>
      <c r="J212" s="30" t="s">
        <v>3206</v>
      </c>
      <c r="K212" s="30" t="s">
        <v>3207</v>
      </c>
      <c r="L212" s="30" t="s">
        <v>3208</v>
      </c>
      <c r="M212" s="30" t="s">
        <v>31</v>
      </c>
      <c r="N212" s="30" t="s">
        <v>219</v>
      </c>
      <c r="O212" s="30" t="s">
        <v>3209</v>
      </c>
      <c r="P212" s="30" t="s">
        <v>3210</v>
      </c>
      <c r="Q212" s="30" t="s">
        <v>31</v>
      </c>
      <c r="R212" s="30" t="s">
        <v>219</v>
      </c>
      <c r="S212" s="30" t="s">
        <v>3211</v>
      </c>
      <c r="T212" s="30" t="s">
        <v>3212</v>
      </c>
      <c r="U212" s="30" t="s">
        <v>31</v>
      </c>
      <c r="V212" s="30" t="s">
        <v>219</v>
      </c>
      <c r="W212" s="30" t="s">
        <v>3213</v>
      </c>
      <c r="X212" s="30" t="s">
        <v>3214</v>
      </c>
      <c r="Y212" s="30" t="s">
        <v>31</v>
      </c>
      <c r="Z212" s="30" t="s">
        <v>126</v>
      </c>
      <c r="AA212" s="30" t="s">
        <v>3215</v>
      </c>
      <c r="AB212" s="30" t="s">
        <v>3216</v>
      </c>
      <c r="AC212" s="30" t="s">
        <v>31</v>
      </c>
      <c r="AD212" s="30" t="s">
        <v>126</v>
      </c>
      <c r="AE212" s="30" t="s">
        <v>134</v>
      </c>
    </row>
    <row r="213" ht="22.5" customHeight="1">
      <c r="A213" s="28">
        <v>46241.62799408565</v>
      </c>
      <c r="B213" s="30" t="s">
        <v>3217</v>
      </c>
      <c r="C213" s="30" t="s">
        <v>3218</v>
      </c>
      <c r="D213" s="30" t="s">
        <v>82</v>
      </c>
      <c r="E213" s="30" t="s">
        <v>3219</v>
      </c>
      <c r="F213" s="30" t="s">
        <v>3220</v>
      </c>
      <c r="G213" s="30" t="s">
        <v>31</v>
      </c>
      <c r="H213" s="30" t="s">
        <v>126</v>
      </c>
      <c r="I213" s="30">
        <v>9.442881198E9</v>
      </c>
      <c r="J213" s="30" t="s">
        <v>3221</v>
      </c>
      <c r="K213" s="30" t="s">
        <v>3222</v>
      </c>
      <c r="L213" s="30" t="s">
        <v>3223</v>
      </c>
      <c r="M213" s="30" t="s">
        <v>31</v>
      </c>
      <c r="N213" s="30" t="s">
        <v>126</v>
      </c>
      <c r="O213" s="30" t="s">
        <v>3224</v>
      </c>
      <c r="P213" s="30" t="s">
        <v>3225</v>
      </c>
      <c r="Q213" s="30" t="s">
        <v>31</v>
      </c>
      <c r="R213" s="30" t="s">
        <v>126</v>
      </c>
      <c r="S213" s="30" t="s">
        <v>3226</v>
      </c>
      <c r="T213" s="30" t="s">
        <v>3227</v>
      </c>
      <c r="U213" s="30" t="s">
        <v>31</v>
      </c>
      <c r="V213" s="30" t="s">
        <v>219</v>
      </c>
      <c r="W213" s="30" t="s">
        <v>3228</v>
      </c>
      <c r="X213" s="30" t="s">
        <v>3229</v>
      </c>
      <c r="Y213" s="30" t="s">
        <v>31</v>
      </c>
      <c r="Z213" s="30" t="s">
        <v>22</v>
      </c>
      <c r="AA213" s="30" t="s">
        <v>3230</v>
      </c>
      <c r="AB213" s="30" t="s">
        <v>3231</v>
      </c>
      <c r="AC213" s="30" t="s">
        <v>31</v>
      </c>
      <c r="AD213" s="30" t="s">
        <v>313</v>
      </c>
      <c r="AE213" s="30" t="s">
        <v>134</v>
      </c>
    </row>
    <row r="214" ht="22.5" customHeight="1">
      <c r="A214" s="28">
        <v>46241.628114907406</v>
      </c>
      <c r="B214" s="30" t="s">
        <v>3232</v>
      </c>
      <c r="C214" s="30" t="s">
        <v>3233</v>
      </c>
      <c r="D214" s="30" t="s">
        <v>193</v>
      </c>
      <c r="E214" s="30" t="s">
        <v>3234</v>
      </c>
      <c r="F214" s="30" t="s">
        <v>3235</v>
      </c>
      <c r="G214" s="30" t="s">
        <v>23</v>
      </c>
      <c r="H214" s="30" t="s">
        <v>219</v>
      </c>
      <c r="I214" s="30">
        <v>9.150915034E9</v>
      </c>
      <c r="J214" s="30" t="s">
        <v>3232</v>
      </c>
      <c r="K214" s="30" t="s">
        <v>3236</v>
      </c>
      <c r="L214" s="30" t="s">
        <v>3237</v>
      </c>
      <c r="M214" s="30" t="s">
        <v>23</v>
      </c>
      <c r="N214" s="30" t="s">
        <v>219</v>
      </c>
      <c r="O214" s="30" t="s">
        <v>3238</v>
      </c>
      <c r="P214" s="30" t="s">
        <v>3239</v>
      </c>
      <c r="Q214" s="30" t="s">
        <v>23</v>
      </c>
      <c r="R214" s="30" t="s">
        <v>219</v>
      </c>
      <c r="S214" s="30" t="s">
        <v>3240</v>
      </c>
      <c r="T214" s="30" t="s">
        <v>3241</v>
      </c>
      <c r="U214" s="30" t="s">
        <v>23</v>
      </c>
      <c r="V214" s="30" t="s">
        <v>219</v>
      </c>
      <c r="W214" s="30" t="s">
        <v>3242</v>
      </c>
      <c r="X214" s="30" t="s">
        <v>3243</v>
      </c>
      <c r="Y214" s="30" t="s">
        <v>31</v>
      </c>
      <c r="Z214" s="30" t="s">
        <v>22</v>
      </c>
      <c r="AA214" s="30" t="s">
        <v>3244</v>
      </c>
      <c r="AB214" s="30" t="s">
        <v>3245</v>
      </c>
      <c r="AC214" s="30" t="s">
        <v>31</v>
      </c>
      <c r="AD214" s="30" t="s">
        <v>22</v>
      </c>
      <c r="AE214" s="30" t="s">
        <v>134</v>
      </c>
    </row>
    <row r="215" ht="22.5" customHeight="1">
      <c r="A215" s="28">
        <v>46241.628209386574</v>
      </c>
      <c r="B215" s="30" t="s">
        <v>3246</v>
      </c>
      <c r="C215" s="30" t="s">
        <v>3247</v>
      </c>
      <c r="D215" s="30" t="s">
        <v>82</v>
      </c>
      <c r="E215" s="30" t="s">
        <v>3248</v>
      </c>
      <c r="F215" s="30" t="s">
        <v>3249</v>
      </c>
      <c r="G215" s="30" t="s">
        <v>23</v>
      </c>
      <c r="H215" s="30" t="s">
        <v>219</v>
      </c>
      <c r="I215" s="30">
        <v>7.395947506E9</v>
      </c>
      <c r="J215" s="30" t="s">
        <v>3250</v>
      </c>
      <c r="K215" s="30" t="s">
        <v>3251</v>
      </c>
      <c r="L215" s="30" t="s">
        <v>3252</v>
      </c>
      <c r="M215" s="30" t="s">
        <v>23</v>
      </c>
      <c r="N215" s="30" t="s">
        <v>219</v>
      </c>
      <c r="O215" s="30" t="s">
        <v>3253</v>
      </c>
      <c r="P215" s="30" t="s">
        <v>3254</v>
      </c>
      <c r="Q215" s="30" t="s">
        <v>23</v>
      </c>
      <c r="R215" s="30" t="s">
        <v>219</v>
      </c>
      <c r="S215" s="30" t="s">
        <v>3255</v>
      </c>
      <c r="T215" s="30" t="s">
        <v>3256</v>
      </c>
      <c r="U215" s="30" t="s">
        <v>23</v>
      </c>
      <c r="V215" s="30" t="s">
        <v>219</v>
      </c>
      <c r="W215" s="30" t="s">
        <v>3257</v>
      </c>
      <c r="X215" s="30" t="s">
        <v>3258</v>
      </c>
      <c r="Y215" s="30" t="s">
        <v>31</v>
      </c>
      <c r="Z215" s="30" t="s">
        <v>280</v>
      </c>
      <c r="AA215" s="30" t="s">
        <v>3259</v>
      </c>
      <c r="AB215" s="30" t="s">
        <v>3260</v>
      </c>
      <c r="AC215" s="30" t="s">
        <v>31</v>
      </c>
      <c r="AD215" s="30" t="s">
        <v>280</v>
      </c>
      <c r="AE215" s="30" t="s">
        <v>134</v>
      </c>
    </row>
    <row r="216" ht="22.5" customHeight="1">
      <c r="A216" s="28">
        <v>46241.6282849537</v>
      </c>
      <c r="B216" s="30" t="s">
        <v>3261</v>
      </c>
      <c r="C216" s="30" t="s">
        <v>3262</v>
      </c>
      <c r="D216" s="30" t="s">
        <v>193</v>
      </c>
      <c r="E216" s="30" t="s">
        <v>3263</v>
      </c>
      <c r="F216" s="30" t="s">
        <v>3264</v>
      </c>
      <c r="G216" s="30" t="s">
        <v>23</v>
      </c>
      <c r="H216" s="30" t="s">
        <v>219</v>
      </c>
      <c r="I216" s="30">
        <v>9.940961746E9</v>
      </c>
      <c r="J216" s="30" t="s">
        <v>3261</v>
      </c>
      <c r="K216" s="30" t="s">
        <v>3265</v>
      </c>
      <c r="L216" s="30" t="s">
        <v>3266</v>
      </c>
      <c r="M216" s="30" t="s">
        <v>23</v>
      </c>
      <c r="N216" s="30" t="s">
        <v>219</v>
      </c>
      <c r="O216" s="30" t="s">
        <v>3267</v>
      </c>
      <c r="P216" s="30" t="s">
        <v>3268</v>
      </c>
      <c r="Q216" s="30" t="s">
        <v>23</v>
      </c>
      <c r="R216" s="30" t="s">
        <v>22</v>
      </c>
      <c r="S216" s="30" t="s">
        <v>3269</v>
      </c>
      <c r="T216" s="30" t="s">
        <v>3270</v>
      </c>
      <c r="U216" s="30" t="s">
        <v>23</v>
      </c>
      <c r="V216" s="30" t="s">
        <v>219</v>
      </c>
      <c r="W216" s="30" t="s">
        <v>3271</v>
      </c>
      <c r="X216" s="30" t="s">
        <v>3272</v>
      </c>
      <c r="Y216" s="30" t="s">
        <v>23</v>
      </c>
      <c r="Z216" s="30" t="s">
        <v>280</v>
      </c>
      <c r="AA216" s="30" t="s">
        <v>3273</v>
      </c>
      <c r="AB216" s="30" t="s">
        <v>3274</v>
      </c>
      <c r="AC216" s="30" t="s">
        <v>23</v>
      </c>
      <c r="AD216" s="30" t="s">
        <v>219</v>
      </c>
      <c r="AE216" s="30" t="s">
        <v>134</v>
      </c>
    </row>
    <row r="217" ht="22.5" customHeight="1">
      <c r="A217" s="28">
        <v>46241.63421304398</v>
      </c>
      <c r="B217" s="30" t="s">
        <v>3275</v>
      </c>
      <c r="C217" s="30" t="s">
        <v>199</v>
      </c>
      <c r="D217" s="30" t="s">
        <v>82</v>
      </c>
      <c r="E217" s="30" t="s">
        <v>3276</v>
      </c>
      <c r="F217" s="30" t="s">
        <v>200</v>
      </c>
      <c r="G217" s="30" t="s">
        <v>89</v>
      </c>
      <c r="H217" s="30" t="s">
        <v>94</v>
      </c>
      <c r="I217" s="30" t="s">
        <v>172</v>
      </c>
      <c r="J217" s="30" t="s">
        <v>3277</v>
      </c>
      <c r="K217" s="30" t="s">
        <v>3278</v>
      </c>
      <c r="L217" s="30" t="s">
        <v>3279</v>
      </c>
      <c r="M217" s="30" t="s">
        <v>23</v>
      </c>
      <c r="N217" s="30" t="s">
        <v>280</v>
      </c>
      <c r="O217" s="30" t="s">
        <v>3280</v>
      </c>
      <c r="P217" s="30" t="s">
        <v>3281</v>
      </c>
      <c r="Q217" s="30" t="s">
        <v>23</v>
      </c>
      <c r="R217" s="30" t="s">
        <v>280</v>
      </c>
      <c r="S217" s="30" t="s">
        <v>3282</v>
      </c>
      <c r="T217" s="30" t="s">
        <v>3283</v>
      </c>
      <c r="U217" s="30" t="s">
        <v>23</v>
      </c>
      <c r="V217" s="30" t="s">
        <v>94</v>
      </c>
      <c r="W217" s="30" t="s">
        <v>3284</v>
      </c>
      <c r="X217" s="30" t="s">
        <v>3285</v>
      </c>
      <c r="Y217" s="30" t="s">
        <v>23</v>
      </c>
      <c r="Z217" s="30" t="s">
        <v>178</v>
      </c>
      <c r="AA217" s="30" t="s">
        <v>3286</v>
      </c>
      <c r="AB217" s="30" t="s">
        <v>3287</v>
      </c>
      <c r="AC217" s="30" t="s">
        <v>23</v>
      </c>
      <c r="AD217" s="30" t="s">
        <v>178</v>
      </c>
      <c r="AE217" s="30" t="s">
        <v>134</v>
      </c>
    </row>
    <row r="218" ht="22.5" customHeight="1">
      <c r="A218" s="28">
        <v>46241.63577689815</v>
      </c>
      <c r="B218" s="30" t="s">
        <v>3288</v>
      </c>
      <c r="C218" s="30" t="s">
        <v>3289</v>
      </c>
      <c r="D218" s="30" t="s">
        <v>193</v>
      </c>
      <c r="E218" s="30" t="s">
        <v>3290</v>
      </c>
      <c r="F218" s="30" t="s">
        <v>3179</v>
      </c>
      <c r="G218" s="30" t="s">
        <v>23</v>
      </c>
      <c r="H218" s="30" t="s">
        <v>22</v>
      </c>
      <c r="I218" s="30">
        <v>7.418563309E9</v>
      </c>
      <c r="J218" s="30" t="s">
        <v>3288</v>
      </c>
      <c r="K218" s="30" t="s">
        <v>3291</v>
      </c>
      <c r="L218" s="30" t="s">
        <v>3292</v>
      </c>
      <c r="M218" s="30" t="s">
        <v>23</v>
      </c>
      <c r="N218" s="30" t="s">
        <v>22</v>
      </c>
      <c r="O218" s="30" t="s">
        <v>3293</v>
      </c>
      <c r="P218" s="30" t="s">
        <v>3294</v>
      </c>
      <c r="Q218" s="30" t="s">
        <v>23</v>
      </c>
      <c r="R218" s="30" t="s">
        <v>22</v>
      </c>
      <c r="S218" s="30" t="s">
        <v>3295</v>
      </c>
      <c r="T218" s="30" t="s">
        <v>3296</v>
      </c>
      <c r="U218" s="30" t="s">
        <v>23</v>
      </c>
      <c r="V218" s="30" t="s">
        <v>313</v>
      </c>
      <c r="W218" s="30" t="s">
        <v>3297</v>
      </c>
      <c r="X218" s="30" t="s">
        <v>3298</v>
      </c>
      <c r="Y218" s="30" t="s">
        <v>23</v>
      </c>
      <c r="Z218" s="30" t="s">
        <v>94</v>
      </c>
      <c r="AA218" s="30" t="s">
        <v>3299</v>
      </c>
      <c r="AB218" s="30" t="s">
        <v>3300</v>
      </c>
      <c r="AC218" s="30" t="s">
        <v>23</v>
      </c>
      <c r="AD218" s="30" t="s">
        <v>280</v>
      </c>
      <c r="AE218" s="30" t="s">
        <v>134</v>
      </c>
    </row>
    <row r="219" ht="22.5" customHeight="1">
      <c r="A219" s="28">
        <v>46241.63610578704</v>
      </c>
      <c r="B219" s="30" t="s">
        <v>3301</v>
      </c>
      <c r="C219" s="30" t="s">
        <v>3302</v>
      </c>
      <c r="D219" s="30" t="s">
        <v>82</v>
      </c>
      <c r="E219" s="30" t="s">
        <v>3303</v>
      </c>
      <c r="F219" s="30" t="s">
        <v>3304</v>
      </c>
      <c r="G219" s="30" t="s">
        <v>31</v>
      </c>
      <c r="H219" s="30" t="s">
        <v>219</v>
      </c>
      <c r="I219" s="30">
        <v>9.345715374E9</v>
      </c>
      <c r="J219" s="30" t="s">
        <v>3305</v>
      </c>
      <c r="K219" s="30" t="s">
        <v>3306</v>
      </c>
      <c r="L219" s="30" t="s">
        <v>3307</v>
      </c>
      <c r="M219" s="30" t="s">
        <v>31</v>
      </c>
      <c r="N219" s="30" t="s">
        <v>219</v>
      </c>
      <c r="O219" s="30" t="s">
        <v>3308</v>
      </c>
      <c r="P219" s="30" t="s">
        <v>3309</v>
      </c>
      <c r="Q219" s="30" t="s">
        <v>31</v>
      </c>
      <c r="R219" s="30" t="s">
        <v>219</v>
      </c>
      <c r="S219" s="30" t="s">
        <v>3310</v>
      </c>
      <c r="T219" s="30" t="s">
        <v>3311</v>
      </c>
      <c r="U219" s="30" t="s">
        <v>31</v>
      </c>
      <c r="V219" s="30" t="s">
        <v>219</v>
      </c>
      <c r="W219" s="30" t="s">
        <v>3312</v>
      </c>
      <c r="X219" s="30" t="s">
        <v>3313</v>
      </c>
      <c r="Y219" s="30" t="s">
        <v>31</v>
      </c>
      <c r="Z219" s="30" t="s">
        <v>78</v>
      </c>
      <c r="AA219" s="30" t="s">
        <v>3314</v>
      </c>
      <c r="AB219" s="30" t="s">
        <v>3315</v>
      </c>
      <c r="AC219" s="30" t="s">
        <v>31</v>
      </c>
      <c r="AD219" s="30" t="s">
        <v>69</v>
      </c>
      <c r="AE219" s="30" t="s">
        <v>134</v>
      </c>
    </row>
    <row r="220" ht="22.5" customHeight="1">
      <c r="A220" s="28">
        <v>46241.64508482639</v>
      </c>
      <c r="B220" s="30" t="s">
        <v>3316</v>
      </c>
      <c r="C220" s="30" t="s">
        <v>3317</v>
      </c>
      <c r="D220" s="30" t="s">
        <v>193</v>
      </c>
      <c r="E220" s="30" t="s">
        <v>3318</v>
      </c>
      <c r="F220" s="30" t="s">
        <v>3319</v>
      </c>
      <c r="G220" s="30" t="s">
        <v>23</v>
      </c>
      <c r="H220" s="30" t="s">
        <v>219</v>
      </c>
      <c r="I220" s="30">
        <v>9.994488085E9</v>
      </c>
      <c r="J220" s="30" t="s">
        <v>3320</v>
      </c>
      <c r="K220" s="30" t="s">
        <v>3321</v>
      </c>
      <c r="L220" s="30" t="s">
        <v>3322</v>
      </c>
      <c r="M220" s="30" t="s">
        <v>23</v>
      </c>
      <c r="N220" s="30" t="s">
        <v>219</v>
      </c>
      <c r="O220" s="30" t="s">
        <v>3323</v>
      </c>
      <c r="P220" s="30" t="s">
        <v>3324</v>
      </c>
      <c r="Q220" s="30" t="s">
        <v>23</v>
      </c>
      <c r="R220" s="30" t="s">
        <v>219</v>
      </c>
      <c r="S220" s="30" t="s">
        <v>3325</v>
      </c>
      <c r="T220" s="30" t="s">
        <v>3326</v>
      </c>
      <c r="U220" s="30" t="s">
        <v>23</v>
      </c>
      <c r="V220" s="30" t="s">
        <v>219</v>
      </c>
      <c r="W220" s="30" t="s">
        <v>3327</v>
      </c>
      <c r="X220" s="30" t="s">
        <v>3328</v>
      </c>
      <c r="Y220" s="30" t="s">
        <v>23</v>
      </c>
      <c r="Z220" s="30" t="s">
        <v>126</v>
      </c>
      <c r="AA220" s="30" t="s">
        <v>3329</v>
      </c>
      <c r="AB220" s="30" t="s">
        <v>3330</v>
      </c>
      <c r="AC220" s="30" t="s">
        <v>23</v>
      </c>
      <c r="AD220" s="30" t="s">
        <v>126</v>
      </c>
      <c r="AE220" s="30" t="s">
        <v>134</v>
      </c>
    </row>
    <row r="221" ht="22.5" customHeight="1">
      <c r="A221" s="52">
        <v>46241.64785439815</v>
      </c>
      <c r="B221" s="50" t="s">
        <v>3331</v>
      </c>
      <c r="C221" s="50" t="s">
        <v>261</v>
      </c>
      <c r="D221" s="50" t="s">
        <v>193</v>
      </c>
      <c r="E221" s="50" t="s">
        <v>3332</v>
      </c>
      <c r="F221" s="50" t="s">
        <v>262</v>
      </c>
      <c r="G221" s="50" t="s">
        <v>31</v>
      </c>
      <c r="H221" s="50" t="s">
        <v>243</v>
      </c>
      <c r="I221" s="50">
        <v>6.369985285E9</v>
      </c>
      <c r="J221" s="50" t="s">
        <v>3333</v>
      </c>
      <c r="K221" s="50" t="s">
        <v>3334</v>
      </c>
      <c r="L221" s="50" t="s">
        <v>3335</v>
      </c>
      <c r="M221" s="50" t="s">
        <v>31</v>
      </c>
      <c r="N221" s="50" t="s">
        <v>243</v>
      </c>
      <c r="O221" s="50" t="s">
        <v>3336</v>
      </c>
      <c r="P221" s="50" t="s">
        <v>3337</v>
      </c>
      <c r="Q221" s="50" t="s">
        <v>31</v>
      </c>
      <c r="R221" s="50" t="s">
        <v>243</v>
      </c>
      <c r="S221" s="50" t="s">
        <v>3338</v>
      </c>
      <c r="T221" s="50" t="s">
        <v>3339</v>
      </c>
      <c r="U221" s="50" t="s">
        <v>31</v>
      </c>
      <c r="V221" s="50" t="s">
        <v>126</v>
      </c>
      <c r="W221" s="50" t="s">
        <v>3340</v>
      </c>
      <c r="X221" s="50" t="s">
        <v>3341</v>
      </c>
      <c r="Y221" s="50" t="s">
        <v>31</v>
      </c>
      <c r="Z221" s="50" t="s">
        <v>126</v>
      </c>
      <c r="AA221" s="50" t="s">
        <v>3342</v>
      </c>
      <c r="AB221" s="50" t="s">
        <v>3343</v>
      </c>
      <c r="AC221" s="50" t="s">
        <v>31</v>
      </c>
      <c r="AD221" s="50" t="s">
        <v>178</v>
      </c>
      <c r="AE221" s="50" t="s">
        <v>134</v>
      </c>
      <c r="AF221" s="53"/>
      <c r="AG221" s="53"/>
      <c r="AH221" s="53"/>
      <c r="AI221" s="53"/>
      <c r="AJ221" s="53"/>
      <c r="AK221" s="53"/>
    </row>
    <row r="222" ht="22.5" customHeight="1">
      <c r="A222" s="28">
        <v>46241.64820513889</v>
      </c>
      <c r="B222" s="30" t="s">
        <v>3344</v>
      </c>
      <c r="C222" s="30" t="s">
        <v>3345</v>
      </c>
      <c r="D222" s="30" t="s">
        <v>82</v>
      </c>
      <c r="E222" s="30" t="s">
        <v>3346</v>
      </c>
      <c r="F222" s="30" t="s">
        <v>3347</v>
      </c>
      <c r="G222" s="30" t="s">
        <v>23</v>
      </c>
      <c r="H222" s="30" t="s">
        <v>22</v>
      </c>
      <c r="I222" s="30" t="s">
        <v>3348</v>
      </c>
      <c r="J222" s="30" t="s">
        <v>3349</v>
      </c>
      <c r="K222" s="30" t="s">
        <v>3350</v>
      </c>
      <c r="L222" s="30" t="s">
        <v>3351</v>
      </c>
      <c r="M222" s="30" t="s">
        <v>23</v>
      </c>
      <c r="N222" s="30" t="s">
        <v>22</v>
      </c>
      <c r="O222" s="30" t="s">
        <v>3352</v>
      </c>
      <c r="P222" s="30" t="s">
        <v>3353</v>
      </c>
      <c r="Q222" s="30" t="s">
        <v>23</v>
      </c>
      <c r="R222" s="30" t="s">
        <v>22</v>
      </c>
      <c r="S222" s="30" t="s">
        <v>3354</v>
      </c>
      <c r="T222" s="30" t="s">
        <v>3355</v>
      </c>
      <c r="U222" s="30" t="s">
        <v>23</v>
      </c>
      <c r="V222" s="30" t="s">
        <v>94</v>
      </c>
      <c r="W222" s="30" t="s">
        <v>3356</v>
      </c>
      <c r="X222" s="30" t="s">
        <v>3357</v>
      </c>
      <c r="Y222" s="30" t="s">
        <v>23</v>
      </c>
      <c r="Z222" s="30" t="s">
        <v>178</v>
      </c>
      <c r="AA222" s="30" t="s">
        <v>3358</v>
      </c>
      <c r="AB222" s="30" t="s">
        <v>3359</v>
      </c>
      <c r="AC222" s="30" t="s">
        <v>23</v>
      </c>
      <c r="AD222" s="30" t="s">
        <v>178</v>
      </c>
      <c r="AE222" s="30" t="s">
        <v>134</v>
      </c>
    </row>
    <row r="223" ht="22.5" customHeight="1">
      <c r="A223" s="28">
        <v>46241.64891650463</v>
      </c>
      <c r="B223" s="30" t="s">
        <v>3360</v>
      </c>
      <c r="C223" s="30" t="s">
        <v>3361</v>
      </c>
      <c r="D223" s="30" t="s">
        <v>82</v>
      </c>
      <c r="E223" s="30" t="s">
        <v>3362</v>
      </c>
      <c r="F223" s="30" t="s">
        <v>3363</v>
      </c>
      <c r="G223" s="30" t="s">
        <v>31</v>
      </c>
      <c r="H223" s="30" t="s">
        <v>219</v>
      </c>
      <c r="I223" s="30">
        <v>8.925120918E9</v>
      </c>
      <c r="J223" s="30" t="s">
        <v>3360</v>
      </c>
      <c r="K223" s="30" t="s">
        <v>3364</v>
      </c>
      <c r="L223" s="30" t="s">
        <v>3365</v>
      </c>
      <c r="M223" s="30" t="s">
        <v>31</v>
      </c>
      <c r="N223" s="30" t="s">
        <v>219</v>
      </c>
      <c r="O223" s="30" t="s">
        <v>3366</v>
      </c>
      <c r="P223" s="30" t="s">
        <v>3367</v>
      </c>
      <c r="Q223" s="30" t="s">
        <v>31</v>
      </c>
      <c r="R223" s="30" t="s">
        <v>219</v>
      </c>
      <c r="S223" s="30" t="s">
        <v>3368</v>
      </c>
      <c r="T223" s="30" t="s">
        <v>3369</v>
      </c>
      <c r="U223" s="30" t="s">
        <v>31</v>
      </c>
      <c r="V223" s="30" t="s">
        <v>219</v>
      </c>
      <c r="W223" s="30" t="s">
        <v>3370</v>
      </c>
      <c r="X223" s="30" t="s">
        <v>3371</v>
      </c>
      <c r="Y223" s="30" t="s">
        <v>31</v>
      </c>
      <c r="Z223" s="30" t="s">
        <v>313</v>
      </c>
      <c r="AA223" s="30" t="s">
        <v>3372</v>
      </c>
      <c r="AB223" s="30" t="s">
        <v>3373</v>
      </c>
      <c r="AC223" s="30" t="s">
        <v>31</v>
      </c>
      <c r="AD223" s="30" t="s">
        <v>313</v>
      </c>
      <c r="AE223" s="30" t="s">
        <v>134</v>
      </c>
    </row>
    <row r="224" ht="22.5" customHeight="1">
      <c r="A224" s="28">
        <v>46241.66135284722</v>
      </c>
      <c r="B224" s="30" t="s">
        <v>3374</v>
      </c>
      <c r="C224" s="30" t="s">
        <v>3375</v>
      </c>
      <c r="D224" s="30" t="s">
        <v>193</v>
      </c>
      <c r="E224" s="30" t="s">
        <v>3376</v>
      </c>
      <c r="F224" s="30" t="s">
        <v>3377</v>
      </c>
      <c r="G224" s="30" t="s">
        <v>31</v>
      </c>
      <c r="H224" s="30" t="s">
        <v>22</v>
      </c>
      <c r="I224" s="30">
        <v>9.976131455E9</v>
      </c>
      <c r="J224" s="30" t="s">
        <v>3374</v>
      </c>
      <c r="K224" s="30" t="s">
        <v>3378</v>
      </c>
      <c r="L224" s="30" t="s">
        <v>3379</v>
      </c>
      <c r="M224" s="30" t="s">
        <v>31</v>
      </c>
      <c r="N224" s="30" t="s">
        <v>22</v>
      </c>
      <c r="O224" s="30" t="s">
        <v>3380</v>
      </c>
      <c r="P224" s="30" t="s">
        <v>3381</v>
      </c>
      <c r="Q224" s="30" t="s">
        <v>31</v>
      </c>
      <c r="R224" s="30" t="s">
        <v>22</v>
      </c>
      <c r="S224" s="30" t="s">
        <v>3382</v>
      </c>
      <c r="T224" s="30" t="s">
        <v>3383</v>
      </c>
      <c r="U224" s="30" t="s">
        <v>31</v>
      </c>
      <c r="V224" s="30" t="s">
        <v>22</v>
      </c>
      <c r="W224" s="30" t="s">
        <v>3384</v>
      </c>
      <c r="X224" s="30" t="s">
        <v>3385</v>
      </c>
      <c r="Y224" s="30" t="s">
        <v>31</v>
      </c>
      <c r="Z224" s="30" t="s">
        <v>280</v>
      </c>
      <c r="AA224" s="30" t="s">
        <v>3386</v>
      </c>
      <c r="AB224" s="30" t="s">
        <v>3387</v>
      </c>
      <c r="AC224" s="30" t="s">
        <v>31</v>
      </c>
      <c r="AD224" s="30" t="s">
        <v>69</v>
      </c>
      <c r="AE224" s="30" t="s">
        <v>134</v>
      </c>
    </row>
    <row r="225" ht="22.5" customHeight="1">
      <c r="A225" s="28">
        <v>46241.66239909722</v>
      </c>
      <c r="B225" s="30" t="s">
        <v>3388</v>
      </c>
      <c r="C225" s="30" t="s">
        <v>203</v>
      </c>
      <c r="D225" s="30" t="s">
        <v>193</v>
      </c>
      <c r="E225" s="30" t="s">
        <v>3389</v>
      </c>
      <c r="F225" s="30" t="s">
        <v>204</v>
      </c>
      <c r="G225" s="30" t="s">
        <v>23</v>
      </c>
      <c r="H225" s="30" t="s">
        <v>94</v>
      </c>
      <c r="I225" s="30">
        <v>6.379341807E9</v>
      </c>
      <c r="J225" s="30" t="s">
        <v>3390</v>
      </c>
      <c r="K225" s="30" t="s">
        <v>3391</v>
      </c>
      <c r="L225" s="30" t="s">
        <v>3392</v>
      </c>
      <c r="M225" s="30" t="s">
        <v>23</v>
      </c>
      <c r="N225" s="30" t="s">
        <v>94</v>
      </c>
      <c r="O225" s="30" t="s">
        <v>3393</v>
      </c>
      <c r="P225" s="30" t="s">
        <v>3394</v>
      </c>
      <c r="Q225" s="30" t="s">
        <v>23</v>
      </c>
      <c r="R225" s="30" t="s">
        <v>94</v>
      </c>
      <c r="S225" s="30" t="s">
        <v>3395</v>
      </c>
      <c r="T225" s="30" t="s">
        <v>3396</v>
      </c>
      <c r="U225" s="30" t="s">
        <v>23</v>
      </c>
      <c r="V225" s="30" t="s">
        <v>22</v>
      </c>
      <c r="W225" s="30" t="s">
        <v>3397</v>
      </c>
      <c r="X225" s="30" t="s">
        <v>3398</v>
      </c>
      <c r="Y225" s="30" t="s">
        <v>23</v>
      </c>
      <c r="Z225" s="30" t="s">
        <v>219</v>
      </c>
      <c r="AA225" s="30" t="s">
        <v>3399</v>
      </c>
      <c r="AB225" s="30" t="s">
        <v>3400</v>
      </c>
      <c r="AC225" s="30" t="s">
        <v>23</v>
      </c>
      <c r="AD225" s="30" t="s">
        <v>219</v>
      </c>
      <c r="AE225" s="30" t="s">
        <v>134</v>
      </c>
    </row>
    <row r="226" ht="22.5" customHeight="1">
      <c r="A226" s="28">
        <v>46241.664413935185</v>
      </c>
      <c r="B226" s="30" t="s">
        <v>3401</v>
      </c>
      <c r="C226" s="30" t="s">
        <v>3402</v>
      </c>
      <c r="D226" s="30" t="s">
        <v>193</v>
      </c>
      <c r="E226" s="30" t="s">
        <v>3403</v>
      </c>
      <c r="F226" s="30" t="s">
        <v>3404</v>
      </c>
      <c r="G226" s="30" t="s">
        <v>23</v>
      </c>
      <c r="H226" s="30" t="s">
        <v>94</v>
      </c>
      <c r="I226" s="30">
        <v>9.361526618E9</v>
      </c>
      <c r="J226" s="30" t="s">
        <v>3401</v>
      </c>
      <c r="K226" s="30" t="s">
        <v>3405</v>
      </c>
      <c r="L226" s="30" t="s">
        <v>3406</v>
      </c>
      <c r="M226" s="30" t="s">
        <v>23</v>
      </c>
      <c r="N226" s="30" t="s">
        <v>94</v>
      </c>
      <c r="O226" s="30" t="s">
        <v>3407</v>
      </c>
      <c r="P226" s="30" t="s">
        <v>3408</v>
      </c>
      <c r="Q226" s="30" t="s">
        <v>23</v>
      </c>
      <c r="R226" s="30" t="s">
        <v>94</v>
      </c>
      <c r="S226" s="30" t="s">
        <v>3409</v>
      </c>
      <c r="T226" s="30" t="s">
        <v>3410</v>
      </c>
      <c r="U226" s="30" t="s">
        <v>23</v>
      </c>
      <c r="V226" s="30" t="s">
        <v>94</v>
      </c>
      <c r="W226" s="30" t="s">
        <v>3411</v>
      </c>
      <c r="X226" s="30" t="s">
        <v>3412</v>
      </c>
      <c r="Y226" s="30" t="s">
        <v>23</v>
      </c>
      <c r="Z226" s="30" t="s">
        <v>94</v>
      </c>
      <c r="AA226" s="30" t="s">
        <v>3413</v>
      </c>
      <c r="AB226" s="30" t="s">
        <v>3414</v>
      </c>
      <c r="AC226" s="30" t="s">
        <v>23</v>
      </c>
      <c r="AD226" s="30" t="s">
        <v>22</v>
      </c>
      <c r="AE226" s="30" t="s">
        <v>134</v>
      </c>
    </row>
    <row r="227" ht="22.5" customHeight="1">
      <c r="A227" s="28">
        <v>46241.66458842593</v>
      </c>
      <c r="B227" s="30" t="s">
        <v>3415</v>
      </c>
      <c r="C227" s="30" t="s">
        <v>3416</v>
      </c>
      <c r="D227" s="30" t="s">
        <v>193</v>
      </c>
      <c r="E227" s="30" t="s">
        <v>3417</v>
      </c>
      <c r="F227" s="30" t="s">
        <v>3418</v>
      </c>
      <c r="G227" s="30" t="s">
        <v>23</v>
      </c>
      <c r="H227" s="30" t="s">
        <v>243</v>
      </c>
      <c r="I227" s="30">
        <v>9.488946267E9</v>
      </c>
      <c r="J227" s="30" t="s">
        <v>3419</v>
      </c>
      <c r="K227" s="30" t="s">
        <v>3420</v>
      </c>
      <c r="L227" s="30" t="s">
        <v>3421</v>
      </c>
      <c r="M227" s="30" t="s">
        <v>23</v>
      </c>
      <c r="N227" s="30" t="s">
        <v>243</v>
      </c>
      <c r="O227" s="30" t="s">
        <v>3422</v>
      </c>
      <c r="P227" s="30" t="s">
        <v>3423</v>
      </c>
      <c r="Q227" s="30" t="s">
        <v>23</v>
      </c>
      <c r="R227" s="30" t="s">
        <v>243</v>
      </c>
      <c r="S227" s="30" t="s">
        <v>3424</v>
      </c>
      <c r="T227" s="30" t="s">
        <v>3425</v>
      </c>
      <c r="U227" s="30" t="s">
        <v>23</v>
      </c>
      <c r="V227" s="30" t="s">
        <v>178</v>
      </c>
      <c r="W227" s="30" t="s">
        <v>3426</v>
      </c>
      <c r="X227" s="30" t="s">
        <v>3427</v>
      </c>
      <c r="Y227" s="30" t="s">
        <v>23</v>
      </c>
      <c r="Z227" s="30" t="s">
        <v>178</v>
      </c>
      <c r="AA227" s="30" t="s">
        <v>3428</v>
      </c>
      <c r="AB227" s="30" t="s">
        <v>3429</v>
      </c>
      <c r="AC227" s="30" t="s">
        <v>23</v>
      </c>
      <c r="AD227" s="30" t="s">
        <v>94</v>
      </c>
      <c r="AE227" s="30" t="s">
        <v>134</v>
      </c>
    </row>
    <row r="228" ht="22.5" customHeight="1">
      <c r="A228" s="28">
        <v>46241.66571563657</v>
      </c>
      <c r="B228" s="30" t="s">
        <v>3430</v>
      </c>
      <c r="C228" s="30" t="s">
        <v>3431</v>
      </c>
      <c r="D228" s="30" t="s">
        <v>193</v>
      </c>
      <c r="E228" s="30" t="s">
        <v>3432</v>
      </c>
      <c r="F228" s="30" t="s">
        <v>929</v>
      </c>
      <c r="G228" s="30" t="s">
        <v>23</v>
      </c>
      <c r="H228" s="30" t="s">
        <v>22</v>
      </c>
      <c r="I228" s="30">
        <v>7.708057447E9</v>
      </c>
      <c r="J228" s="30" t="s">
        <v>3430</v>
      </c>
      <c r="K228" s="30" t="s">
        <v>3433</v>
      </c>
      <c r="L228" s="30" t="s">
        <v>3434</v>
      </c>
      <c r="M228" s="30" t="s">
        <v>23</v>
      </c>
      <c r="N228" s="30" t="s">
        <v>22</v>
      </c>
      <c r="O228" s="30" t="s">
        <v>3435</v>
      </c>
      <c r="P228" s="30" t="s">
        <v>3436</v>
      </c>
      <c r="Q228" s="30" t="s">
        <v>23</v>
      </c>
      <c r="R228" s="30" t="s">
        <v>22</v>
      </c>
      <c r="S228" s="30" t="s">
        <v>3437</v>
      </c>
      <c r="T228" s="30" t="s">
        <v>3438</v>
      </c>
      <c r="U228" s="30" t="s">
        <v>23</v>
      </c>
      <c r="V228" s="30" t="s">
        <v>22</v>
      </c>
      <c r="W228" s="30" t="s">
        <v>3439</v>
      </c>
      <c r="X228" s="30" t="s">
        <v>3440</v>
      </c>
      <c r="Y228" s="30" t="s">
        <v>23</v>
      </c>
      <c r="Z228" s="30" t="s">
        <v>126</v>
      </c>
      <c r="AA228" s="30" t="s">
        <v>3441</v>
      </c>
      <c r="AB228" s="30" t="s">
        <v>3442</v>
      </c>
      <c r="AC228" s="30" t="s">
        <v>23</v>
      </c>
      <c r="AD228" s="30" t="s">
        <v>94</v>
      </c>
      <c r="AE228" s="30" t="s">
        <v>134</v>
      </c>
    </row>
    <row r="229" ht="22.5" customHeight="1">
      <c r="A229" s="28">
        <v>46241.6719990625</v>
      </c>
      <c r="B229" s="30" t="s">
        <v>3443</v>
      </c>
      <c r="C229" s="30" t="s">
        <v>3444</v>
      </c>
      <c r="D229" s="30" t="s">
        <v>82</v>
      </c>
      <c r="E229" s="30" t="s">
        <v>3445</v>
      </c>
      <c r="F229" s="30" t="s">
        <v>3446</v>
      </c>
      <c r="G229" s="30" t="s">
        <v>31</v>
      </c>
      <c r="H229" s="30" t="s">
        <v>243</v>
      </c>
      <c r="I229" s="30">
        <v>7.339651521E9</v>
      </c>
      <c r="J229" s="30" t="s">
        <v>3447</v>
      </c>
      <c r="K229" s="30" t="s">
        <v>3448</v>
      </c>
      <c r="L229" s="30" t="s">
        <v>3449</v>
      </c>
      <c r="M229" s="30" t="s">
        <v>31</v>
      </c>
      <c r="N229" s="30" t="s">
        <v>219</v>
      </c>
      <c r="O229" s="30" t="s">
        <v>3450</v>
      </c>
      <c r="P229" s="30" t="s">
        <v>3451</v>
      </c>
      <c r="Q229" s="30" t="s">
        <v>31</v>
      </c>
      <c r="R229" s="30" t="s">
        <v>22</v>
      </c>
      <c r="S229" s="30" t="s">
        <v>3452</v>
      </c>
      <c r="T229" s="30" t="s">
        <v>3453</v>
      </c>
      <c r="U229" s="30" t="s">
        <v>31</v>
      </c>
      <c r="V229" s="30" t="s">
        <v>69</v>
      </c>
      <c r="W229" s="30" t="s">
        <v>3454</v>
      </c>
      <c r="X229" s="30" t="s">
        <v>3455</v>
      </c>
      <c r="Y229" s="30" t="s">
        <v>31</v>
      </c>
      <c r="Z229" s="30" t="s">
        <v>178</v>
      </c>
      <c r="AA229" s="30" t="s">
        <v>3456</v>
      </c>
      <c r="AB229" s="30" t="s">
        <v>3457</v>
      </c>
      <c r="AC229" s="30" t="s">
        <v>23</v>
      </c>
      <c r="AD229" s="30" t="s">
        <v>69</v>
      </c>
      <c r="AE229" s="30" t="s">
        <v>134</v>
      </c>
    </row>
    <row r="230" ht="22.5" customHeight="1">
      <c r="A230" s="28">
        <v>46241.67936490741</v>
      </c>
      <c r="B230" s="30" t="s">
        <v>3458</v>
      </c>
      <c r="C230" s="30" t="s">
        <v>3459</v>
      </c>
      <c r="D230" s="30" t="s">
        <v>193</v>
      </c>
      <c r="E230" s="30" t="s">
        <v>3460</v>
      </c>
      <c r="F230" s="30" t="s">
        <v>3461</v>
      </c>
      <c r="G230" s="30" t="s">
        <v>23</v>
      </c>
      <c r="H230" s="30" t="s">
        <v>22</v>
      </c>
      <c r="I230" s="30">
        <v>9.09500815E9</v>
      </c>
      <c r="J230" s="30" t="s">
        <v>3458</v>
      </c>
      <c r="K230" s="30" t="s">
        <v>3462</v>
      </c>
      <c r="L230" s="30" t="s">
        <v>3463</v>
      </c>
      <c r="M230" s="30" t="s">
        <v>23</v>
      </c>
      <c r="N230" s="30" t="s">
        <v>22</v>
      </c>
      <c r="O230" s="30" t="s">
        <v>3464</v>
      </c>
      <c r="P230" s="30" t="s">
        <v>3465</v>
      </c>
      <c r="Q230" s="30" t="s">
        <v>23</v>
      </c>
      <c r="R230" s="30" t="s">
        <v>22</v>
      </c>
      <c r="S230" s="30" t="s">
        <v>3466</v>
      </c>
      <c r="T230" s="30" t="s">
        <v>3467</v>
      </c>
      <c r="U230" s="30" t="s">
        <v>23</v>
      </c>
      <c r="V230" s="30" t="s">
        <v>22</v>
      </c>
      <c r="W230" s="30" t="s">
        <v>3468</v>
      </c>
      <c r="X230" s="30" t="s">
        <v>3469</v>
      </c>
      <c r="Y230" s="30" t="s">
        <v>23</v>
      </c>
      <c r="Z230" s="30" t="s">
        <v>219</v>
      </c>
      <c r="AA230" s="30" t="s">
        <v>3470</v>
      </c>
      <c r="AB230" s="30" t="s">
        <v>3471</v>
      </c>
      <c r="AC230" s="30" t="s">
        <v>23</v>
      </c>
      <c r="AD230" s="30" t="s">
        <v>219</v>
      </c>
      <c r="AE230" s="30" t="s">
        <v>134</v>
      </c>
    </row>
    <row r="231" ht="22.5" customHeight="1">
      <c r="A231" s="28">
        <v>46241.681238680554</v>
      </c>
      <c r="B231" s="30" t="s">
        <v>3472</v>
      </c>
      <c r="C231" s="30" t="s">
        <v>3473</v>
      </c>
      <c r="D231" s="30" t="s">
        <v>193</v>
      </c>
      <c r="E231" s="30" t="s">
        <v>3474</v>
      </c>
      <c r="F231" s="30" t="s">
        <v>3475</v>
      </c>
      <c r="G231" s="30" t="s">
        <v>23</v>
      </c>
      <c r="H231" s="30" t="s">
        <v>280</v>
      </c>
      <c r="I231" s="30">
        <v>9.894224443E9</v>
      </c>
      <c r="J231" s="30" t="s">
        <v>3472</v>
      </c>
      <c r="K231" s="30" t="s">
        <v>3476</v>
      </c>
      <c r="L231" s="30" t="s">
        <v>3477</v>
      </c>
      <c r="M231" s="30" t="s">
        <v>23</v>
      </c>
      <c r="N231" s="30" t="s">
        <v>280</v>
      </c>
      <c r="O231" s="30" t="s">
        <v>3478</v>
      </c>
      <c r="P231" s="30" t="s">
        <v>3479</v>
      </c>
      <c r="Q231" s="30" t="s">
        <v>23</v>
      </c>
      <c r="R231" s="30" t="s">
        <v>280</v>
      </c>
      <c r="S231" s="30" t="s">
        <v>3480</v>
      </c>
      <c r="T231" s="30" t="s">
        <v>3481</v>
      </c>
      <c r="U231" s="30" t="s">
        <v>23</v>
      </c>
      <c r="V231" s="30" t="s">
        <v>280</v>
      </c>
      <c r="W231" s="30" t="s">
        <v>3482</v>
      </c>
      <c r="X231" s="30" t="s">
        <v>3483</v>
      </c>
      <c r="Y231" s="30" t="s">
        <v>23</v>
      </c>
      <c r="Z231" s="30" t="s">
        <v>280</v>
      </c>
      <c r="AA231" s="30" t="s">
        <v>3484</v>
      </c>
      <c r="AB231" s="30" t="s">
        <v>3485</v>
      </c>
      <c r="AC231" s="30" t="s">
        <v>23</v>
      </c>
      <c r="AD231" s="30" t="s">
        <v>22</v>
      </c>
      <c r="AE231" s="30" t="s">
        <v>134</v>
      </c>
    </row>
    <row r="232" ht="22.5" customHeight="1">
      <c r="A232" s="28">
        <v>46241.682194270834</v>
      </c>
      <c r="B232" s="30" t="s">
        <v>3486</v>
      </c>
      <c r="C232" s="30" t="s">
        <v>3487</v>
      </c>
      <c r="D232" s="30" t="s">
        <v>193</v>
      </c>
      <c r="E232" s="30" t="s">
        <v>3488</v>
      </c>
      <c r="F232" s="30" t="s">
        <v>3489</v>
      </c>
      <c r="G232" s="30" t="s">
        <v>23</v>
      </c>
      <c r="H232" s="30" t="s">
        <v>243</v>
      </c>
      <c r="I232" s="30">
        <v>9.043063787E9</v>
      </c>
      <c r="J232" s="30" t="s">
        <v>3490</v>
      </c>
      <c r="K232" s="30" t="s">
        <v>3491</v>
      </c>
      <c r="L232" s="30" t="s">
        <v>3492</v>
      </c>
      <c r="M232" s="30" t="s">
        <v>23</v>
      </c>
      <c r="N232" s="30" t="s">
        <v>243</v>
      </c>
      <c r="O232" s="30" t="s">
        <v>3478</v>
      </c>
      <c r="P232" s="30" t="s">
        <v>3493</v>
      </c>
      <c r="Q232" s="30" t="s">
        <v>23</v>
      </c>
      <c r="R232" s="30" t="s">
        <v>243</v>
      </c>
      <c r="S232" s="30" t="s">
        <v>3494</v>
      </c>
      <c r="T232" s="30" t="s">
        <v>3495</v>
      </c>
      <c r="U232" s="30" t="s">
        <v>23</v>
      </c>
      <c r="V232" s="30" t="s">
        <v>243</v>
      </c>
      <c r="W232" s="30" t="s">
        <v>3496</v>
      </c>
      <c r="X232" s="30" t="s">
        <v>3497</v>
      </c>
      <c r="Y232" s="30" t="s">
        <v>23</v>
      </c>
      <c r="Z232" s="30" t="s">
        <v>243</v>
      </c>
      <c r="AA232" s="30" t="s">
        <v>3498</v>
      </c>
      <c r="AB232" s="30" t="s">
        <v>3499</v>
      </c>
      <c r="AC232" s="30" t="s">
        <v>23</v>
      </c>
      <c r="AD232" s="30" t="s">
        <v>243</v>
      </c>
      <c r="AE232" s="30" t="s">
        <v>134</v>
      </c>
    </row>
    <row r="233" ht="22.5" customHeight="1">
      <c r="A233" s="28">
        <v>46241.6829516088</v>
      </c>
      <c r="B233" s="30" t="s">
        <v>3500</v>
      </c>
      <c r="C233" s="30" t="s">
        <v>3501</v>
      </c>
      <c r="D233" s="30" t="s">
        <v>193</v>
      </c>
      <c r="E233" s="30" t="s">
        <v>3502</v>
      </c>
      <c r="F233" s="30" t="s">
        <v>3503</v>
      </c>
      <c r="G233" s="30" t="s">
        <v>23</v>
      </c>
      <c r="H233" s="30" t="s">
        <v>219</v>
      </c>
      <c r="I233" s="30">
        <v>9.345228312E9</v>
      </c>
      <c r="J233" s="30" t="s">
        <v>3504</v>
      </c>
      <c r="K233" s="30" t="s">
        <v>3505</v>
      </c>
      <c r="L233" s="30" t="s">
        <v>3506</v>
      </c>
      <c r="M233" s="30" t="s">
        <v>23</v>
      </c>
      <c r="N233" s="30" t="s">
        <v>219</v>
      </c>
      <c r="O233" s="30" t="s">
        <v>3507</v>
      </c>
      <c r="P233" s="30" t="s">
        <v>3508</v>
      </c>
      <c r="Q233" s="30" t="s">
        <v>23</v>
      </c>
      <c r="R233" s="30" t="s">
        <v>219</v>
      </c>
      <c r="S233" s="30" t="s">
        <v>3509</v>
      </c>
      <c r="T233" s="30" t="s">
        <v>3510</v>
      </c>
      <c r="U233" s="30" t="s">
        <v>23</v>
      </c>
      <c r="V233" s="30" t="s">
        <v>219</v>
      </c>
      <c r="W233" s="30" t="s">
        <v>3511</v>
      </c>
      <c r="X233" s="30" t="s">
        <v>3512</v>
      </c>
      <c r="Y233" s="30" t="s">
        <v>23</v>
      </c>
      <c r="Z233" s="30" t="s">
        <v>219</v>
      </c>
      <c r="AA233" s="30" t="s">
        <v>3513</v>
      </c>
      <c r="AB233" s="30" t="s">
        <v>3514</v>
      </c>
      <c r="AC233" s="30" t="s">
        <v>23</v>
      </c>
      <c r="AD233" s="30" t="s">
        <v>219</v>
      </c>
      <c r="AE233" s="30" t="s">
        <v>134</v>
      </c>
    </row>
    <row r="234" ht="22.5" customHeight="1">
      <c r="A234" s="28">
        <v>46241.68563353009</v>
      </c>
      <c r="B234" s="30" t="s">
        <v>3515</v>
      </c>
      <c r="C234" s="30" t="s">
        <v>3516</v>
      </c>
      <c r="D234" s="30" t="s">
        <v>82</v>
      </c>
      <c r="E234" s="30" t="s">
        <v>3517</v>
      </c>
      <c r="F234" s="30" t="s">
        <v>3518</v>
      </c>
      <c r="G234" s="30" t="s">
        <v>23</v>
      </c>
      <c r="H234" s="30" t="s">
        <v>313</v>
      </c>
      <c r="I234" s="30">
        <v>9.150212929E9</v>
      </c>
      <c r="J234" s="30" t="s">
        <v>3515</v>
      </c>
      <c r="K234" s="30" t="s">
        <v>3519</v>
      </c>
      <c r="L234" s="30" t="s">
        <v>3520</v>
      </c>
      <c r="M234" s="30" t="s">
        <v>23</v>
      </c>
      <c r="N234" s="30" t="s">
        <v>219</v>
      </c>
      <c r="O234" s="30" t="s">
        <v>3521</v>
      </c>
      <c r="P234" s="30" t="s">
        <v>3522</v>
      </c>
      <c r="Q234" s="30" t="s">
        <v>23</v>
      </c>
      <c r="R234" s="30" t="s">
        <v>126</v>
      </c>
      <c r="S234" s="30" t="s">
        <v>3523</v>
      </c>
      <c r="T234" s="30" t="s">
        <v>3524</v>
      </c>
      <c r="U234" s="30" t="s">
        <v>23</v>
      </c>
      <c r="V234" s="30" t="s">
        <v>219</v>
      </c>
      <c r="W234" s="30" t="s">
        <v>3525</v>
      </c>
      <c r="X234" s="30" t="s">
        <v>3526</v>
      </c>
      <c r="Y234" s="30" t="s">
        <v>23</v>
      </c>
      <c r="Z234" s="30" t="s">
        <v>219</v>
      </c>
      <c r="AA234" s="30" t="s">
        <v>3527</v>
      </c>
      <c r="AB234" s="30" t="s">
        <v>3528</v>
      </c>
      <c r="AC234" s="30" t="s">
        <v>23</v>
      </c>
      <c r="AD234" s="30" t="s">
        <v>313</v>
      </c>
      <c r="AE234" s="30" t="s">
        <v>134</v>
      </c>
    </row>
    <row r="235" ht="22.5" customHeight="1">
      <c r="A235" s="28">
        <v>46241.692193622686</v>
      </c>
      <c r="B235" s="30" t="s">
        <v>3529</v>
      </c>
      <c r="C235" s="30" t="s">
        <v>3530</v>
      </c>
      <c r="D235" s="30" t="s">
        <v>193</v>
      </c>
      <c r="E235" s="30" t="s">
        <v>3531</v>
      </c>
      <c r="F235" s="30" t="s">
        <v>3532</v>
      </c>
      <c r="G235" s="30" t="s">
        <v>23</v>
      </c>
      <c r="H235" s="30" t="s">
        <v>280</v>
      </c>
      <c r="I235" s="30">
        <v>8.778239579E9</v>
      </c>
      <c r="J235" s="30" t="s">
        <v>3529</v>
      </c>
      <c r="K235" s="30" t="s">
        <v>3533</v>
      </c>
      <c r="L235" s="30" t="s">
        <v>3534</v>
      </c>
      <c r="M235" s="30" t="s">
        <v>23</v>
      </c>
      <c r="N235" s="30" t="s">
        <v>126</v>
      </c>
      <c r="O235" s="30" t="s">
        <v>3535</v>
      </c>
      <c r="P235" s="30" t="s">
        <v>3536</v>
      </c>
      <c r="Q235" s="30" t="s">
        <v>23</v>
      </c>
      <c r="R235" s="30" t="s">
        <v>219</v>
      </c>
      <c r="S235" s="30" t="s">
        <v>3537</v>
      </c>
      <c r="T235" s="30" t="s">
        <v>3538</v>
      </c>
      <c r="U235" s="30" t="s">
        <v>23</v>
      </c>
      <c r="V235" s="30" t="s">
        <v>126</v>
      </c>
      <c r="W235" s="30" t="s">
        <v>3539</v>
      </c>
      <c r="X235" s="30" t="s">
        <v>3540</v>
      </c>
      <c r="Y235" s="30" t="s">
        <v>23</v>
      </c>
      <c r="Z235" s="30" t="s">
        <v>219</v>
      </c>
      <c r="AA235" s="30" t="s">
        <v>3541</v>
      </c>
      <c r="AB235" s="30" t="s">
        <v>3542</v>
      </c>
      <c r="AC235" s="30" t="s">
        <v>23</v>
      </c>
      <c r="AD235" s="30" t="s">
        <v>126</v>
      </c>
      <c r="AE235" s="30" t="s">
        <v>134</v>
      </c>
    </row>
    <row r="236" ht="22.5" customHeight="1">
      <c r="A236" s="28">
        <v>46241.70329417824</v>
      </c>
      <c r="B236" s="30" t="s">
        <v>3543</v>
      </c>
      <c r="C236" s="30" t="s">
        <v>380</v>
      </c>
      <c r="D236" s="30" t="s">
        <v>193</v>
      </c>
      <c r="E236" s="30" t="s">
        <v>3544</v>
      </c>
      <c r="F236" s="30" t="s">
        <v>361</v>
      </c>
      <c r="G236" s="30" t="s">
        <v>31</v>
      </c>
      <c r="H236" s="30" t="s">
        <v>280</v>
      </c>
      <c r="I236" s="30">
        <v>8.667097599E9</v>
      </c>
      <c r="J236" s="30" t="s">
        <v>3545</v>
      </c>
      <c r="K236" s="30" t="s">
        <v>3546</v>
      </c>
      <c r="L236" s="30" t="s">
        <v>3547</v>
      </c>
      <c r="M236" s="30" t="s">
        <v>31</v>
      </c>
      <c r="N236" s="30" t="s">
        <v>280</v>
      </c>
      <c r="O236" s="30" t="s">
        <v>3548</v>
      </c>
      <c r="P236" s="30" t="s">
        <v>3549</v>
      </c>
      <c r="Q236" s="30" t="s">
        <v>31</v>
      </c>
      <c r="R236" s="30" t="s">
        <v>178</v>
      </c>
      <c r="S236" s="30" t="s">
        <v>3550</v>
      </c>
      <c r="T236" s="30" t="s">
        <v>3551</v>
      </c>
      <c r="U236" s="30" t="s">
        <v>31</v>
      </c>
      <c r="V236" s="30" t="s">
        <v>280</v>
      </c>
      <c r="W236" s="30" t="s">
        <v>3552</v>
      </c>
      <c r="X236" s="30" t="s">
        <v>3553</v>
      </c>
      <c r="Y236" s="30" t="s">
        <v>31</v>
      </c>
      <c r="Z236" s="30" t="s">
        <v>94</v>
      </c>
      <c r="AA236" s="30" t="s">
        <v>3554</v>
      </c>
      <c r="AB236" s="30" t="s">
        <v>3555</v>
      </c>
      <c r="AC236" s="30" t="s">
        <v>31</v>
      </c>
      <c r="AD236" s="30" t="s">
        <v>94</v>
      </c>
      <c r="AE236" s="30" t="s">
        <v>134</v>
      </c>
    </row>
    <row r="237" ht="22.5" customHeight="1">
      <c r="A237" s="28">
        <v>46241.704379930554</v>
      </c>
      <c r="B237" s="30" t="s">
        <v>3556</v>
      </c>
      <c r="C237" s="30" t="s">
        <v>234</v>
      </c>
      <c r="D237" s="30" t="s">
        <v>193</v>
      </c>
      <c r="E237" s="30" t="s">
        <v>3557</v>
      </c>
      <c r="F237" s="30" t="s">
        <v>235</v>
      </c>
      <c r="G237" s="30" t="s">
        <v>23</v>
      </c>
      <c r="H237" s="30" t="s">
        <v>219</v>
      </c>
      <c r="I237" s="30">
        <v>7.708916752E9</v>
      </c>
      <c r="J237" s="30" t="s">
        <v>3556</v>
      </c>
      <c r="K237" s="30" t="s">
        <v>3558</v>
      </c>
      <c r="L237" s="30" t="s">
        <v>3559</v>
      </c>
      <c r="M237" s="30" t="s">
        <v>23</v>
      </c>
      <c r="N237" s="30" t="s">
        <v>219</v>
      </c>
      <c r="O237" s="30" t="s">
        <v>3560</v>
      </c>
      <c r="P237" s="30" t="s">
        <v>3561</v>
      </c>
      <c r="Q237" s="30" t="s">
        <v>23</v>
      </c>
      <c r="R237" s="30" t="s">
        <v>219</v>
      </c>
      <c r="S237" s="30" t="s">
        <v>3562</v>
      </c>
      <c r="T237" s="30" t="s">
        <v>3563</v>
      </c>
      <c r="U237" s="30" t="s">
        <v>23</v>
      </c>
      <c r="V237" s="30" t="s">
        <v>219</v>
      </c>
      <c r="W237" s="30" t="s">
        <v>3564</v>
      </c>
      <c r="X237" s="30" t="s">
        <v>3565</v>
      </c>
      <c r="Y237" s="30" t="s">
        <v>23</v>
      </c>
      <c r="Z237" s="30" t="s">
        <v>94</v>
      </c>
      <c r="AA237" s="30" t="s">
        <v>3566</v>
      </c>
      <c r="AB237" s="30" t="s">
        <v>2678</v>
      </c>
      <c r="AC237" s="30" t="s">
        <v>23</v>
      </c>
      <c r="AD237" s="30" t="s">
        <v>126</v>
      </c>
      <c r="AE237" s="30" t="s">
        <v>134</v>
      </c>
    </row>
    <row r="238" ht="22.5" customHeight="1">
      <c r="A238" s="28">
        <v>46241.70442112269</v>
      </c>
      <c r="B238" s="30" t="s">
        <v>3567</v>
      </c>
      <c r="C238" s="30" t="s">
        <v>3568</v>
      </c>
      <c r="D238" s="30" t="s">
        <v>193</v>
      </c>
      <c r="E238" s="30">
        <v>7.22825148057E11</v>
      </c>
      <c r="F238" s="30" t="s">
        <v>3569</v>
      </c>
      <c r="G238" s="30" t="s">
        <v>31</v>
      </c>
      <c r="H238" s="30" t="s">
        <v>219</v>
      </c>
      <c r="I238" s="30">
        <v>6.374746651E9</v>
      </c>
      <c r="J238" s="30" t="s">
        <v>3570</v>
      </c>
      <c r="K238" s="30" t="s">
        <v>3571</v>
      </c>
      <c r="L238" s="30" t="s">
        <v>3572</v>
      </c>
      <c r="M238" s="30" t="s">
        <v>31</v>
      </c>
      <c r="N238" s="30" t="s">
        <v>219</v>
      </c>
      <c r="O238" s="30" t="s">
        <v>3573</v>
      </c>
      <c r="P238" s="30" t="s">
        <v>3574</v>
      </c>
      <c r="Q238" s="30" t="s">
        <v>31</v>
      </c>
      <c r="R238" s="30" t="s">
        <v>219</v>
      </c>
      <c r="S238" s="30" t="s">
        <v>3575</v>
      </c>
      <c r="T238" s="30" t="s">
        <v>3576</v>
      </c>
      <c r="U238" s="30" t="s">
        <v>31</v>
      </c>
      <c r="V238" s="30" t="s">
        <v>280</v>
      </c>
      <c r="W238" s="30" t="s">
        <v>3577</v>
      </c>
      <c r="X238" s="30" t="s">
        <v>3578</v>
      </c>
      <c r="Y238" s="30" t="s">
        <v>31</v>
      </c>
      <c r="Z238" s="30" t="s">
        <v>219</v>
      </c>
      <c r="AA238" s="30" t="s">
        <v>3579</v>
      </c>
      <c r="AB238" s="30" t="s">
        <v>3065</v>
      </c>
      <c r="AC238" s="30" t="s">
        <v>31</v>
      </c>
      <c r="AD238" s="30" t="s">
        <v>219</v>
      </c>
      <c r="AE238" s="30" t="s">
        <v>134</v>
      </c>
    </row>
    <row r="239" ht="22.5" customHeight="1">
      <c r="A239" s="28">
        <v>46241.704565567125</v>
      </c>
      <c r="B239" s="30" t="s">
        <v>3580</v>
      </c>
      <c r="C239" s="30" t="s">
        <v>3581</v>
      </c>
      <c r="D239" s="30" t="s">
        <v>193</v>
      </c>
      <c r="E239" s="30" t="s">
        <v>3582</v>
      </c>
      <c r="F239" s="30" t="s">
        <v>3583</v>
      </c>
      <c r="G239" s="30" t="s">
        <v>23</v>
      </c>
      <c r="H239" s="30" t="s">
        <v>243</v>
      </c>
      <c r="I239" s="30">
        <v>8.248065698E9</v>
      </c>
      <c r="J239" s="30" t="s">
        <v>3584</v>
      </c>
      <c r="K239" s="30" t="s">
        <v>3585</v>
      </c>
      <c r="L239" s="30" t="s">
        <v>3586</v>
      </c>
      <c r="M239" s="30" t="s">
        <v>23</v>
      </c>
      <c r="N239" s="30" t="s">
        <v>243</v>
      </c>
      <c r="O239" s="30" t="s">
        <v>3587</v>
      </c>
      <c r="P239" s="30" t="s">
        <v>3588</v>
      </c>
      <c r="Q239" s="30" t="s">
        <v>23</v>
      </c>
      <c r="R239" s="30" t="s">
        <v>243</v>
      </c>
      <c r="S239" s="30" t="s">
        <v>3589</v>
      </c>
      <c r="T239" s="30" t="s">
        <v>3590</v>
      </c>
      <c r="U239" s="30" t="s">
        <v>23</v>
      </c>
      <c r="V239" s="30" t="s">
        <v>219</v>
      </c>
      <c r="W239" s="30" t="s">
        <v>3591</v>
      </c>
      <c r="X239" s="30" t="s">
        <v>3592</v>
      </c>
      <c r="Y239" s="30" t="s">
        <v>23</v>
      </c>
      <c r="Z239" s="30" t="s">
        <v>219</v>
      </c>
      <c r="AA239" s="30" t="s">
        <v>3593</v>
      </c>
      <c r="AB239" s="30" t="s">
        <v>3594</v>
      </c>
      <c r="AC239" s="30" t="s">
        <v>23</v>
      </c>
      <c r="AD239" s="30" t="s">
        <v>219</v>
      </c>
      <c r="AE239" s="30" t="s">
        <v>134</v>
      </c>
    </row>
    <row r="240" ht="22.5" customHeight="1">
      <c r="A240" s="28">
        <v>46241.70509758102</v>
      </c>
      <c r="B240" s="30" t="s">
        <v>3595</v>
      </c>
      <c r="C240" s="30" t="s">
        <v>3596</v>
      </c>
      <c r="D240" s="30" t="s">
        <v>193</v>
      </c>
      <c r="E240" s="30" t="s">
        <v>3597</v>
      </c>
      <c r="F240" s="30" t="s">
        <v>3598</v>
      </c>
      <c r="G240" s="30" t="s">
        <v>23</v>
      </c>
      <c r="H240" s="30" t="s">
        <v>94</v>
      </c>
      <c r="I240" s="30">
        <v>7.339246139E9</v>
      </c>
      <c r="J240" s="30" t="s">
        <v>3595</v>
      </c>
      <c r="K240" s="30" t="s">
        <v>3599</v>
      </c>
      <c r="L240" s="30" t="s">
        <v>3600</v>
      </c>
      <c r="M240" s="30" t="s">
        <v>23</v>
      </c>
      <c r="N240" s="30" t="s">
        <v>94</v>
      </c>
      <c r="O240" s="30" t="s">
        <v>3601</v>
      </c>
      <c r="P240" s="30" t="s">
        <v>3602</v>
      </c>
      <c r="Q240" s="30" t="s">
        <v>23</v>
      </c>
      <c r="R240" s="30" t="s">
        <v>94</v>
      </c>
      <c r="S240" s="30" t="s">
        <v>3603</v>
      </c>
      <c r="T240" s="30" t="s">
        <v>3604</v>
      </c>
      <c r="U240" s="30" t="s">
        <v>23</v>
      </c>
      <c r="V240" s="30" t="s">
        <v>94</v>
      </c>
      <c r="W240" s="30" t="s">
        <v>3605</v>
      </c>
      <c r="X240" s="30" t="s">
        <v>3606</v>
      </c>
      <c r="Y240" s="30" t="s">
        <v>23</v>
      </c>
      <c r="Z240" s="30" t="s">
        <v>22</v>
      </c>
      <c r="AA240" s="30" t="s">
        <v>3607</v>
      </c>
      <c r="AB240" s="30" t="s">
        <v>3608</v>
      </c>
      <c r="AC240" s="30" t="s">
        <v>23</v>
      </c>
      <c r="AD240" s="30" t="s">
        <v>94</v>
      </c>
      <c r="AE240" s="30" t="s">
        <v>134</v>
      </c>
    </row>
    <row r="241" ht="22.5" customHeight="1">
      <c r="A241" s="28">
        <v>46241.70618824074</v>
      </c>
      <c r="B241" s="30" t="s">
        <v>3609</v>
      </c>
      <c r="C241" s="30" t="s">
        <v>3610</v>
      </c>
      <c r="D241" s="30" t="s">
        <v>193</v>
      </c>
      <c r="E241" s="30" t="s">
        <v>3611</v>
      </c>
      <c r="F241" s="30" t="s">
        <v>3612</v>
      </c>
      <c r="G241" s="30" t="s">
        <v>23</v>
      </c>
      <c r="H241" s="30" t="s">
        <v>22</v>
      </c>
      <c r="I241" s="30">
        <v>8.82562683E9</v>
      </c>
      <c r="J241" s="30" t="s">
        <v>3609</v>
      </c>
      <c r="K241" s="30" t="s">
        <v>3613</v>
      </c>
      <c r="L241" s="30" t="s">
        <v>3614</v>
      </c>
      <c r="M241" s="30" t="s">
        <v>23</v>
      </c>
      <c r="N241" s="30" t="s">
        <v>219</v>
      </c>
      <c r="O241" s="30" t="s">
        <v>3615</v>
      </c>
      <c r="P241" s="30" t="s">
        <v>3616</v>
      </c>
      <c r="Q241" s="30" t="s">
        <v>23</v>
      </c>
      <c r="R241" s="30" t="s">
        <v>22</v>
      </c>
      <c r="S241" s="30" t="s">
        <v>3617</v>
      </c>
      <c r="T241" s="30" t="s">
        <v>3618</v>
      </c>
      <c r="U241" s="30" t="s">
        <v>23</v>
      </c>
      <c r="V241" s="30" t="s">
        <v>126</v>
      </c>
      <c r="W241" s="30" t="s">
        <v>3619</v>
      </c>
      <c r="X241" s="30" t="s">
        <v>3620</v>
      </c>
      <c r="Y241" s="30" t="s">
        <v>23</v>
      </c>
      <c r="Z241" s="30" t="s">
        <v>22</v>
      </c>
      <c r="AA241" s="30" t="s">
        <v>3621</v>
      </c>
      <c r="AB241" s="30" t="s">
        <v>3622</v>
      </c>
      <c r="AC241" s="30" t="s">
        <v>31</v>
      </c>
      <c r="AD241" s="30" t="s">
        <v>22</v>
      </c>
      <c r="AE241" s="30" t="s">
        <v>134</v>
      </c>
    </row>
    <row r="242" ht="22.5" customHeight="1">
      <c r="A242" s="28">
        <v>46241.70658428241</v>
      </c>
      <c r="B242" s="30" t="s">
        <v>3623</v>
      </c>
      <c r="C242" s="30" t="s">
        <v>3624</v>
      </c>
      <c r="D242" s="30" t="s">
        <v>193</v>
      </c>
      <c r="E242" s="30" t="s">
        <v>3625</v>
      </c>
      <c r="F242" s="30" t="s">
        <v>3626</v>
      </c>
      <c r="G242" s="30" t="s">
        <v>31</v>
      </c>
      <c r="H242" s="30" t="s">
        <v>219</v>
      </c>
      <c r="I242" s="30">
        <v>8.220168505E9</v>
      </c>
      <c r="J242" s="30" t="s">
        <v>3627</v>
      </c>
      <c r="K242" s="30" t="s">
        <v>3628</v>
      </c>
      <c r="L242" s="30" t="s">
        <v>3629</v>
      </c>
      <c r="M242" s="30" t="s">
        <v>31</v>
      </c>
      <c r="N242" s="30" t="s">
        <v>219</v>
      </c>
      <c r="O242" s="30" t="s">
        <v>3630</v>
      </c>
      <c r="P242" s="30" t="s">
        <v>3631</v>
      </c>
      <c r="Q242" s="30" t="s">
        <v>31</v>
      </c>
      <c r="R242" s="30" t="s">
        <v>219</v>
      </c>
      <c r="S242" s="30" t="s">
        <v>3632</v>
      </c>
      <c r="T242" s="30" t="s">
        <v>3633</v>
      </c>
      <c r="U242" s="30" t="s">
        <v>31</v>
      </c>
      <c r="V242" s="30" t="s">
        <v>219</v>
      </c>
      <c r="W242" s="30" t="s">
        <v>3634</v>
      </c>
      <c r="X242" s="30" t="s">
        <v>3635</v>
      </c>
      <c r="Y242" s="30" t="s">
        <v>31</v>
      </c>
      <c r="Z242" s="30" t="s">
        <v>126</v>
      </c>
      <c r="AA242" s="30" t="s">
        <v>3636</v>
      </c>
      <c r="AB242" s="30" t="s">
        <v>3637</v>
      </c>
      <c r="AC242" s="30" t="s">
        <v>31</v>
      </c>
      <c r="AD242" s="30" t="s">
        <v>219</v>
      </c>
      <c r="AE242" s="30" t="s">
        <v>134</v>
      </c>
    </row>
    <row r="243" ht="22.5" customHeight="1">
      <c r="A243" s="28">
        <v>46241.70911763889</v>
      </c>
      <c r="B243" s="30" t="s">
        <v>3638</v>
      </c>
      <c r="C243" s="30" t="s">
        <v>3639</v>
      </c>
      <c r="D243" s="30" t="s">
        <v>193</v>
      </c>
      <c r="E243" s="30" t="s">
        <v>3640</v>
      </c>
      <c r="F243" s="30" t="s">
        <v>3641</v>
      </c>
      <c r="G243" s="30" t="s">
        <v>31</v>
      </c>
      <c r="H243" s="30" t="s">
        <v>78</v>
      </c>
      <c r="I243" s="30">
        <v>8.825623776E9</v>
      </c>
      <c r="J243" s="30" t="s">
        <v>3638</v>
      </c>
      <c r="K243" s="30" t="s">
        <v>3642</v>
      </c>
      <c r="L243" s="30" t="s">
        <v>3643</v>
      </c>
      <c r="M243" s="30" t="s">
        <v>31</v>
      </c>
      <c r="N243" s="30" t="s">
        <v>78</v>
      </c>
      <c r="O243" s="30" t="s">
        <v>3644</v>
      </c>
      <c r="P243" s="30" t="s">
        <v>3645</v>
      </c>
      <c r="Q243" s="30" t="s">
        <v>31</v>
      </c>
      <c r="R243" s="30" t="s">
        <v>78</v>
      </c>
      <c r="S243" s="30" t="s">
        <v>3646</v>
      </c>
      <c r="T243" s="30" t="s">
        <v>3647</v>
      </c>
      <c r="U243" s="30" t="s">
        <v>31</v>
      </c>
      <c r="V243" s="30" t="s">
        <v>78</v>
      </c>
      <c r="W243" s="30" t="s">
        <v>3648</v>
      </c>
      <c r="X243" s="30" t="s">
        <v>3649</v>
      </c>
      <c r="Y243" s="30" t="s">
        <v>31</v>
      </c>
      <c r="Z243" s="30" t="s">
        <v>126</v>
      </c>
      <c r="AA243" s="30" t="s">
        <v>3650</v>
      </c>
      <c r="AB243" s="30" t="s">
        <v>3651</v>
      </c>
      <c r="AC243" s="30" t="s">
        <v>31</v>
      </c>
      <c r="AD243" s="30" t="s">
        <v>94</v>
      </c>
      <c r="AE243" s="30" t="s">
        <v>134</v>
      </c>
    </row>
    <row r="244" ht="22.5" customHeight="1">
      <c r="A244" s="28">
        <v>46241.7121966088</v>
      </c>
      <c r="B244" s="30" t="s">
        <v>3652</v>
      </c>
      <c r="C244" s="30" t="s">
        <v>237</v>
      </c>
      <c r="D244" s="30" t="s">
        <v>82</v>
      </c>
      <c r="E244" s="30" t="s">
        <v>3653</v>
      </c>
      <c r="F244" s="30" t="s">
        <v>238</v>
      </c>
      <c r="G244" s="30" t="s">
        <v>23</v>
      </c>
      <c r="H244" s="30" t="s">
        <v>219</v>
      </c>
      <c r="I244" s="30">
        <v>9.597158465E9</v>
      </c>
      <c r="J244" s="30" t="s">
        <v>3652</v>
      </c>
      <c r="K244" s="30" t="s">
        <v>3654</v>
      </c>
      <c r="L244" s="30" t="s">
        <v>3655</v>
      </c>
      <c r="M244" s="30" t="s">
        <v>23</v>
      </c>
      <c r="N244" s="30" t="s">
        <v>219</v>
      </c>
      <c r="O244" s="30" t="s">
        <v>3656</v>
      </c>
      <c r="P244" s="30" t="s">
        <v>3657</v>
      </c>
      <c r="Q244" s="30" t="s">
        <v>23</v>
      </c>
      <c r="R244" s="30" t="s">
        <v>219</v>
      </c>
      <c r="S244" s="30" t="s">
        <v>3658</v>
      </c>
      <c r="T244" s="30" t="s">
        <v>3659</v>
      </c>
      <c r="U244" s="30" t="s">
        <v>23</v>
      </c>
      <c r="V244" s="30" t="s">
        <v>219</v>
      </c>
      <c r="W244" s="30" t="s">
        <v>3660</v>
      </c>
      <c r="X244" s="30" t="s">
        <v>3661</v>
      </c>
      <c r="Y244" s="30" t="s">
        <v>23</v>
      </c>
      <c r="Z244" s="30" t="s">
        <v>22</v>
      </c>
      <c r="AA244" s="30" t="s">
        <v>3662</v>
      </c>
      <c r="AB244" s="30" t="s">
        <v>3663</v>
      </c>
      <c r="AC244" s="30" t="s">
        <v>31</v>
      </c>
      <c r="AD244" s="30" t="s">
        <v>219</v>
      </c>
      <c r="AE244" s="50" t="s">
        <v>134</v>
      </c>
    </row>
    <row r="245" ht="22.5" customHeight="1">
      <c r="A245" s="28">
        <v>46241.71242365741</v>
      </c>
      <c r="B245" s="30" t="s">
        <v>3664</v>
      </c>
      <c r="C245" s="30" t="s">
        <v>3665</v>
      </c>
      <c r="D245" s="30" t="s">
        <v>193</v>
      </c>
      <c r="E245" s="30" t="s">
        <v>3666</v>
      </c>
      <c r="F245" s="30" t="s">
        <v>3667</v>
      </c>
      <c r="G245" s="30" t="s">
        <v>31</v>
      </c>
      <c r="H245" s="30" t="s">
        <v>22</v>
      </c>
      <c r="I245" s="30">
        <v>8.056161713E9</v>
      </c>
      <c r="J245" s="30" t="s">
        <v>3664</v>
      </c>
      <c r="K245" s="30" t="s">
        <v>3668</v>
      </c>
      <c r="L245" s="30" t="s">
        <v>3669</v>
      </c>
      <c r="M245" s="30" t="s">
        <v>31</v>
      </c>
      <c r="N245" s="30" t="s">
        <v>22</v>
      </c>
      <c r="O245" s="30" t="s">
        <v>3670</v>
      </c>
      <c r="P245" s="30" t="s">
        <v>3671</v>
      </c>
      <c r="Q245" s="30" t="s">
        <v>31</v>
      </c>
      <c r="R245" s="30" t="s">
        <v>22</v>
      </c>
      <c r="S245" s="30" t="s">
        <v>3672</v>
      </c>
      <c r="T245" s="30" t="s">
        <v>3673</v>
      </c>
      <c r="U245" s="30" t="s">
        <v>31</v>
      </c>
      <c r="V245" s="30" t="s">
        <v>22</v>
      </c>
      <c r="W245" s="30" t="s">
        <v>3674</v>
      </c>
      <c r="X245" s="30" t="s">
        <v>3675</v>
      </c>
      <c r="Y245" s="30" t="s">
        <v>31</v>
      </c>
      <c r="Z245" s="30" t="s">
        <v>22</v>
      </c>
      <c r="AA245" s="30" t="s">
        <v>3676</v>
      </c>
      <c r="AB245" s="30" t="s">
        <v>3677</v>
      </c>
      <c r="AC245" s="30" t="s">
        <v>31</v>
      </c>
      <c r="AD245" s="30" t="s">
        <v>22</v>
      </c>
      <c r="AE245" s="30" t="s">
        <v>134</v>
      </c>
    </row>
    <row r="246" ht="22.5" customHeight="1">
      <c r="A246" s="28">
        <v>46241.71320258101</v>
      </c>
      <c r="B246" s="30" t="s">
        <v>3678</v>
      </c>
      <c r="C246" s="30" t="s">
        <v>3679</v>
      </c>
      <c r="D246" s="30" t="s">
        <v>193</v>
      </c>
      <c r="E246" s="30" t="s">
        <v>3680</v>
      </c>
      <c r="F246" s="30" t="s">
        <v>3679</v>
      </c>
      <c r="G246" s="30" t="s">
        <v>31</v>
      </c>
      <c r="H246" s="30" t="s">
        <v>22</v>
      </c>
      <c r="I246" s="30">
        <v>9.626693E9</v>
      </c>
      <c r="J246" s="30" t="s">
        <v>3681</v>
      </c>
      <c r="K246" s="30" t="s">
        <v>3682</v>
      </c>
      <c r="L246" s="30" t="s">
        <v>3683</v>
      </c>
      <c r="M246" s="30" t="s">
        <v>31</v>
      </c>
      <c r="N246" s="30" t="s">
        <v>22</v>
      </c>
      <c r="O246" s="30" t="s">
        <v>3684</v>
      </c>
      <c r="P246" s="30" t="s">
        <v>3685</v>
      </c>
      <c r="Q246" s="30" t="s">
        <v>31</v>
      </c>
      <c r="R246" s="30" t="s">
        <v>22</v>
      </c>
      <c r="S246" s="30" t="s">
        <v>3686</v>
      </c>
      <c r="T246" s="30" t="s">
        <v>3687</v>
      </c>
      <c r="U246" s="30" t="s">
        <v>31</v>
      </c>
      <c r="V246" s="30" t="s">
        <v>219</v>
      </c>
      <c r="W246" s="30" t="s">
        <v>3688</v>
      </c>
      <c r="X246" s="30" t="s">
        <v>3689</v>
      </c>
      <c r="Y246" s="30" t="s">
        <v>31</v>
      </c>
      <c r="Z246" s="30" t="s">
        <v>219</v>
      </c>
      <c r="AA246" s="30" t="s">
        <v>3690</v>
      </c>
      <c r="AB246" s="30" t="s">
        <v>3691</v>
      </c>
      <c r="AC246" s="30" t="s">
        <v>31</v>
      </c>
      <c r="AD246" s="30" t="s">
        <v>22</v>
      </c>
      <c r="AE246" s="30" t="s">
        <v>134</v>
      </c>
    </row>
    <row r="247" ht="22.5" customHeight="1">
      <c r="A247" s="28">
        <v>46241.74066818287</v>
      </c>
      <c r="B247" s="30" t="s">
        <v>3692</v>
      </c>
      <c r="C247" s="30" t="s">
        <v>285</v>
      </c>
      <c r="D247" s="30" t="s">
        <v>82</v>
      </c>
      <c r="E247" s="30" t="s">
        <v>3693</v>
      </c>
      <c r="F247" s="30" t="s">
        <v>286</v>
      </c>
      <c r="G247" s="30" t="s">
        <v>23</v>
      </c>
      <c r="H247" s="30" t="s">
        <v>243</v>
      </c>
      <c r="I247" s="30">
        <v>6.381695252E9</v>
      </c>
      <c r="J247" s="30" t="s">
        <v>3694</v>
      </c>
      <c r="K247" s="30" t="s">
        <v>3695</v>
      </c>
      <c r="L247" s="30" t="s">
        <v>3696</v>
      </c>
      <c r="M247" s="30" t="s">
        <v>23</v>
      </c>
      <c r="N247" s="30" t="s">
        <v>243</v>
      </c>
      <c r="O247" s="30" t="s">
        <v>3697</v>
      </c>
      <c r="P247" s="30" t="s">
        <v>3698</v>
      </c>
      <c r="Q247" s="30" t="s">
        <v>23</v>
      </c>
      <c r="R247" s="30" t="s">
        <v>243</v>
      </c>
      <c r="S247" s="30" t="s">
        <v>3699</v>
      </c>
      <c r="T247" s="30" t="s">
        <v>3700</v>
      </c>
      <c r="U247" s="30" t="s">
        <v>23</v>
      </c>
      <c r="V247" s="30" t="s">
        <v>22</v>
      </c>
      <c r="W247" s="30" t="s">
        <v>3701</v>
      </c>
      <c r="X247" s="30" t="s">
        <v>3702</v>
      </c>
      <c r="Y247" s="30" t="s">
        <v>23</v>
      </c>
      <c r="Z247" s="30" t="s">
        <v>69</v>
      </c>
      <c r="AA247" s="30" t="s">
        <v>3703</v>
      </c>
      <c r="AB247" s="30" t="s">
        <v>3704</v>
      </c>
      <c r="AC247" s="30" t="s">
        <v>23</v>
      </c>
      <c r="AD247" s="30" t="s">
        <v>69</v>
      </c>
      <c r="AE247" s="30" t="s">
        <v>134</v>
      </c>
    </row>
    <row r="248" ht="22.5" customHeight="1">
      <c r="A248" s="28">
        <v>46241.74756659722</v>
      </c>
      <c r="B248" s="30" t="s">
        <v>3705</v>
      </c>
      <c r="C248" s="30" t="s">
        <v>3706</v>
      </c>
      <c r="D248" s="30" t="s">
        <v>193</v>
      </c>
      <c r="E248" s="30" t="s">
        <v>3707</v>
      </c>
      <c r="F248" s="30" t="s">
        <v>3708</v>
      </c>
      <c r="G248" s="30" t="s">
        <v>23</v>
      </c>
      <c r="H248" s="30" t="s">
        <v>22</v>
      </c>
      <c r="I248" s="30" t="s">
        <v>3709</v>
      </c>
      <c r="J248" s="30" t="s">
        <v>3710</v>
      </c>
      <c r="K248" s="30" t="s">
        <v>3711</v>
      </c>
      <c r="L248" s="30" t="s">
        <v>3712</v>
      </c>
      <c r="M248" s="30" t="s">
        <v>23</v>
      </c>
      <c r="N248" s="30" t="s">
        <v>22</v>
      </c>
      <c r="O248" s="30" t="s">
        <v>3713</v>
      </c>
      <c r="P248" s="30" t="s">
        <v>3714</v>
      </c>
      <c r="Q248" s="30" t="s">
        <v>23</v>
      </c>
      <c r="R248" s="30" t="s">
        <v>22</v>
      </c>
      <c r="S248" s="30" t="s">
        <v>3715</v>
      </c>
      <c r="T248" s="30" t="s">
        <v>3716</v>
      </c>
      <c r="U248" s="30" t="s">
        <v>23</v>
      </c>
      <c r="V248" s="30" t="s">
        <v>22</v>
      </c>
      <c r="W248" s="30" t="s">
        <v>3717</v>
      </c>
      <c r="X248" s="30" t="s">
        <v>3718</v>
      </c>
      <c r="Y248" s="30" t="s">
        <v>23</v>
      </c>
      <c r="Z248" s="30" t="s">
        <v>126</v>
      </c>
      <c r="AA248" s="30" t="s">
        <v>3719</v>
      </c>
      <c r="AB248" s="30" t="s">
        <v>3720</v>
      </c>
      <c r="AC248" s="30" t="s">
        <v>23</v>
      </c>
      <c r="AD248" s="30" t="s">
        <v>22</v>
      </c>
      <c r="AE248" s="30" t="s">
        <v>134</v>
      </c>
    </row>
    <row r="249" ht="22.5" customHeight="1">
      <c r="A249" s="28">
        <v>46241.751648715275</v>
      </c>
      <c r="B249" s="30" t="s">
        <v>3721</v>
      </c>
      <c r="C249" s="30" t="s">
        <v>3722</v>
      </c>
      <c r="D249" s="30" t="s">
        <v>193</v>
      </c>
      <c r="E249" s="30" t="s">
        <v>3723</v>
      </c>
      <c r="F249" s="30" t="s">
        <v>3724</v>
      </c>
      <c r="G249" s="30" t="s">
        <v>23</v>
      </c>
      <c r="H249" s="30" t="s">
        <v>94</v>
      </c>
      <c r="I249" s="30">
        <v>6.37965901E9</v>
      </c>
      <c r="J249" s="30" t="s">
        <v>3721</v>
      </c>
      <c r="K249" s="30" t="s">
        <v>3725</v>
      </c>
      <c r="L249" s="30" t="s">
        <v>3726</v>
      </c>
      <c r="M249" s="30" t="s">
        <v>23</v>
      </c>
      <c r="N249" s="30" t="s">
        <v>94</v>
      </c>
      <c r="O249" s="30" t="s">
        <v>3727</v>
      </c>
      <c r="P249" s="30" t="s">
        <v>3728</v>
      </c>
      <c r="Q249" s="30" t="s">
        <v>23</v>
      </c>
      <c r="R249" s="30" t="s">
        <v>94</v>
      </c>
      <c r="S249" s="30" t="s">
        <v>3729</v>
      </c>
      <c r="T249" s="30" t="s">
        <v>3730</v>
      </c>
      <c r="U249" s="30" t="s">
        <v>23</v>
      </c>
      <c r="V249" s="30" t="s">
        <v>94</v>
      </c>
      <c r="W249" s="30" t="s">
        <v>3731</v>
      </c>
      <c r="X249" s="30" t="s">
        <v>3732</v>
      </c>
      <c r="Y249" s="30" t="s">
        <v>23</v>
      </c>
      <c r="Z249" s="30" t="s">
        <v>94</v>
      </c>
      <c r="AA249" s="30" t="s">
        <v>3733</v>
      </c>
      <c r="AB249" s="30" t="s">
        <v>3734</v>
      </c>
      <c r="AC249" s="30" t="s">
        <v>23</v>
      </c>
      <c r="AD249" s="30" t="s">
        <v>94</v>
      </c>
      <c r="AE249" s="30" t="s">
        <v>134</v>
      </c>
    </row>
    <row r="250" ht="22.5" customHeight="1">
      <c r="A250" s="28">
        <v>46241.753530625</v>
      </c>
      <c r="B250" s="30" t="s">
        <v>3735</v>
      </c>
      <c r="C250" s="30" t="s">
        <v>3736</v>
      </c>
      <c r="D250" s="30" t="s">
        <v>82</v>
      </c>
      <c r="E250" s="30" t="s">
        <v>3737</v>
      </c>
      <c r="F250" s="30" t="s">
        <v>3738</v>
      </c>
      <c r="G250" s="30" t="s">
        <v>23</v>
      </c>
      <c r="H250" s="30" t="s">
        <v>22</v>
      </c>
      <c r="I250" s="30">
        <v>9.363958862E9</v>
      </c>
      <c r="J250" s="30" t="s">
        <v>3735</v>
      </c>
      <c r="K250" s="30" t="s">
        <v>3739</v>
      </c>
      <c r="L250" s="30" t="s">
        <v>3740</v>
      </c>
      <c r="M250" s="30" t="s">
        <v>23</v>
      </c>
      <c r="N250" s="30" t="s">
        <v>22</v>
      </c>
      <c r="O250" s="30" t="s">
        <v>3741</v>
      </c>
      <c r="P250" s="30" t="s">
        <v>3742</v>
      </c>
      <c r="Q250" s="30" t="s">
        <v>23</v>
      </c>
      <c r="R250" s="30" t="s">
        <v>22</v>
      </c>
      <c r="S250" s="30" t="s">
        <v>3743</v>
      </c>
      <c r="T250" s="30" t="s">
        <v>3744</v>
      </c>
      <c r="U250" s="30" t="s">
        <v>23</v>
      </c>
      <c r="V250" s="30" t="s">
        <v>22</v>
      </c>
      <c r="W250" s="30" t="s">
        <v>3745</v>
      </c>
      <c r="X250" s="30" t="s">
        <v>3746</v>
      </c>
      <c r="Y250" s="30" t="s">
        <v>23</v>
      </c>
      <c r="Z250" s="30" t="s">
        <v>126</v>
      </c>
      <c r="AA250" s="30" t="s">
        <v>3747</v>
      </c>
      <c r="AB250" s="30" t="s">
        <v>3748</v>
      </c>
      <c r="AC250" s="30" t="s">
        <v>23</v>
      </c>
      <c r="AD250" s="30" t="s">
        <v>126</v>
      </c>
      <c r="AE250" s="30" t="s">
        <v>134</v>
      </c>
    </row>
    <row r="251" ht="22.5" customHeight="1">
      <c r="A251" s="28">
        <v>46241.77931005787</v>
      </c>
      <c r="B251" s="30" t="s">
        <v>3749</v>
      </c>
      <c r="C251" s="30" t="s">
        <v>3750</v>
      </c>
      <c r="D251" s="30" t="s">
        <v>193</v>
      </c>
      <c r="E251" s="30" t="s">
        <v>3751</v>
      </c>
      <c r="F251" s="30" t="s">
        <v>3752</v>
      </c>
      <c r="G251" s="30" t="s">
        <v>31</v>
      </c>
      <c r="H251" s="30" t="s">
        <v>22</v>
      </c>
      <c r="I251" s="30">
        <v>8.148073669E9</v>
      </c>
      <c r="J251" s="30" t="s">
        <v>3749</v>
      </c>
      <c r="K251" s="30" t="s">
        <v>3753</v>
      </c>
      <c r="L251" s="30" t="s">
        <v>3754</v>
      </c>
      <c r="M251" s="30" t="s">
        <v>31</v>
      </c>
      <c r="N251" s="30" t="s">
        <v>22</v>
      </c>
      <c r="O251" s="30" t="s">
        <v>3755</v>
      </c>
      <c r="P251" s="30" t="s">
        <v>3756</v>
      </c>
      <c r="Q251" s="30" t="s">
        <v>31</v>
      </c>
      <c r="R251" s="30" t="s">
        <v>94</v>
      </c>
      <c r="S251" s="30" t="s">
        <v>3757</v>
      </c>
      <c r="T251" s="30" t="s">
        <v>3758</v>
      </c>
      <c r="U251" s="30" t="s">
        <v>31</v>
      </c>
      <c r="V251" s="30" t="s">
        <v>22</v>
      </c>
      <c r="W251" s="30" t="s">
        <v>3759</v>
      </c>
      <c r="X251" s="30" t="s">
        <v>3760</v>
      </c>
      <c r="Y251" s="30" t="s">
        <v>31</v>
      </c>
      <c r="Z251" s="30" t="s">
        <v>22</v>
      </c>
      <c r="AA251" s="30" t="s">
        <v>3761</v>
      </c>
      <c r="AB251" s="30" t="s">
        <v>3762</v>
      </c>
      <c r="AC251" s="30" t="s">
        <v>31</v>
      </c>
      <c r="AD251" s="30" t="s">
        <v>219</v>
      </c>
      <c r="AE251" s="30" t="s">
        <v>134</v>
      </c>
    </row>
    <row r="252" ht="22.5" customHeight="1">
      <c r="A252" s="28">
        <v>46241.7812574537</v>
      </c>
      <c r="B252" s="30" t="s">
        <v>3763</v>
      </c>
      <c r="C252" s="30" t="s">
        <v>3764</v>
      </c>
      <c r="D252" s="30" t="s">
        <v>193</v>
      </c>
      <c r="E252" s="30" t="s">
        <v>3765</v>
      </c>
      <c r="F252" s="30" t="s">
        <v>3766</v>
      </c>
      <c r="G252" s="30" t="s">
        <v>23</v>
      </c>
      <c r="H252" s="30" t="s">
        <v>94</v>
      </c>
      <c r="I252" s="30">
        <v>6.385588411E9</v>
      </c>
      <c r="J252" s="30" t="s">
        <v>3763</v>
      </c>
      <c r="K252" s="30" t="s">
        <v>3767</v>
      </c>
      <c r="L252" s="30" t="s">
        <v>3768</v>
      </c>
      <c r="M252" s="30" t="s">
        <v>23</v>
      </c>
      <c r="N252" s="30" t="s">
        <v>94</v>
      </c>
      <c r="O252" s="30" t="s">
        <v>3769</v>
      </c>
      <c r="P252" s="30" t="s">
        <v>3770</v>
      </c>
      <c r="Q252" s="30" t="s">
        <v>23</v>
      </c>
      <c r="R252" s="30" t="s">
        <v>94</v>
      </c>
      <c r="S252" s="30" t="s">
        <v>3771</v>
      </c>
      <c r="T252" s="30" t="s">
        <v>3772</v>
      </c>
      <c r="U252" s="30" t="s">
        <v>23</v>
      </c>
      <c r="V252" s="30" t="s">
        <v>94</v>
      </c>
      <c r="W252" s="30" t="s">
        <v>3773</v>
      </c>
      <c r="X252" s="30" t="s">
        <v>3774</v>
      </c>
      <c r="Y252" s="30" t="s">
        <v>23</v>
      </c>
      <c r="Z252" s="30" t="s">
        <v>22</v>
      </c>
      <c r="AA252" s="30" t="s">
        <v>3775</v>
      </c>
      <c r="AB252" s="30" t="s">
        <v>3776</v>
      </c>
      <c r="AC252" s="30" t="s">
        <v>23</v>
      </c>
      <c r="AD252" s="30" t="s">
        <v>22</v>
      </c>
      <c r="AE252" s="30" t="s">
        <v>134</v>
      </c>
    </row>
    <row r="253" ht="22.5" customHeight="1">
      <c r="A253" s="28">
        <v>46241.789046631944</v>
      </c>
      <c r="B253" s="30" t="s">
        <v>3777</v>
      </c>
      <c r="C253" s="30" t="s">
        <v>3778</v>
      </c>
      <c r="D253" s="30" t="s">
        <v>193</v>
      </c>
      <c r="E253" s="30" t="s">
        <v>3779</v>
      </c>
      <c r="F253" s="30" t="s">
        <v>3780</v>
      </c>
      <c r="G253" s="30" t="s">
        <v>23</v>
      </c>
      <c r="H253" s="30" t="s">
        <v>219</v>
      </c>
      <c r="I253" s="30">
        <v>9.345554361E9</v>
      </c>
      <c r="J253" s="30" t="s">
        <v>3777</v>
      </c>
      <c r="K253" s="30" t="s">
        <v>3781</v>
      </c>
      <c r="L253" s="30" t="s">
        <v>3782</v>
      </c>
      <c r="M253" s="30" t="s">
        <v>23</v>
      </c>
      <c r="N253" s="30" t="s">
        <v>219</v>
      </c>
      <c r="O253" s="30" t="s">
        <v>3783</v>
      </c>
      <c r="P253" s="30" t="s">
        <v>3784</v>
      </c>
      <c r="Q253" s="30" t="s">
        <v>23</v>
      </c>
      <c r="R253" s="30" t="s">
        <v>219</v>
      </c>
      <c r="S253" s="30" t="s">
        <v>3785</v>
      </c>
      <c r="T253" s="30" t="s">
        <v>3786</v>
      </c>
      <c r="U253" s="30" t="s">
        <v>23</v>
      </c>
      <c r="V253" s="30" t="s">
        <v>280</v>
      </c>
      <c r="W253" s="30" t="s">
        <v>3787</v>
      </c>
      <c r="X253" s="30" t="s">
        <v>3788</v>
      </c>
      <c r="Y253" s="30" t="s">
        <v>23</v>
      </c>
      <c r="Z253" s="30" t="s">
        <v>280</v>
      </c>
      <c r="AA253" s="30" t="s">
        <v>3789</v>
      </c>
      <c r="AB253" s="30" t="s">
        <v>3790</v>
      </c>
      <c r="AC253" s="30" t="s">
        <v>31</v>
      </c>
      <c r="AD253" s="30" t="s">
        <v>22</v>
      </c>
      <c r="AE253" s="30" t="s">
        <v>134</v>
      </c>
    </row>
    <row r="254" ht="22.5" customHeight="1">
      <c r="A254" s="28">
        <v>46241.79156105324</v>
      </c>
      <c r="B254" s="30" t="s">
        <v>3791</v>
      </c>
      <c r="C254" s="30" t="s">
        <v>207</v>
      </c>
      <c r="D254" s="30" t="s">
        <v>193</v>
      </c>
      <c r="E254" s="30" t="s">
        <v>3792</v>
      </c>
      <c r="F254" s="30" t="s">
        <v>208</v>
      </c>
      <c r="G254" s="30" t="s">
        <v>23</v>
      </c>
      <c r="H254" s="30" t="s">
        <v>94</v>
      </c>
      <c r="I254" s="30" t="s">
        <v>210</v>
      </c>
      <c r="J254" s="30" t="s">
        <v>3793</v>
      </c>
      <c r="K254" s="30" t="s">
        <v>3794</v>
      </c>
      <c r="L254" s="30" t="s">
        <v>3795</v>
      </c>
      <c r="M254" s="30" t="s">
        <v>23</v>
      </c>
      <c r="N254" s="30" t="s">
        <v>94</v>
      </c>
      <c r="O254" s="30" t="s">
        <v>3796</v>
      </c>
      <c r="P254" s="30" t="s">
        <v>3797</v>
      </c>
      <c r="Q254" s="30" t="s">
        <v>23</v>
      </c>
      <c r="R254" s="30" t="s">
        <v>94</v>
      </c>
      <c r="S254" s="30" t="s">
        <v>3798</v>
      </c>
      <c r="T254" s="30" t="s">
        <v>3799</v>
      </c>
      <c r="U254" s="30" t="s">
        <v>23</v>
      </c>
      <c r="V254" s="30" t="s">
        <v>94</v>
      </c>
      <c r="W254" s="30" t="s">
        <v>3800</v>
      </c>
      <c r="X254" s="30" t="s">
        <v>3801</v>
      </c>
      <c r="Y254" s="30" t="s">
        <v>23</v>
      </c>
      <c r="Z254" s="30" t="s">
        <v>94</v>
      </c>
      <c r="AA254" s="30" t="s">
        <v>3802</v>
      </c>
      <c r="AB254" s="30" t="s">
        <v>3803</v>
      </c>
      <c r="AC254" s="30" t="s">
        <v>23</v>
      </c>
      <c r="AD254" s="30" t="s">
        <v>219</v>
      </c>
      <c r="AE254" s="30" t="s">
        <v>134</v>
      </c>
    </row>
    <row r="255" ht="22.5" customHeight="1">
      <c r="A255" s="28">
        <v>46241.800299849536</v>
      </c>
      <c r="B255" s="30" t="s">
        <v>3804</v>
      </c>
      <c r="C255" s="30" t="s">
        <v>3805</v>
      </c>
      <c r="D255" s="30" t="s">
        <v>193</v>
      </c>
      <c r="E255" s="30" t="s">
        <v>3806</v>
      </c>
      <c r="F255" s="30" t="s">
        <v>3807</v>
      </c>
      <c r="G255" s="30" t="s">
        <v>23</v>
      </c>
      <c r="H255" s="30" t="s">
        <v>243</v>
      </c>
      <c r="I255" s="30">
        <v>9.566242006E9</v>
      </c>
      <c r="J255" s="30" t="s">
        <v>3804</v>
      </c>
      <c r="K255" s="30" t="s">
        <v>3808</v>
      </c>
      <c r="L255" s="30" t="s">
        <v>3809</v>
      </c>
      <c r="M255" s="30" t="s">
        <v>23</v>
      </c>
      <c r="N255" s="30" t="s">
        <v>243</v>
      </c>
      <c r="O255" s="30" t="s">
        <v>3810</v>
      </c>
      <c r="P255" s="30" t="s">
        <v>3811</v>
      </c>
      <c r="Q255" s="30" t="s">
        <v>23</v>
      </c>
      <c r="R255" s="30" t="s">
        <v>243</v>
      </c>
      <c r="S255" s="30" t="s">
        <v>3812</v>
      </c>
      <c r="T255" s="30" t="s">
        <v>3813</v>
      </c>
      <c r="U255" s="30" t="s">
        <v>23</v>
      </c>
      <c r="V255" s="30" t="s">
        <v>243</v>
      </c>
      <c r="W255" s="30" t="s">
        <v>3814</v>
      </c>
      <c r="X255" s="30" t="s">
        <v>3815</v>
      </c>
      <c r="Y255" s="30" t="s">
        <v>23</v>
      </c>
      <c r="Z255" s="30" t="s">
        <v>243</v>
      </c>
      <c r="AA255" s="30" t="s">
        <v>3816</v>
      </c>
      <c r="AB255" s="30" t="s">
        <v>3817</v>
      </c>
      <c r="AC255" s="30" t="s">
        <v>23</v>
      </c>
      <c r="AD255" s="30" t="s">
        <v>243</v>
      </c>
      <c r="AE255" s="30" t="s">
        <v>134</v>
      </c>
    </row>
    <row r="256" ht="22.5" customHeight="1">
      <c r="A256" s="28">
        <v>46241.81634664352</v>
      </c>
      <c r="B256" s="30" t="s">
        <v>3818</v>
      </c>
      <c r="C256" s="30" t="s">
        <v>3819</v>
      </c>
      <c r="D256" s="30" t="s">
        <v>193</v>
      </c>
      <c r="E256" s="30" t="s">
        <v>3820</v>
      </c>
      <c r="F256" s="30" t="s">
        <v>3821</v>
      </c>
      <c r="G256" s="30" t="s">
        <v>89</v>
      </c>
      <c r="H256" s="30" t="s">
        <v>219</v>
      </c>
      <c r="I256" s="30">
        <v>9.360001962E9</v>
      </c>
      <c r="J256" s="30" t="s">
        <v>3818</v>
      </c>
      <c r="K256" s="30" t="s">
        <v>3822</v>
      </c>
      <c r="L256" s="30" t="s">
        <v>3823</v>
      </c>
      <c r="M256" s="30" t="s">
        <v>89</v>
      </c>
      <c r="N256" s="30" t="s">
        <v>219</v>
      </c>
      <c r="O256" s="30" t="s">
        <v>3824</v>
      </c>
      <c r="P256" s="30" t="s">
        <v>2624</v>
      </c>
      <c r="Q256" s="30" t="s">
        <v>89</v>
      </c>
      <c r="R256" s="30" t="s">
        <v>219</v>
      </c>
      <c r="S256" s="30" t="s">
        <v>3825</v>
      </c>
      <c r="T256" s="30" t="s">
        <v>3826</v>
      </c>
      <c r="U256" s="30" t="s">
        <v>89</v>
      </c>
      <c r="V256" s="30" t="s">
        <v>219</v>
      </c>
      <c r="W256" s="30" t="s">
        <v>3827</v>
      </c>
      <c r="X256" s="30" t="s">
        <v>3828</v>
      </c>
      <c r="Y256" s="30" t="s">
        <v>89</v>
      </c>
      <c r="Z256" s="30" t="s">
        <v>219</v>
      </c>
      <c r="AA256" s="30" t="s">
        <v>3829</v>
      </c>
      <c r="AB256" s="30" t="s">
        <v>1557</v>
      </c>
      <c r="AC256" s="30" t="s">
        <v>89</v>
      </c>
      <c r="AD256" s="30" t="s">
        <v>78</v>
      </c>
      <c r="AE256" s="30" t="s">
        <v>134</v>
      </c>
    </row>
    <row r="257" ht="22.5" customHeight="1">
      <c r="A257" s="28">
        <v>46241.820868483795</v>
      </c>
      <c r="B257" s="30" t="s">
        <v>3830</v>
      </c>
      <c r="C257" s="30" t="s">
        <v>3831</v>
      </c>
      <c r="D257" s="30" t="s">
        <v>193</v>
      </c>
      <c r="E257" s="30" t="s">
        <v>3832</v>
      </c>
      <c r="F257" s="30" t="s">
        <v>3833</v>
      </c>
      <c r="G257" s="30" t="s">
        <v>31</v>
      </c>
      <c r="H257" s="30" t="s">
        <v>219</v>
      </c>
      <c r="I257" s="30" t="s">
        <v>3834</v>
      </c>
      <c r="J257" s="30" t="s">
        <v>3835</v>
      </c>
      <c r="K257" s="30" t="s">
        <v>3836</v>
      </c>
      <c r="L257" s="30" t="s">
        <v>3837</v>
      </c>
      <c r="M257" s="30" t="s">
        <v>31</v>
      </c>
      <c r="N257" s="30" t="s">
        <v>22</v>
      </c>
      <c r="O257" s="30" t="s">
        <v>3838</v>
      </c>
      <c r="P257" s="30" t="s">
        <v>3839</v>
      </c>
      <c r="Q257" s="30" t="s">
        <v>31</v>
      </c>
      <c r="R257" s="30" t="s">
        <v>22</v>
      </c>
      <c r="S257" s="30" t="s">
        <v>3840</v>
      </c>
      <c r="T257" s="30" t="s">
        <v>3841</v>
      </c>
      <c r="U257" s="30" t="s">
        <v>31</v>
      </c>
      <c r="V257" s="30" t="s">
        <v>22</v>
      </c>
      <c r="W257" s="30" t="s">
        <v>3842</v>
      </c>
      <c r="X257" s="30" t="s">
        <v>3843</v>
      </c>
      <c r="Y257" s="30" t="s">
        <v>31</v>
      </c>
      <c r="Z257" s="30" t="s">
        <v>219</v>
      </c>
      <c r="AA257" s="30" t="s">
        <v>3844</v>
      </c>
      <c r="AB257" s="30" t="s">
        <v>3845</v>
      </c>
      <c r="AC257" s="30" t="s">
        <v>89</v>
      </c>
      <c r="AD257" s="30" t="s">
        <v>22</v>
      </c>
      <c r="AE257" s="30" t="s">
        <v>134</v>
      </c>
    </row>
    <row r="258" ht="22.5" customHeight="1">
      <c r="A258" s="28">
        <v>46241.84959385417</v>
      </c>
      <c r="B258" s="30" t="s">
        <v>3846</v>
      </c>
      <c r="C258" s="30" t="s">
        <v>3847</v>
      </c>
      <c r="D258" s="30" t="s">
        <v>82</v>
      </c>
      <c r="E258" s="30" t="s">
        <v>3848</v>
      </c>
      <c r="F258" s="30" t="s">
        <v>3849</v>
      </c>
      <c r="G258" s="30" t="s">
        <v>23</v>
      </c>
      <c r="H258" s="30" t="s">
        <v>94</v>
      </c>
      <c r="I258" s="30">
        <v>9.342525421E9</v>
      </c>
      <c r="J258" s="30" t="s">
        <v>3846</v>
      </c>
      <c r="K258" s="30" t="s">
        <v>3850</v>
      </c>
      <c r="L258" s="30" t="s">
        <v>3851</v>
      </c>
      <c r="M258" s="30" t="s">
        <v>23</v>
      </c>
      <c r="N258" s="30" t="s">
        <v>94</v>
      </c>
      <c r="O258" s="30" t="s">
        <v>3852</v>
      </c>
      <c r="P258" s="30" t="s">
        <v>3853</v>
      </c>
      <c r="Q258" s="30" t="s">
        <v>23</v>
      </c>
      <c r="R258" s="30" t="s">
        <v>94</v>
      </c>
      <c r="S258" s="30" t="s">
        <v>3854</v>
      </c>
      <c r="T258" s="30" t="s">
        <v>3855</v>
      </c>
      <c r="U258" s="30" t="s">
        <v>23</v>
      </c>
      <c r="V258" s="30" t="s">
        <v>94</v>
      </c>
      <c r="W258" s="30" t="s">
        <v>3856</v>
      </c>
      <c r="X258" s="30" t="s">
        <v>3857</v>
      </c>
      <c r="Y258" s="30" t="s">
        <v>23</v>
      </c>
      <c r="Z258" s="30" t="s">
        <v>69</v>
      </c>
      <c r="AA258" s="30" t="s">
        <v>3858</v>
      </c>
      <c r="AB258" s="30" t="s">
        <v>3859</v>
      </c>
      <c r="AC258" s="30" t="s">
        <v>23</v>
      </c>
      <c r="AD258" s="30" t="s">
        <v>69</v>
      </c>
      <c r="AE258" s="30" t="s">
        <v>134</v>
      </c>
    </row>
    <row r="259" ht="22.5" customHeight="1">
      <c r="A259" s="28">
        <v>46241.85404653935</v>
      </c>
      <c r="B259" s="30" t="s">
        <v>3860</v>
      </c>
      <c r="C259" s="30" t="s">
        <v>3861</v>
      </c>
      <c r="D259" s="30" t="s">
        <v>193</v>
      </c>
      <c r="E259" s="30" t="s">
        <v>3862</v>
      </c>
      <c r="F259" s="30" t="s">
        <v>3863</v>
      </c>
      <c r="G259" s="30" t="s">
        <v>23</v>
      </c>
      <c r="H259" s="30" t="s">
        <v>243</v>
      </c>
      <c r="I259" s="30">
        <v>6.381926572E9</v>
      </c>
      <c r="J259" s="30" t="s">
        <v>3864</v>
      </c>
      <c r="K259" s="30" t="s">
        <v>3865</v>
      </c>
      <c r="L259" s="30" t="s">
        <v>3866</v>
      </c>
      <c r="M259" s="30" t="s">
        <v>23</v>
      </c>
      <c r="N259" s="30" t="s">
        <v>243</v>
      </c>
      <c r="O259" s="30" t="s">
        <v>3867</v>
      </c>
      <c r="P259" s="30" t="s">
        <v>3868</v>
      </c>
      <c r="Q259" s="30" t="s">
        <v>23</v>
      </c>
      <c r="R259" s="30" t="s">
        <v>94</v>
      </c>
      <c r="S259" s="30" t="s">
        <v>3869</v>
      </c>
      <c r="T259" s="30" t="s">
        <v>3870</v>
      </c>
      <c r="U259" s="30" t="s">
        <v>23</v>
      </c>
      <c r="V259" s="30" t="s">
        <v>94</v>
      </c>
      <c r="W259" s="30" t="s">
        <v>3871</v>
      </c>
      <c r="X259" s="30" t="s">
        <v>3872</v>
      </c>
      <c r="Y259" s="30" t="s">
        <v>23</v>
      </c>
      <c r="Z259" s="30" t="s">
        <v>243</v>
      </c>
      <c r="AA259" s="30" t="s">
        <v>3873</v>
      </c>
      <c r="AB259" s="30" t="s">
        <v>3874</v>
      </c>
      <c r="AC259" s="30" t="s">
        <v>23</v>
      </c>
      <c r="AD259" s="30" t="s">
        <v>94</v>
      </c>
      <c r="AE259" s="30" t="s">
        <v>134</v>
      </c>
    </row>
    <row r="260" ht="22.5" customHeight="1">
      <c r="A260" s="28">
        <v>46241.872907013894</v>
      </c>
      <c r="B260" s="30" t="s">
        <v>3875</v>
      </c>
      <c r="C260" s="30" t="s">
        <v>3876</v>
      </c>
      <c r="D260" s="30" t="s">
        <v>193</v>
      </c>
      <c r="E260" s="30" t="s">
        <v>3877</v>
      </c>
      <c r="F260" s="30" t="s">
        <v>3878</v>
      </c>
      <c r="G260" s="30" t="s">
        <v>23</v>
      </c>
      <c r="H260" s="30" t="s">
        <v>219</v>
      </c>
      <c r="I260" s="30">
        <v>9.080903521E9</v>
      </c>
      <c r="J260" s="30" t="s">
        <v>3875</v>
      </c>
      <c r="K260" s="30" t="s">
        <v>3879</v>
      </c>
      <c r="L260" s="30" t="s">
        <v>3880</v>
      </c>
      <c r="M260" s="30" t="s">
        <v>23</v>
      </c>
      <c r="N260" s="30" t="s">
        <v>219</v>
      </c>
      <c r="O260" s="30" t="s">
        <v>3881</v>
      </c>
      <c r="P260" s="30" t="s">
        <v>3882</v>
      </c>
      <c r="Q260" s="30" t="s">
        <v>23</v>
      </c>
      <c r="R260" s="30" t="s">
        <v>94</v>
      </c>
      <c r="S260" s="30" t="s">
        <v>3883</v>
      </c>
      <c r="T260" s="30" t="s">
        <v>3884</v>
      </c>
      <c r="U260" s="30" t="s">
        <v>23</v>
      </c>
      <c r="V260" s="30" t="s">
        <v>94</v>
      </c>
      <c r="W260" s="30" t="s">
        <v>3885</v>
      </c>
      <c r="X260" s="30" t="s">
        <v>3886</v>
      </c>
      <c r="Y260" s="30" t="s">
        <v>23</v>
      </c>
      <c r="Z260" s="30" t="s">
        <v>78</v>
      </c>
      <c r="AA260" s="30" t="s">
        <v>3887</v>
      </c>
      <c r="AB260" s="30" t="s">
        <v>3888</v>
      </c>
      <c r="AC260" s="30" t="s">
        <v>23</v>
      </c>
      <c r="AD260" s="30" t="s">
        <v>69</v>
      </c>
      <c r="AE260" s="30" t="s">
        <v>134</v>
      </c>
    </row>
    <row r="261" ht="22.5" customHeight="1">
      <c r="A261" s="28">
        <v>46241.879498888884</v>
      </c>
      <c r="B261" s="30" t="s">
        <v>3889</v>
      </c>
      <c r="C261" s="30" t="s">
        <v>3890</v>
      </c>
      <c r="D261" s="30" t="s">
        <v>193</v>
      </c>
      <c r="E261" s="30" t="s">
        <v>3891</v>
      </c>
      <c r="F261" s="30" t="s">
        <v>3892</v>
      </c>
      <c r="G261" s="30" t="s">
        <v>23</v>
      </c>
      <c r="H261" s="30" t="s">
        <v>69</v>
      </c>
      <c r="I261" s="30">
        <v>8.148016372E9</v>
      </c>
      <c r="J261" s="30" t="s">
        <v>3889</v>
      </c>
      <c r="K261" s="30" t="s">
        <v>3893</v>
      </c>
      <c r="L261" s="30" t="s">
        <v>3894</v>
      </c>
      <c r="M261" s="30" t="s">
        <v>23</v>
      </c>
      <c r="N261" s="30" t="s">
        <v>178</v>
      </c>
      <c r="O261" s="30" t="s">
        <v>3895</v>
      </c>
      <c r="P261" s="30" t="s">
        <v>701</v>
      </c>
      <c r="Q261" s="30" t="s">
        <v>23</v>
      </c>
      <c r="R261" s="30" t="s">
        <v>178</v>
      </c>
      <c r="S261" s="30" t="s">
        <v>3896</v>
      </c>
      <c r="T261" s="30" t="s">
        <v>3897</v>
      </c>
      <c r="U261" s="30" t="s">
        <v>23</v>
      </c>
      <c r="V261" s="30" t="s">
        <v>69</v>
      </c>
      <c r="W261" s="30" t="s">
        <v>3898</v>
      </c>
      <c r="X261" s="30" t="s">
        <v>3899</v>
      </c>
      <c r="Y261" s="30" t="s">
        <v>23</v>
      </c>
      <c r="Z261" s="30" t="s">
        <v>126</v>
      </c>
      <c r="AA261" s="30" t="s">
        <v>3900</v>
      </c>
      <c r="AB261" s="30" t="s">
        <v>1920</v>
      </c>
      <c r="AC261" s="30" t="s">
        <v>23</v>
      </c>
      <c r="AD261" s="30" t="s">
        <v>94</v>
      </c>
      <c r="AE261" s="30" t="s">
        <v>134</v>
      </c>
    </row>
    <row r="262" ht="22.5" customHeight="1">
      <c r="A262" s="28">
        <v>46241.88655925926</v>
      </c>
      <c r="B262" s="30" t="s">
        <v>3901</v>
      </c>
      <c r="C262" s="30" t="s">
        <v>3902</v>
      </c>
      <c r="D262" s="30" t="s">
        <v>193</v>
      </c>
      <c r="E262" s="30" t="s">
        <v>3903</v>
      </c>
      <c r="F262" s="30" t="s">
        <v>3904</v>
      </c>
      <c r="G262" s="30" t="s">
        <v>23</v>
      </c>
      <c r="H262" s="30" t="s">
        <v>22</v>
      </c>
      <c r="I262" s="30">
        <v>9.789308941E9</v>
      </c>
      <c r="J262" s="30" t="s">
        <v>3901</v>
      </c>
      <c r="K262" s="30" t="s">
        <v>3905</v>
      </c>
      <c r="L262" s="30" t="s">
        <v>3906</v>
      </c>
      <c r="M262" s="30" t="s">
        <v>31</v>
      </c>
      <c r="N262" s="30" t="s">
        <v>22</v>
      </c>
      <c r="O262" s="30" t="s">
        <v>3907</v>
      </c>
      <c r="P262" s="30" t="s">
        <v>3908</v>
      </c>
      <c r="Q262" s="30" t="s">
        <v>31</v>
      </c>
      <c r="R262" s="30" t="s">
        <v>22</v>
      </c>
      <c r="S262" s="30" t="s">
        <v>3909</v>
      </c>
      <c r="T262" s="30" t="s">
        <v>3910</v>
      </c>
      <c r="U262" s="30" t="s">
        <v>31</v>
      </c>
      <c r="V262" s="30" t="s">
        <v>22</v>
      </c>
      <c r="W262" s="30" t="s">
        <v>3911</v>
      </c>
      <c r="X262" s="30" t="s">
        <v>3912</v>
      </c>
      <c r="Y262" s="30" t="s">
        <v>31</v>
      </c>
      <c r="Z262" s="30" t="s">
        <v>243</v>
      </c>
      <c r="AA262" s="30" t="s">
        <v>3913</v>
      </c>
      <c r="AB262" s="30" t="s">
        <v>3914</v>
      </c>
      <c r="AC262" s="30" t="s">
        <v>31</v>
      </c>
      <c r="AD262" s="30" t="s">
        <v>243</v>
      </c>
      <c r="AE262" s="30" t="s">
        <v>134</v>
      </c>
    </row>
    <row r="263" ht="22.5" customHeight="1">
      <c r="A263" s="28">
        <v>46241.89576892361</v>
      </c>
      <c r="B263" s="30" t="s">
        <v>3915</v>
      </c>
      <c r="C263" s="30" t="s">
        <v>3916</v>
      </c>
      <c r="D263" s="30" t="s">
        <v>193</v>
      </c>
      <c r="E263" s="30" t="s">
        <v>3917</v>
      </c>
      <c r="F263" s="30" t="s">
        <v>3918</v>
      </c>
      <c r="G263" s="30" t="s">
        <v>23</v>
      </c>
      <c r="H263" s="30" t="s">
        <v>94</v>
      </c>
      <c r="I263" s="30">
        <v>9.361937819E9</v>
      </c>
      <c r="J263" s="30" t="s">
        <v>3919</v>
      </c>
      <c r="K263" s="30" t="s">
        <v>3920</v>
      </c>
      <c r="L263" s="30" t="s">
        <v>3921</v>
      </c>
      <c r="M263" s="30" t="s">
        <v>23</v>
      </c>
      <c r="N263" s="30" t="s">
        <v>94</v>
      </c>
      <c r="O263" s="30" t="s">
        <v>3922</v>
      </c>
      <c r="P263" s="30" t="s">
        <v>3923</v>
      </c>
      <c r="Q263" s="30" t="s">
        <v>23</v>
      </c>
      <c r="R263" s="30" t="s">
        <v>94</v>
      </c>
      <c r="S263" s="30" t="s">
        <v>3924</v>
      </c>
      <c r="T263" s="30" t="s">
        <v>3925</v>
      </c>
      <c r="U263" s="30" t="s">
        <v>23</v>
      </c>
      <c r="V263" s="30" t="s">
        <v>94</v>
      </c>
      <c r="W263" s="30" t="s">
        <v>3926</v>
      </c>
      <c r="X263" s="30" t="s">
        <v>3927</v>
      </c>
      <c r="Y263" s="30" t="s">
        <v>23</v>
      </c>
      <c r="Z263" s="30" t="s">
        <v>126</v>
      </c>
      <c r="AA263" s="30" t="s">
        <v>3928</v>
      </c>
      <c r="AB263" s="30" t="s">
        <v>3929</v>
      </c>
      <c r="AC263" s="30" t="s">
        <v>23</v>
      </c>
      <c r="AD263" s="30" t="s">
        <v>126</v>
      </c>
      <c r="AE263" s="30" t="s">
        <v>134</v>
      </c>
    </row>
    <row r="264" ht="22.5" customHeight="1">
      <c r="A264" s="28">
        <v>46241.90718793981</v>
      </c>
      <c r="B264" s="30" t="s">
        <v>3930</v>
      </c>
      <c r="C264" s="30" t="s">
        <v>3931</v>
      </c>
      <c r="D264" s="30" t="s">
        <v>82</v>
      </c>
      <c r="E264" s="30" t="s">
        <v>3932</v>
      </c>
      <c r="F264" s="30" t="s">
        <v>3933</v>
      </c>
      <c r="G264" s="30" t="s">
        <v>31</v>
      </c>
      <c r="H264" s="30" t="s">
        <v>22</v>
      </c>
      <c r="I264" s="30" t="s">
        <v>3934</v>
      </c>
      <c r="J264" s="30" t="s">
        <v>3935</v>
      </c>
      <c r="K264" s="30" t="s">
        <v>3936</v>
      </c>
      <c r="L264" s="30" t="s">
        <v>3937</v>
      </c>
      <c r="M264" s="30" t="s">
        <v>31</v>
      </c>
      <c r="N264" s="30" t="s">
        <v>94</v>
      </c>
      <c r="O264" s="30" t="s">
        <v>3938</v>
      </c>
      <c r="P264" s="30" t="s">
        <v>3939</v>
      </c>
      <c r="Q264" s="30" t="s">
        <v>31</v>
      </c>
      <c r="R264" s="30" t="s">
        <v>22</v>
      </c>
      <c r="S264" s="30" t="s">
        <v>3940</v>
      </c>
      <c r="T264" s="30" t="s">
        <v>3941</v>
      </c>
      <c r="U264" s="30" t="s">
        <v>31</v>
      </c>
      <c r="V264" s="30" t="s">
        <v>94</v>
      </c>
      <c r="W264" s="30" t="s">
        <v>3942</v>
      </c>
      <c r="X264" s="30" t="s">
        <v>3943</v>
      </c>
      <c r="Y264" s="30" t="s">
        <v>31</v>
      </c>
      <c r="Z264" s="30" t="s">
        <v>22</v>
      </c>
      <c r="AA264" s="30" t="s">
        <v>3944</v>
      </c>
      <c r="AB264" s="30" t="s">
        <v>3945</v>
      </c>
      <c r="AC264" s="30" t="s">
        <v>31</v>
      </c>
      <c r="AD264" s="30" t="s">
        <v>313</v>
      </c>
      <c r="AE264" s="30" t="s">
        <v>134</v>
      </c>
    </row>
    <row r="265" ht="22.5" customHeight="1">
      <c r="A265" s="28">
        <v>46241.911085405096</v>
      </c>
      <c r="B265" s="30" t="s">
        <v>3946</v>
      </c>
      <c r="C265" s="30" t="s">
        <v>3947</v>
      </c>
      <c r="D265" s="30" t="s">
        <v>193</v>
      </c>
      <c r="E265" s="30" t="s">
        <v>3948</v>
      </c>
      <c r="F265" s="30" t="s">
        <v>3949</v>
      </c>
      <c r="G265" s="30" t="s">
        <v>23</v>
      </c>
      <c r="H265" s="30" t="s">
        <v>22</v>
      </c>
      <c r="I265" s="30">
        <v>9.742647285E9</v>
      </c>
      <c r="J265" s="30" t="s">
        <v>3946</v>
      </c>
      <c r="K265" s="30" t="s">
        <v>3950</v>
      </c>
      <c r="L265" s="30" t="s">
        <v>3951</v>
      </c>
      <c r="M265" s="30" t="s">
        <v>23</v>
      </c>
      <c r="N265" s="30" t="s">
        <v>94</v>
      </c>
      <c r="O265" s="30" t="s">
        <v>3952</v>
      </c>
      <c r="P265" s="30" t="s">
        <v>3953</v>
      </c>
      <c r="Q265" s="30" t="s">
        <v>23</v>
      </c>
      <c r="R265" s="30" t="s">
        <v>94</v>
      </c>
      <c r="S265" s="30" t="s">
        <v>3954</v>
      </c>
      <c r="T265" s="30" t="s">
        <v>3955</v>
      </c>
      <c r="U265" s="30" t="s">
        <v>23</v>
      </c>
      <c r="V265" s="30" t="s">
        <v>94</v>
      </c>
      <c r="W265" s="30" t="s">
        <v>3956</v>
      </c>
      <c r="X265" s="30" t="s">
        <v>3957</v>
      </c>
      <c r="Y265" s="30" t="s">
        <v>23</v>
      </c>
      <c r="Z265" s="30" t="s">
        <v>94</v>
      </c>
      <c r="AA265" s="30" t="s">
        <v>3958</v>
      </c>
      <c r="AB265" s="30" t="s">
        <v>3959</v>
      </c>
      <c r="AC265" s="30" t="s">
        <v>23</v>
      </c>
      <c r="AD265" s="30" t="s">
        <v>94</v>
      </c>
      <c r="AE265" s="30" t="s">
        <v>134</v>
      </c>
    </row>
    <row r="266" ht="22.5" customHeight="1">
      <c r="A266" s="28">
        <v>46247.430905914356</v>
      </c>
      <c r="B266" s="30" t="s">
        <v>3960</v>
      </c>
      <c r="C266" s="30" t="s">
        <v>3961</v>
      </c>
      <c r="D266" s="30" t="s">
        <v>193</v>
      </c>
      <c r="E266" s="30" t="s">
        <v>3962</v>
      </c>
      <c r="F266" s="30" t="s">
        <v>3963</v>
      </c>
      <c r="G266" s="30" t="s">
        <v>23</v>
      </c>
      <c r="H266" s="30" t="s">
        <v>126</v>
      </c>
      <c r="I266" s="30">
        <v>7.305066479E9</v>
      </c>
      <c r="J266" s="30" t="s">
        <v>3960</v>
      </c>
      <c r="K266" s="30" t="s">
        <v>3964</v>
      </c>
      <c r="L266" s="30" t="s">
        <v>3965</v>
      </c>
      <c r="M266" s="30" t="s">
        <v>23</v>
      </c>
      <c r="N266" s="30" t="s">
        <v>22</v>
      </c>
      <c r="O266" s="30" t="s">
        <v>3966</v>
      </c>
      <c r="P266" s="30" t="s">
        <v>3967</v>
      </c>
      <c r="Q266" s="30" t="s">
        <v>23</v>
      </c>
      <c r="R266" s="30" t="s">
        <v>219</v>
      </c>
      <c r="S266" s="30" t="s">
        <v>3968</v>
      </c>
      <c r="T266" s="30" t="s">
        <v>3969</v>
      </c>
      <c r="U266" s="30" t="s">
        <v>23</v>
      </c>
      <c r="V266" s="30" t="s">
        <v>94</v>
      </c>
      <c r="W266" s="30" t="s">
        <v>3970</v>
      </c>
      <c r="X266" s="30" t="s">
        <v>3971</v>
      </c>
      <c r="Y266" s="30" t="s">
        <v>23</v>
      </c>
      <c r="Z266" s="30" t="s">
        <v>94</v>
      </c>
      <c r="AA266" s="30" t="s">
        <v>3143</v>
      </c>
      <c r="AB266" s="30" t="s">
        <v>3972</v>
      </c>
      <c r="AC266" s="30" t="s">
        <v>23</v>
      </c>
      <c r="AD266" s="30" t="s">
        <v>69</v>
      </c>
      <c r="AE266" s="30" t="s">
        <v>134</v>
      </c>
    </row>
    <row r="267" ht="22.5" customHeight="1">
      <c r="A267" s="28">
        <v>46247.4340462963</v>
      </c>
      <c r="B267" s="30" t="s">
        <v>3973</v>
      </c>
      <c r="C267" s="30" t="s">
        <v>3974</v>
      </c>
      <c r="D267" s="30" t="s">
        <v>193</v>
      </c>
      <c r="E267" s="30" t="s">
        <v>3975</v>
      </c>
      <c r="F267" s="30" t="s">
        <v>3976</v>
      </c>
      <c r="G267" s="30" t="s">
        <v>23</v>
      </c>
      <c r="H267" s="30" t="s">
        <v>219</v>
      </c>
      <c r="I267" s="30">
        <v>7.339201525E9</v>
      </c>
      <c r="J267" s="30" t="s">
        <v>3977</v>
      </c>
      <c r="K267" s="30" t="s">
        <v>3978</v>
      </c>
      <c r="L267" s="30" t="s">
        <v>3979</v>
      </c>
      <c r="M267" s="30" t="s">
        <v>23</v>
      </c>
      <c r="N267" s="30" t="s">
        <v>219</v>
      </c>
      <c r="O267" s="30" t="s">
        <v>3980</v>
      </c>
      <c r="P267" s="30" t="s">
        <v>3981</v>
      </c>
      <c r="Q267" s="30" t="s">
        <v>23</v>
      </c>
      <c r="R267" s="30" t="s">
        <v>219</v>
      </c>
      <c r="S267" s="30" t="s">
        <v>3982</v>
      </c>
      <c r="T267" s="30" t="s">
        <v>3983</v>
      </c>
      <c r="U267" s="30" t="s">
        <v>23</v>
      </c>
      <c r="V267" s="30" t="s">
        <v>219</v>
      </c>
      <c r="W267" s="30" t="s">
        <v>3984</v>
      </c>
      <c r="X267" s="30" t="s">
        <v>3985</v>
      </c>
      <c r="Y267" s="30" t="s">
        <v>23</v>
      </c>
      <c r="Z267" s="30" t="s">
        <v>78</v>
      </c>
      <c r="AA267" s="30" t="s">
        <v>3986</v>
      </c>
      <c r="AB267" s="30" t="s">
        <v>3987</v>
      </c>
      <c r="AC267" s="30" t="s">
        <v>23</v>
      </c>
      <c r="AD267" s="30" t="s">
        <v>22</v>
      </c>
      <c r="AE267" s="30" t="s">
        <v>134</v>
      </c>
    </row>
    <row r="268" ht="22.5" customHeight="1">
      <c r="A268" s="28">
        <v>46247.451330474534</v>
      </c>
      <c r="B268" s="30" t="s">
        <v>3988</v>
      </c>
      <c r="C268" s="30" t="s">
        <v>3989</v>
      </c>
      <c r="D268" s="30" t="s">
        <v>82</v>
      </c>
      <c r="E268" s="30" t="s">
        <v>3990</v>
      </c>
      <c r="F268" s="30" t="s">
        <v>3991</v>
      </c>
      <c r="G268" s="30" t="s">
        <v>23</v>
      </c>
      <c r="H268" s="30" t="s">
        <v>126</v>
      </c>
      <c r="I268" s="30">
        <v>6.379759869E9</v>
      </c>
      <c r="J268" s="30" t="s">
        <v>3988</v>
      </c>
      <c r="K268" s="30" t="s">
        <v>3992</v>
      </c>
      <c r="L268" s="30" t="s">
        <v>3993</v>
      </c>
      <c r="M268" s="30" t="s">
        <v>23</v>
      </c>
      <c r="N268" s="30" t="s">
        <v>126</v>
      </c>
      <c r="O268" s="30" t="s">
        <v>3994</v>
      </c>
      <c r="P268" s="30" t="s">
        <v>3995</v>
      </c>
      <c r="Q268" s="30" t="s">
        <v>23</v>
      </c>
      <c r="R268" s="30" t="s">
        <v>126</v>
      </c>
      <c r="S268" s="30" t="s">
        <v>3996</v>
      </c>
      <c r="T268" s="30" t="s">
        <v>3997</v>
      </c>
      <c r="U268" s="30" t="s">
        <v>23</v>
      </c>
      <c r="V268" s="30" t="s">
        <v>280</v>
      </c>
      <c r="W268" s="30" t="s">
        <v>3998</v>
      </c>
      <c r="X268" s="30" t="s">
        <v>701</v>
      </c>
      <c r="Y268" s="30" t="s">
        <v>23</v>
      </c>
      <c r="Z268" s="30" t="s">
        <v>94</v>
      </c>
      <c r="AA268" s="30" t="s">
        <v>3999</v>
      </c>
      <c r="AB268" s="30" t="s">
        <v>4000</v>
      </c>
      <c r="AC268" s="30" t="s">
        <v>31</v>
      </c>
      <c r="AD268" s="30" t="s">
        <v>126</v>
      </c>
      <c r="AE268" s="30" t="s">
        <v>134</v>
      </c>
    </row>
    <row r="269" ht="22.5" customHeight="1">
      <c r="A269" s="28">
        <v>46247.487672222225</v>
      </c>
      <c r="B269" s="30" t="s">
        <v>4001</v>
      </c>
      <c r="C269" s="30" t="s">
        <v>4002</v>
      </c>
      <c r="D269" s="30" t="s">
        <v>193</v>
      </c>
      <c r="E269" s="30" t="s">
        <v>4003</v>
      </c>
      <c r="F269" s="30" t="s">
        <v>4004</v>
      </c>
      <c r="G269" s="30" t="s">
        <v>23</v>
      </c>
      <c r="H269" s="30" t="s">
        <v>22</v>
      </c>
      <c r="I269" s="30">
        <v>8.754229862E9</v>
      </c>
      <c r="J269" s="30" t="s">
        <v>4005</v>
      </c>
      <c r="K269" s="30" t="s">
        <v>4006</v>
      </c>
      <c r="L269" s="30" t="s">
        <v>4007</v>
      </c>
      <c r="M269" s="30" t="s">
        <v>23</v>
      </c>
      <c r="N269" s="30" t="s">
        <v>22</v>
      </c>
      <c r="O269" s="30" t="s">
        <v>4008</v>
      </c>
      <c r="P269" s="30" t="s">
        <v>4009</v>
      </c>
      <c r="Q269" s="30" t="s">
        <v>23</v>
      </c>
      <c r="R269" s="30" t="s">
        <v>22</v>
      </c>
      <c r="S269" s="30" t="s">
        <v>4010</v>
      </c>
      <c r="T269" s="30" t="s">
        <v>4011</v>
      </c>
      <c r="U269" s="30" t="s">
        <v>23</v>
      </c>
      <c r="V269" s="30" t="s">
        <v>94</v>
      </c>
      <c r="W269" s="30" t="s">
        <v>4012</v>
      </c>
      <c r="X269" s="30" t="s">
        <v>4013</v>
      </c>
      <c r="Y269" s="30" t="s">
        <v>23</v>
      </c>
      <c r="Z269" s="30" t="s">
        <v>69</v>
      </c>
      <c r="AA269" s="30" t="s">
        <v>4014</v>
      </c>
      <c r="AB269" s="30" t="s">
        <v>4015</v>
      </c>
      <c r="AC269" s="30" t="s">
        <v>23</v>
      </c>
      <c r="AD269" s="30" t="s">
        <v>126</v>
      </c>
      <c r="AE269" s="30" t="s">
        <v>134</v>
      </c>
    </row>
    <row r="270" ht="22.5" customHeight="1">
      <c r="A270" s="28">
        <v>46247.49388181713</v>
      </c>
      <c r="B270" s="30" t="s">
        <v>4016</v>
      </c>
      <c r="C270" s="30" t="s">
        <v>4017</v>
      </c>
      <c r="D270" s="30" t="s">
        <v>193</v>
      </c>
      <c r="E270" s="30" t="s">
        <v>4018</v>
      </c>
      <c r="F270" s="30" t="s">
        <v>4019</v>
      </c>
      <c r="G270" s="30" t="s">
        <v>23</v>
      </c>
      <c r="H270" s="30" t="s">
        <v>22</v>
      </c>
      <c r="I270" s="30">
        <v>7.867896369E9</v>
      </c>
      <c r="J270" s="30" t="s">
        <v>4016</v>
      </c>
      <c r="K270" s="30" t="s">
        <v>4020</v>
      </c>
      <c r="L270" s="30" t="s">
        <v>4021</v>
      </c>
      <c r="M270" s="30" t="s">
        <v>23</v>
      </c>
      <c r="N270" s="30" t="s">
        <v>22</v>
      </c>
      <c r="O270" s="30" t="s">
        <v>4022</v>
      </c>
      <c r="P270" s="30" t="s">
        <v>4023</v>
      </c>
      <c r="Q270" s="30" t="s">
        <v>23</v>
      </c>
      <c r="R270" s="30" t="s">
        <v>22</v>
      </c>
      <c r="S270" s="30" t="s">
        <v>4024</v>
      </c>
      <c r="T270" s="30" t="s">
        <v>4025</v>
      </c>
      <c r="U270" s="30" t="s">
        <v>89</v>
      </c>
      <c r="V270" s="30" t="s">
        <v>22</v>
      </c>
      <c r="W270" s="30" t="s">
        <v>4026</v>
      </c>
      <c r="X270" s="30" t="s">
        <v>4027</v>
      </c>
      <c r="Y270" s="30" t="s">
        <v>89</v>
      </c>
      <c r="Z270" s="30" t="s">
        <v>126</v>
      </c>
      <c r="AA270" s="30" t="s">
        <v>2052</v>
      </c>
      <c r="AB270" s="30" t="s">
        <v>4028</v>
      </c>
      <c r="AC270" s="30" t="s">
        <v>31</v>
      </c>
      <c r="AD270" s="30" t="s">
        <v>22</v>
      </c>
      <c r="AE270" s="30" t="s">
        <v>134</v>
      </c>
    </row>
    <row r="271" ht="22.5" customHeight="1">
      <c r="A271" s="28">
        <v>46247.608996435185</v>
      </c>
      <c r="B271" s="30" t="s">
        <v>4029</v>
      </c>
      <c r="C271" s="30" t="s">
        <v>4030</v>
      </c>
      <c r="D271" s="30" t="s">
        <v>82</v>
      </c>
      <c r="E271" s="30" t="s">
        <v>4031</v>
      </c>
      <c r="F271" s="30" t="s">
        <v>4032</v>
      </c>
      <c r="G271" s="30" t="s">
        <v>31</v>
      </c>
      <c r="H271" s="30" t="s">
        <v>69</v>
      </c>
      <c r="I271" s="30">
        <v>8.82589961E9</v>
      </c>
      <c r="J271" s="30" t="s">
        <v>4029</v>
      </c>
      <c r="K271" s="30" t="s">
        <v>4033</v>
      </c>
      <c r="L271" s="30" t="s">
        <v>4034</v>
      </c>
      <c r="M271" s="30" t="s">
        <v>31</v>
      </c>
      <c r="N271" s="30" t="s">
        <v>69</v>
      </c>
      <c r="O271" s="30" t="s">
        <v>4035</v>
      </c>
      <c r="P271" s="30" t="s">
        <v>4036</v>
      </c>
      <c r="Q271" s="30" t="s">
        <v>31</v>
      </c>
      <c r="R271" s="30" t="s">
        <v>126</v>
      </c>
      <c r="S271" s="30" t="s">
        <v>4037</v>
      </c>
      <c r="T271" s="30" t="s">
        <v>4038</v>
      </c>
      <c r="U271" s="30" t="s">
        <v>31</v>
      </c>
      <c r="V271" s="30" t="s">
        <v>22</v>
      </c>
      <c r="W271" s="30" t="s">
        <v>4039</v>
      </c>
      <c r="X271" s="30" t="s">
        <v>4040</v>
      </c>
      <c r="Y271" s="30" t="s">
        <v>31</v>
      </c>
      <c r="Z271" s="30" t="s">
        <v>126</v>
      </c>
      <c r="AA271" s="30" t="s">
        <v>4041</v>
      </c>
      <c r="AB271" s="30" t="s">
        <v>4042</v>
      </c>
      <c r="AC271" s="30" t="s">
        <v>31</v>
      </c>
      <c r="AD271" s="30" t="s">
        <v>126</v>
      </c>
      <c r="AE271" s="30" t="s">
        <v>134</v>
      </c>
    </row>
    <row r="272" ht="22.5" customHeight="1">
      <c r="A272" s="28">
        <v>46252.59659855324</v>
      </c>
      <c r="B272" s="30" t="s">
        <v>4043</v>
      </c>
      <c r="C272" s="30" t="s">
        <v>4044</v>
      </c>
      <c r="D272" s="30" t="s">
        <v>193</v>
      </c>
      <c r="E272" s="30" t="s">
        <v>4045</v>
      </c>
      <c r="F272" s="30" t="s">
        <v>4046</v>
      </c>
      <c r="G272" s="30" t="s">
        <v>23</v>
      </c>
      <c r="H272" s="30" t="s">
        <v>78</v>
      </c>
      <c r="I272" s="30">
        <v>8.870261306E9</v>
      </c>
      <c r="J272" s="30" t="s">
        <v>4047</v>
      </c>
      <c r="K272" s="30" t="s">
        <v>4048</v>
      </c>
      <c r="L272" s="30" t="s">
        <v>4049</v>
      </c>
      <c r="M272" s="30" t="s">
        <v>23</v>
      </c>
      <c r="N272" s="30" t="s">
        <v>78</v>
      </c>
      <c r="O272" s="30" t="s">
        <v>4050</v>
      </c>
      <c r="P272" s="30" t="s">
        <v>4051</v>
      </c>
      <c r="Q272" s="30" t="s">
        <v>23</v>
      </c>
      <c r="R272" s="30" t="s">
        <v>78</v>
      </c>
      <c r="S272" s="30" t="s">
        <v>4052</v>
      </c>
      <c r="T272" s="30" t="s">
        <v>4053</v>
      </c>
      <c r="U272" s="30" t="s">
        <v>23</v>
      </c>
      <c r="V272" s="30" t="s">
        <v>78</v>
      </c>
      <c r="W272" s="30" t="s">
        <v>4054</v>
      </c>
      <c r="X272" s="30" t="s">
        <v>4055</v>
      </c>
      <c r="Y272" s="30" t="s">
        <v>23</v>
      </c>
      <c r="Z272" s="30" t="s">
        <v>22</v>
      </c>
      <c r="AA272" s="30" t="s">
        <v>4056</v>
      </c>
      <c r="AB272" s="30" t="s">
        <v>4057</v>
      </c>
      <c r="AC272" s="30" t="s">
        <v>23</v>
      </c>
      <c r="AD272" s="30" t="s">
        <v>78</v>
      </c>
      <c r="AE272" s="30" t="s">
        <v>134</v>
      </c>
    </row>
    <row r="273" ht="22.5" customHeight="1">
      <c r="A273" s="28">
        <v>46252.596796701386</v>
      </c>
      <c r="B273" s="30" t="s">
        <v>4058</v>
      </c>
      <c r="C273" s="30" t="s">
        <v>4059</v>
      </c>
      <c r="D273" s="30" t="s">
        <v>193</v>
      </c>
      <c r="E273" s="30" t="s">
        <v>4060</v>
      </c>
      <c r="F273" s="30" t="s">
        <v>4061</v>
      </c>
      <c r="G273" s="30" t="s">
        <v>23</v>
      </c>
      <c r="H273" s="30" t="s">
        <v>94</v>
      </c>
      <c r="I273" s="30">
        <v>8.838358477E9</v>
      </c>
      <c r="J273" s="30" t="s">
        <v>4058</v>
      </c>
      <c r="K273" s="30" t="s">
        <v>4062</v>
      </c>
      <c r="L273" s="30" t="s">
        <v>4063</v>
      </c>
      <c r="M273" s="30" t="s">
        <v>23</v>
      </c>
      <c r="N273" s="30" t="s">
        <v>94</v>
      </c>
      <c r="O273" s="30" t="s">
        <v>4064</v>
      </c>
      <c r="P273" s="30" t="s">
        <v>4065</v>
      </c>
      <c r="Q273" s="30" t="s">
        <v>23</v>
      </c>
      <c r="R273" s="30" t="s">
        <v>94</v>
      </c>
      <c r="S273" s="30" t="s">
        <v>4066</v>
      </c>
      <c r="T273" s="30" t="s">
        <v>4067</v>
      </c>
      <c r="U273" s="30" t="s">
        <v>23</v>
      </c>
      <c r="V273" s="30" t="s">
        <v>94</v>
      </c>
      <c r="W273" s="30" t="s">
        <v>4068</v>
      </c>
      <c r="X273" s="30" t="s">
        <v>4069</v>
      </c>
      <c r="Y273" s="30" t="s">
        <v>23</v>
      </c>
      <c r="Z273" s="30" t="s">
        <v>94</v>
      </c>
      <c r="AA273" s="30" t="s">
        <v>4070</v>
      </c>
      <c r="AB273" s="30" t="s">
        <v>4071</v>
      </c>
      <c r="AC273" s="30" t="s">
        <v>23</v>
      </c>
      <c r="AD273" s="30" t="s">
        <v>219</v>
      </c>
      <c r="AE273" s="30" t="s">
        <v>134</v>
      </c>
    </row>
    <row r="274" ht="22.5" customHeight="1">
      <c r="A274" s="28">
        <v>46253.503714872684</v>
      </c>
      <c r="B274" s="30" t="s">
        <v>4072</v>
      </c>
      <c r="C274" s="30" t="s">
        <v>4073</v>
      </c>
      <c r="D274" s="30" t="s">
        <v>82</v>
      </c>
      <c r="E274" s="30" t="s">
        <v>4074</v>
      </c>
      <c r="F274" s="30" t="s">
        <v>4075</v>
      </c>
      <c r="G274" s="30" t="s">
        <v>89</v>
      </c>
      <c r="H274" s="30" t="s">
        <v>126</v>
      </c>
      <c r="I274" s="30">
        <v>8.072251461E9</v>
      </c>
      <c r="J274" s="30" t="s">
        <v>4072</v>
      </c>
      <c r="K274" s="30" t="s">
        <v>4076</v>
      </c>
      <c r="L274" s="30" t="s">
        <v>4077</v>
      </c>
      <c r="M274" s="30" t="s">
        <v>89</v>
      </c>
      <c r="N274" s="30" t="s">
        <v>126</v>
      </c>
      <c r="O274" s="30" t="s">
        <v>4078</v>
      </c>
      <c r="P274" s="30" t="s">
        <v>4079</v>
      </c>
      <c r="Q274" s="30" t="s">
        <v>23</v>
      </c>
      <c r="R274" s="30" t="s">
        <v>22</v>
      </c>
      <c r="S274" s="30" t="s">
        <v>4080</v>
      </c>
      <c r="T274" s="30" t="s">
        <v>675</v>
      </c>
      <c r="U274" s="30" t="s">
        <v>23</v>
      </c>
      <c r="V274" s="30" t="s">
        <v>126</v>
      </c>
      <c r="W274" s="30" t="s">
        <v>4081</v>
      </c>
      <c r="X274" s="30" t="s">
        <v>4082</v>
      </c>
      <c r="Y274" s="30" t="s">
        <v>31</v>
      </c>
      <c r="Z274" s="30" t="s">
        <v>94</v>
      </c>
      <c r="AA274" s="30" t="s">
        <v>4083</v>
      </c>
      <c r="AB274" s="30" t="s">
        <v>4084</v>
      </c>
      <c r="AC274" s="30" t="s">
        <v>31</v>
      </c>
      <c r="AD274" s="30" t="s">
        <v>313</v>
      </c>
      <c r="AE274" s="30" t="s">
        <v>134</v>
      </c>
    </row>
  </sheetData>
  <hyperlinks>
    <hyperlink r:id="rId1" ref="AB147"/>
    <hyperlink r:id="rId2" ref="F182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7.75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 t="s">
        <v>1</v>
      </c>
      <c r="D2" s="4"/>
      <c r="E2" s="4"/>
      <c r="F2" s="5"/>
    </row>
    <row r="3">
      <c r="A3" s="1"/>
      <c r="B3" s="6"/>
      <c r="C3" s="7" t="s">
        <v>2</v>
      </c>
      <c r="D3" s="8" t="s">
        <v>3</v>
      </c>
      <c r="E3" s="8" t="s">
        <v>4</v>
      </c>
      <c r="F3" s="8" t="s">
        <v>5</v>
      </c>
    </row>
    <row r="4">
      <c r="A4" s="1"/>
      <c r="B4" s="9" t="s">
        <v>6</v>
      </c>
      <c r="C4" s="17">
        <f>SUM(
COUNTIF('Form Responses'!E:E,"25AD*"),
COUNTIF('Form Responses'!K:K,"25AD*"),
COUNTIF('Form Responses'!O:O,"25AD*"),
COUNTIF('Form Responses'!S:S,"25AD*"),
COUNTIF('Form Responses'!W:W,"25AD*"),
COUNTIF('Form Responses'!AA:AA,"25AD*")
)</f>
        <v>204</v>
      </c>
      <c r="D4" s="17">
        <f>SUM(
COUNTIF('Form Responses'!E:E,"24AD*"),
COUNTIF('Form Responses'!K:K,"24AD*"),
COUNTIF('Form Responses'!O:O,"24AD*"),
COUNTIF('Form Responses'!S:S,"24AD*"),
COUNTIF('Form Responses'!W:W,"24AD*"),
COUNTIF('Form Responses'!AA:AA,"24AD*")
)</f>
        <v>141</v>
      </c>
      <c r="E4" s="17">
        <f>SUM(
COUNTIF('Form Responses'!E:E,"23AD*"),
COUNTIF('Form Responses'!K:K,"23AD*"),
COUNTIF('Form Responses'!O:O,"23AD*"),
COUNTIF('Form Responses'!S:S,"23AD*"),
COUNTIF('Form Responses'!W:W,"23AD*"),
COUNTIF('Form Responses'!AA:AA,"23AD*")
)</f>
        <v>7</v>
      </c>
      <c r="F4" s="18">
        <f t="shared" ref="F4:F13" si="1">SUM(C4:E4)</f>
        <v>352</v>
      </c>
    </row>
    <row r="5">
      <c r="A5" s="1"/>
      <c r="B5" s="9" t="s">
        <v>71</v>
      </c>
      <c r="C5" s="17">
        <f>SUM(
COUNTIF('Form Responses'!E:E,"25AM*"),
COUNTIF('Form Responses'!K:K,"25AM*"),
COUNTIF('Form Responses'!O:O,"25AM*"),
COUNTIF('Form Responses'!S:S,"25AM*"),
COUNTIF('Form Responses'!W:W,"25AM*"),
COUNTIF('Form Responses'!AA:AA,"25AM*")
)</f>
        <v>100</v>
      </c>
      <c r="D5" s="17">
        <f>SUM(
COUNTIF('Form Responses'!E:E,"24AM*"),
COUNTIF('Form Responses'!K:K,"24AM*"),
COUNTIF('Form Responses'!O:O,"24AM*"),
COUNTIF('Form Responses'!S:S,"24AM*"),
COUNTIF('Form Responses'!W:W,"24AM*"),
COUNTIF('Form Responses'!AA:AA,"24AM*")
)</f>
        <v>96</v>
      </c>
      <c r="E5" s="17">
        <f>SUM(
COUNTIF('Form Responses'!E:E,"23AM*"),
COUNTIF('Form Responses'!K:K,"23AM*"),
COUNTIF('Form Responses'!O:O,"23AM*"),
COUNTIF('Form Responses'!S:S,"23AM*"),
COUNTIF('Form Responses'!W:W,"23AM*"),
COUNTIF('Form Responses'!AA:AA,"23AM*")
)</f>
        <v>5</v>
      </c>
      <c r="F5" s="18">
        <f t="shared" si="1"/>
        <v>201</v>
      </c>
    </row>
    <row r="6">
      <c r="A6" s="1"/>
      <c r="B6" s="9" t="s">
        <v>94</v>
      </c>
      <c r="C6" s="17">
        <f>SUM(
COUNTIF('Form Responses'!E:E,"25CS*"),
COUNTIF('Form Responses'!K:K,"25CS*"),
COUNTIF('Form Responses'!O:O,"25CS*"),
COUNTIF('Form Responses'!S:S,"25CS*"),
COUNTIF('Form Responses'!W:W,"25CS*"),
COUNTIF('Form Responses'!AA:AA,"25CS*")
)</f>
        <v>195</v>
      </c>
      <c r="D6" s="17">
        <f>SUM(
COUNTIF('Form Responses'!E:E,"24CS*"),
COUNTIF('Form Responses'!K:K,"24CS*"),
COUNTIF('Form Responses'!O:O,"24CS*"),
COUNTIF('Form Responses'!S:S,"24CS*"),
COUNTIF('Form Responses'!W:W,"24CS*"),
COUNTIF('Form Responses'!AA:AA,"24CS*")
)</f>
        <v>138</v>
      </c>
      <c r="E6" s="17">
        <f>SUM(
COUNTIF('Form Responses'!E:E,"23CS*"),
COUNTIF('Form Responses'!K:K,"23CS*"),
COUNTIF('Form Responses'!O:O,"23CS*"),
COUNTIF('Form Responses'!S:S,"23CS*"),
COUNTIF('Form Responses'!W:W,"23CS*"),
COUNTIF('Form Responses'!AA:AA,"23CS*")
)</f>
        <v>3</v>
      </c>
      <c r="F6" s="18">
        <f t="shared" si="1"/>
        <v>336</v>
      </c>
    </row>
    <row r="7">
      <c r="A7" s="1"/>
      <c r="B7" s="9" t="s">
        <v>69</v>
      </c>
      <c r="C7" s="17">
        <f>SUM(
COUNTIF('Form Responses'!E:E,"25CC*"),
COUNTIF('Form Responses'!K:K,"25CC*"),
COUNTIF('Form Responses'!O:O,"25CC*"),
COUNTIF('Form Responses'!S:S,"25CC*"),
COUNTIF('Form Responses'!W:W,"25CC*"),
COUNTIF('Form Responses'!AA:AA,"25CC*")
)</f>
        <v>45</v>
      </c>
      <c r="D7" s="17">
        <f>SUM(
COUNTIF('Form Responses'!E:E,"24CC*"),
COUNTIF('Form Responses'!K:K,"24CC*"),
COUNTIF('Form Responses'!O:O,"24CC*"),
COUNTIF('Form Responses'!S:S,"24CC*"),
COUNTIF('Form Responses'!W:W,"24CC*"),
COUNTIF('Form Responses'!AA:AA,"24CC*")
)</f>
        <v>33</v>
      </c>
      <c r="E7" s="17">
        <f>SUM(
COUNTIF('Form Responses'!E:E,"23CC*"),
COUNTIF('Form Responses'!K:K,"23CC*"),
COUNTIF('Form Responses'!O:O,"23CC*"),
COUNTIF('Form Responses'!S:S,"23CC*"),
COUNTIF('Form Responses'!W:W,"23CC*"),
COUNTIF('Form Responses'!AA:AA,"23CC*")
)</f>
        <v>1</v>
      </c>
      <c r="F7" s="18">
        <f t="shared" si="1"/>
        <v>79</v>
      </c>
    </row>
    <row r="8">
      <c r="A8" s="1"/>
      <c r="B8" s="9" t="s">
        <v>206</v>
      </c>
      <c r="C8" s="17">
        <f>SUM(
COUNTIF('Form Responses'!E:E,"25SY*"),
COUNTIF('Form Responses'!K:K,"25SY*"),
COUNTIF('Form Responses'!O:O,"25SY*"),
COUNTIF('Form Responses'!S:S,"25SY*"),
COUNTIF('Form Responses'!W:W,"25SY*"),
COUNTIF('Form Responses'!AA:AA,"25SY*")
)</f>
        <v>53</v>
      </c>
      <c r="D8" s="17">
        <f>SUM(
COUNTIF('Form Responses'!E:E,"24SY*"),
COUNTIF('Form Responses'!K:K,"24SY*"),
COUNTIF('Form Responses'!O:O,"24SY*"),
COUNTIF('Form Responses'!S:S,"24SY*"),
COUNTIF('Form Responses'!W:W,"24SY*"),
COUNTIF('Form Responses'!AA:AA,"24SY*")
)</f>
        <v>32</v>
      </c>
      <c r="E8" s="17">
        <f>SUM(
COUNTIF('Form Responses'!E:E,"23SY*"),
COUNTIF('Form Responses'!K:K,"23SY*"),
COUNTIF('Form Responses'!O:O,"23SY*"),
COUNTIF('Form Responses'!S:S,"23SY*"),
COUNTIF('Form Responses'!W:W,"23SY*"),
COUNTIF('Form Responses'!AA:AA,"23SY*")
)</f>
        <v>0</v>
      </c>
      <c r="F8" s="18">
        <f t="shared" si="1"/>
        <v>85</v>
      </c>
    </row>
    <row r="9">
      <c r="A9" s="1"/>
      <c r="B9" s="9" t="s">
        <v>78</v>
      </c>
      <c r="C9" s="17">
        <f>SUM(
COUNTIF('Form Responses'!E:E,"25CB*"),
COUNTIF('Form Responses'!K:K,"25CB*"),
COUNTIF('Form Responses'!O:O,"25CB*"),
COUNTIF('Form Responses'!S:S,"25CB*"),
COUNTIF('Form Responses'!W:W,"25CB*"),
COUNTIF('Form Responses'!AA:AA,"25CB*")
)</f>
        <v>56</v>
      </c>
      <c r="D9" s="17">
        <f>SUM(
COUNTIF('Form Responses'!E:E,"24CB*"),
COUNTIF('Form Responses'!K:K,"24CB*"),
COUNTIF('Form Responses'!O:O,"24CB*"),
COUNTIF('Form Responses'!S:S,"24CB*"),
COUNTIF('Form Responses'!W:W,"24CB*"),
COUNTIF('Form Responses'!AA:AA,"24CB*")
)</f>
        <v>35</v>
      </c>
      <c r="E9" s="17">
        <f>SUM(
COUNTIF('Form Responses'!E:E,"23CB*"),
COUNTIF('Form Responses'!K:K,"23CB*"),
COUNTIF('Form Responses'!O:O,"23CB*"),
COUNTIF('Form Responses'!S:S,"23CB*"),
COUNTIF('Form Responses'!W:W,"23CB*"),
COUNTIF('Form Responses'!AA:AA,"23CB*")
)</f>
        <v>3</v>
      </c>
      <c r="F9" s="18">
        <f t="shared" si="1"/>
        <v>94</v>
      </c>
    </row>
    <row r="10">
      <c r="A10" s="1"/>
      <c r="B10" s="9" t="s">
        <v>280</v>
      </c>
      <c r="C10" s="17">
        <f>SUM(
COUNTIF('Form Responses'!E:E,"25IT*"),
COUNTIF('Form Responses'!K:K,"25IT*"),
COUNTIF('Form Responses'!O:O,"25IT*"),
COUNTIF('Form Responses'!S:S,"25IT*"),
COUNTIF('Form Responses'!W:W,"25IT*"),
COUNTIF('Form Responses'!AA:AA,"25IT*")
)</f>
        <v>62</v>
      </c>
      <c r="D10" s="17">
        <f>SUM(
COUNTIF('Form Responses'!E:E,"24IT*"),
COUNTIF('Form Responses'!K:K,"24IT*"),
COUNTIF('Form Responses'!O:O,"24IT*"),
COUNTIF('Form Responses'!S:S,"24IT*"),
COUNTIF('Form Responses'!W:W,"24IT*"),
COUNTIF('Form Responses'!AA:AA,"24IT*")
)</f>
        <v>40</v>
      </c>
      <c r="E10" s="17">
        <f>SUM(
COUNTIF('Form Responses'!E:E,"23IT*"),
COUNTIF('Form Responses'!K:K,"23IT*"),
COUNTIF('Form Responses'!O:O,"23IT*"),
COUNTIF('Form Responses'!S:S,"23IT*"),
COUNTIF('Form Responses'!W:W,"23IT*"),
COUNTIF('Form Responses'!AA:AA,"23IT*")
)</f>
        <v>3</v>
      </c>
      <c r="F10" s="18">
        <f t="shared" si="1"/>
        <v>105</v>
      </c>
    </row>
    <row r="11">
      <c r="A11" s="1"/>
      <c r="B11" s="9" t="s">
        <v>126</v>
      </c>
      <c r="C11" s="17">
        <f>SUM(
COUNTIF('Form Responses'!E:E,"25EC*"),
COUNTIF('Form Responses'!K:K,"25EC*"),
COUNTIF('Form Responses'!O:O,"25EC*"),
COUNTIF('Form Responses'!S:S,"25EC*"),
COUNTIF('Form Responses'!W:W,"25EC*"),
COUNTIF('Form Responses'!AA:AA,"25EC*")
)</f>
        <v>170</v>
      </c>
      <c r="D11" s="17">
        <f>SUM(
COUNTIF('Form Responses'!E:E,"24EC*"),
COUNTIF('Form Responses'!K:K,"24EC*"),
COUNTIF('Form Responses'!O:O,"24EC*"),
COUNTIF('Form Responses'!S:S,"24EC*"),
COUNTIF('Form Responses'!W:W,"24EC*"),
COUNTIF('Form Responses'!AA:AA,"24EC*")
)</f>
        <v>59</v>
      </c>
      <c r="E11" s="17">
        <f>SUM(
COUNTIF('Form Responses'!E:E,"23EC*"),
COUNTIF('Form Responses'!K:K,"23EC*"),
COUNTIF('Form Responses'!O:O,"23EC*"),
COUNTIF('Form Responses'!S:S,"23EC*"),
COUNTIF('Form Responses'!W:W,"23EC*"),
COUNTIF('Form Responses'!AA:AA,"23EC*")
)</f>
        <v>3</v>
      </c>
      <c r="F11" s="18">
        <f t="shared" si="1"/>
        <v>232</v>
      </c>
    </row>
    <row r="12">
      <c r="A12" s="1"/>
      <c r="B12" s="9" t="s">
        <v>178</v>
      </c>
      <c r="C12" s="17">
        <f>SUM(
COUNTIF('Form Responses'!E:E,"25EE*"),
COUNTIF('Form Responses'!K:K,"25EE*"),
COUNTIF('Form Responses'!O:O,"25EE*"),
COUNTIF('Form Responses'!S:S,"25EE*"),
COUNTIF('Form Responses'!W:W,"25EE*"),
COUNTIF('Form Responses'!AA:AA,"25EE*")
)</f>
        <v>51</v>
      </c>
      <c r="D12" s="17">
        <f>SUM(
COUNTIF('Form Responses'!E:E,"24EE*"),
COUNTIF('Form Responses'!K:K,"24EE*"),
COUNTIF('Form Responses'!O:O,"24EE*"),
COUNTIF('Form Responses'!S:S,"24EE*"),
COUNTIF('Form Responses'!W:W,"24EE*"),
COUNTIF('Form Responses'!AA:AA,"24EE*")
)</f>
        <v>29</v>
      </c>
      <c r="E12" s="17">
        <f>SUM(
COUNTIF('Form Responses'!E:E,"23EE*"),
COUNTIF('Form Responses'!K:K,"23EE*"),
COUNTIF('Form Responses'!O:O,"23EE*"),
COUNTIF('Form Responses'!S:S,"23EE*"),
COUNTIF('Form Responses'!W:W,"23EE*"),
COUNTIF('Form Responses'!AA:AA,"23EE*")
)</f>
        <v>0</v>
      </c>
      <c r="F12" s="18">
        <f t="shared" si="1"/>
        <v>80</v>
      </c>
    </row>
    <row r="13">
      <c r="A13" s="1"/>
      <c r="B13" s="36" t="s">
        <v>313</v>
      </c>
      <c r="C13" s="17">
        <f>SUM(
COUNTIF('Form Responses'!E:E,"25ME*"),
COUNTIF('Form Responses'!K:K,"25ME*"),
COUNTIF('Form Responses'!O:O,"25ME*"),
COUNTIF('Form Responses'!S:S,"25ME*"),
COUNTIF('Form Responses'!W:W,"25ME*"),
COUNTIF('Form Responses'!AA:AA,"25ME*")
)</f>
        <v>16</v>
      </c>
      <c r="D13" s="17">
        <f>SUM(
COUNTIF('Form Responses'!E:E,"24ME*"),
COUNTIF('Form Responses'!K:K,"24ME*"),
COUNTIF('Form Responses'!O:O,"24ME*"),
COUNTIF('Form Responses'!S:S,"24ME*"),
COUNTIF('Form Responses'!W:W,"24ME*"),
COUNTIF('Form Responses'!AA:AA,"24ME*")
)</f>
        <v>8</v>
      </c>
      <c r="E13" s="17">
        <f>SUM(
COUNTIF('Form Responses'!E:E,"23ME*"),
COUNTIF('Form Responses'!K:K,"23ME*"),
COUNTIF('Form Responses'!O:O,"23ME*"),
COUNTIF('Form Responses'!S:S,"23ME*"),
COUNTIF('Form Responses'!W:W,"23ME*"),
COUNTIF('Form Responses'!AA:AA,"23ME*")
)</f>
        <v>0</v>
      </c>
      <c r="F13" s="18">
        <f t="shared" si="1"/>
        <v>24</v>
      </c>
    </row>
    <row r="14">
      <c r="A14" s="1"/>
      <c r="B14" s="37" t="s">
        <v>400</v>
      </c>
      <c r="C14" s="17">
        <f t="shared" ref="C14:E14" si="2">SUM(C4:C13)</f>
        <v>952</v>
      </c>
      <c r="D14" s="17">
        <f t="shared" si="2"/>
        <v>611</v>
      </c>
      <c r="E14" s="38">
        <f t="shared" si="2"/>
        <v>25</v>
      </c>
      <c r="F14" s="1"/>
    </row>
    <row r="15">
      <c r="A15" s="1"/>
      <c r="B15" s="39" t="s">
        <v>404</v>
      </c>
      <c r="C15" s="40">
        <f>SUM(C14:E14)</f>
        <v>1588</v>
      </c>
      <c r="D15" s="4"/>
      <c r="E15" s="5"/>
      <c r="F15" s="1"/>
    </row>
    <row r="16">
      <c r="A16" s="1"/>
      <c r="B16" s="8" t="s">
        <v>408</v>
      </c>
      <c r="C16" s="3">
        <f>COUNTA('Form Responses'!C2:C1000)</f>
        <v>273</v>
      </c>
      <c r="D16" s="4"/>
      <c r="E16" s="5"/>
      <c r="F16" s="1"/>
    </row>
  </sheetData>
  <mergeCells count="4">
    <mergeCell ref="B2:B3"/>
    <mergeCell ref="C2:F2"/>
    <mergeCell ref="C15:E15"/>
    <mergeCell ref="C16:E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9.5"/>
    <col customWidth="1" min="4" max="4" width="14.75"/>
    <col customWidth="1" min="5" max="5" width="37.63"/>
    <col customWidth="1" min="6" max="6" width="8.63"/>
    <col customWidth="1" min="7" max="7" width="14.25"/>
    <col customWidth="1" min="8" max="8" width="18.38"/>
    <col customWidth="1" min="9" max="9" width="37.13"/>
    <col customWidth="1" min="10" max="10" width="21.25"/>
  </cols>
  <sheetData>
    <row r="1">
      <c r="A1" s="22" t="s">
        <v>92</v>
      </c>
      <c r="B1" s="23" t="s">
        <v>8</v>
      </c>
      <c r="C1" s="24" t="s">
        <v>107</v>
      </c>
      <c r="D1" s="24" t="s">
        <v>109</v>
      </c>
      <c r="E1" s="24" t="s">
        <v>111</v>
      </c>
      <c r="F1" s="23" t="s">
        <v>12</v>
      </c>
      <c r="G1" s="24" t="s">
        <v>0</v>
      </c>
      <c r="H1" s="23" t="s">
        <v>114</v>
      </c>
      <c r="I1" s="24" t="s">
        <v>115</v>
      </c>
      <c r="J1" s="23" t="s">
        <v>116</v>
      </c>
      <c r="K1" s="1"/>
      <c r="L1" s="1"/>
      <c r="M1" s="1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26">
        <v>1.0</v>
      </c>
      <c r="B2" s="29" t="str">
        <f t="array" ref="B2">INDEX('Form Responses'!$C:$C,INT((ROW()-2)/6)+2)</f>
        <v>AUTOM SQUAD</v>
      </c>
      <c r="C2" s="31" t="s">
        <v>140</v>
      </c>
      <c r="D2" s="26" t="str">
        <f t="array" ref="D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23CS083</v>
      </c>
      <c r="E2" s="32" t="str">
        <f t="array" ref="E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MANISH RAGHUL S J</v>
      </c>
      <c r="F2" s="26" t="str">
        <f t="array" ref="F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2" s="26" t="str">
        <f t="array" ref="G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" s="26">
        <f t="array" ref="H2">IF(
MOD(ROW()-2,6)=0,
INDEX('Form Responses'!I:I,INT((ROW()-2)/6)+2),
"-- NA --"
)</f>
        <v>8220563218</v>
      </c>
      <c r="I2" s="32" t="str">
        <f t="array" ref="I2">IF(
MOD(ROW()-2,6)=0,
INDEX('Form Responses'!J:J,INT((ROW()-2)/6)+2),
"-- NA --"
)</f>
        <v>manishraghul.sj2023cse@sece.ac.in</v>
      </c>
      <c r="J2" s="29" t="str">
        <f t="array" ref="J2">INDEX('Form Responses'!$D:$D,INT((ROW()-2)/6)+2)</f>
        <v>Hardware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6">
        <v>2.0</v>
      </c>
      <c r="B3" s="33"/>
      <c r="C3" s="26" t="s">
        <v>282</v>
      </c>
      <c r="D3" s="26" t="str">
        <f t="array" ref="D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24CC005</v>
      </c>
      <c r="E3" s="32" t="str">
        <f t="array" ref="E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ANGELIN SHARMELL E</v>
      </c>
      <c r="F3" s="26" t="str">
        <f t="array" ref="F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" s="26" t="str">
        <f t="array" ref="G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3" s="26" t="str">
        <f t="array" ref="H3">IF(
MOD(ROW()-2,6)=0,
INDEX('Form Responses'!I:I,INT((ROW()-2)/6)+2),
"-- NA --"
)</f>
        <v>-- NA --</v>
      </c>
      <c r="I3" s="32" t="str">
        <f t="array" ref="I3">IF(
MOD(ROW()-2,6)=0,
INDEX('Form Responses'!J:J,INT((ROW()-2)/6)+2),
"-- NA --"
)</f>
        <v>-- NA --</v>
      </c>
      <c r="J3" s="3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26">
        <v>3.0</v>
      </c>
      <c r="B4" s="33"/>
      <c r="C4" s="26" t="s">
        <v>385</v>
      </c>
      <c r="D4" s="26" t="str">
        <f t="array" ref="D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25CS147</v>
      </c>
      <c r="E4" s="32" t="str">
        <f t="array" ref="E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NETHRA V D</v>
      </c>
      <c r="F4" s="26" t="str">
        <f t="array" ref="F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" s="26" t="str">
        <f t="array" ref="G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" s="26" t="str">
        <f t="array" ref="H4">IF(
MOD(ROW()-2,6)=0,
INDEX('Form Responses'!I:I,INT((ROW()-2)/6)+2),
"-- NA --"
)</f>
        <v>-- NA --</v>
      </c>
      <c r="I4" s="32" t="str">
        <f t="array" ref="I4">IF(
MOD(ROW()-2,6)=0,
INDEX('Form Responses'!J:J,INT((ROW()-2)/6)+2),
"-- NA --"
)</f>
        <v>-- NA --</v>
      </c>
      <c r="J4" s="3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26">
        <v>4.0</v>
      </c>
      <c r="B5" s="33"/>
      <c r="C5" s="26" t="s">
        <v>425</v>
      </c>
      <c r="D5" s="26" t="str">
        <f t="array" ref="D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25CS150</v>
      </c>
      <c r="E5" s="32" t="str">
        <f t="array" ref="E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NIRMAL S R</v>
      </c>
      <c r="F5" s="26" t="str">
        <f t="array" ref="F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" s="26" t="str">
        <f t="array" ref="G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" s="26" t="str">
        <f t="array" ref="H5">IF(
MOD(ROW()-2,6)=0,
INDEX('Form Responses'!I:I,INT((ROW()-2)/6)+2),
"-- NA --"
)</f>
        <v>-- NA --</v>
      </c>
      <c r="I5" s="32" t="str">
        <f t="array" ref="I5">IF(
MOD(ROW()-2,6)=0,
INDEX('Form Responses'!J:J,INT((ROW()-2)/6)+2),
"-- NA --"
)</f>
        <v>-- NA --</v>
      </c>
      <c r="J5" s="3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26">
        <v>5.0</v>
      </c>
      <c r="B6" s="33"/>
      <c r="C6" s="26" t="s">
        <v>464</v>
      </c>
      <c r="D6" s="26" t="str">
        <f t="array" ref="D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25EC033</v>
      </c>
      <c r="E6" s="32" t="str">
        <f t="array" ref="E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DEVANAND I</v>
      </c>
      <c r="F6" s="26" t="str">
        <f t="array" ref="F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" s="26" t="str">
        <f t="array" ref="G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" s="26" t="str">
        <f t="array" ref="H6">IF(
MOD(ROW()-2,6)=0,
INDEX('Form Responses'!I:I,INT((ROW()-2)/6)+2),
"-- NA --"
)</f>
        <v>-- NA --</v>
      </c>
      <c r="I6" s="32" t="str">
        <f t="array" ref="I6">IF(
MOD(ROW()-2,6)=0,
INDEX('Form Responses'!J:J,INT((ROW()-2)/6)+2),
"-- NA --"
)</f>
        <v>-- NA --</v>
      </c>
      <c r="J6" s="3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26">
        <v>6.0</v>
      </c>
      <c r="B7" s="6"/>
      <c r="C7" s="26" t="s">
        <v>500</v>
      </c>
      <c r="D7" s="26" t="str">
        <f t="array" ref="D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25CS030</v>
      </c>
      <c r="E7" s="32" t="str">
        <f t="array" ref="E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K</v>
      </c>
      <c r="F7" s="26" t="str">
        <f t="array" ref="F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" s="26" t="str">
        <f t="array" ref="G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" s="26" t="str">
        <f t="array" ref="H7">IF(
MOD(ROW()-2,6)=0,
INDEX('Form Responses'!I:I,INT((ROW()-2)/6)+2),
"-- NA --"
)</f>
        <v>-- NA --</v>
      </c>
      <c r="I7" s="32" t="str">
        <f t="array" ref="I7">IF(
MOD(ROW()-2,6)=0,
INDEX('Form Responses'!J:J,INT((ROW()-2)/6)+2),
"-- NA --"
)</f>
        <v>-- NA --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26">
        <v>7.0</v>
      </c>
      <c r="B8" s="29" t="str">
        <f t="array" ref="B8">INDEX('Form Responses'!$C:$C,INT((ROW()-2)/6)+2)</f>
        <v>TEAM JARVIS</v>
      </c>
      <c r="C8" s="31" t="s">
        <v>140</v>
      </c>
      <c r="D8" s="26" t="str">
        <f t="array" ref="D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25AD030</v>
      </c>
      <c r="E8" s="32" t="str">
        <f t="array" ref="E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DEEPAK M S</v>
      </c>
      <c r="F8" s="26" t="str">
        <f t="array" ref="F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" s="26" t="str">
        <f t="array" ref="G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" s="26">
        <f t="array" ref="H8">IF(
MOD(ROW()-2,6)=0,
INDEX('Form Responses'!I:I,INT((ROW()-2)/6)+2),
"-- NA --"
)</f>
        <v>9361137378</v>
      </c>
      <c r="I8" s="32" t="str">
        <f t="array" ref="I8">IF(
MOD(ROW()-2,6)=0,
INDEX('Form Responses'!J:J,INT((ROW()-2)/6)+2),
"-- NA --"
)</f>
        <v>deepak.ms2025aids@sece.ac.in</v>
      </c>
      <c r="J8" s="29" t="str">
        <f t="array" ref="J8">INDEX('Form Responses'!$D:$D,INT((ROW()-2)/6)+2)</f>
        <v>Hardware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26">
        <v>8.0</v>
      </c>
      <c r="B9" s="33"/>
      <c r="C9" s="26" t="s">
        <v>282</v>
      </c>
      <c r="D9" s="26" t="str">
        <f t="array" ref="D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24CB002</v>
      </c>
      <c r="E9" s="32" t="str">
        <f t="array" ref="E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ANAS F</v>
      </c>
      <c r="F9" s="26" t="str">
        <f t="array" ref="F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" s="26" t="str">
        <f t="array" ref="G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" s="26" t="str">
        <f t="array" ref="H9">IF(
MOD(ROW()-2,6)=0,
INDEX('Form Responses'!I:I,INT((ROW()-2)/6)+2),
"-- NA --"
)</f>
        <v>-- NA --</v>
      </c>
      <c r="I9" s="32" t="str">
        <f t="array" ref="I9">IF(
MOD(ROW()-2,6)=0,
INDEX('Form Responses'!J:J,INT((ROW()-2)/6)+2),
"-- NA --"
)</f>
        <v>-- NA --</v>
      </c>
      <c r="J9" s="3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26">
        <v>9.0</v>
      </c>
      <c r="B10" s="33"/>
      <c r="C10" s="26" t="s">
        <v>385</v>
      </c>
      <c r="D10" s="26" t="str">
        <f t="array" ref="D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25AD019</v>
      </c>
      <c r="E10" s="32" t="str">
        <f t="array" ref="E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ATCHAYA E</v>
      </c>
      <c r="F10" s="26" t="str">
        <f t="array" ref="F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" s="26" t="str">
        <f t="array" ref="G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" s="26" t="str">
        <f t="array" ref="H10">IF(
MOD(ROW()-2,6)=0,
INDEX('Form Responses'!I:I,INT((ROW()-2)/6)+2),
"-- NA --"
)</f>
        <v>-- NA --</v>
      </c>
      <c r="I10" s="32" t="str">
        <f t="array" ref="I10">IF(
MOD(ROW()-2,6)=0,
INDEX('Form Responses'!J:J,INT((ROW()-2)/6)+2),
"-- NA --"
)</f>
        <v>-- NA --</v>
      </c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26">
        <v>10.0</v>
      </c>
      <c r="B11" s="33"/>
      <c r="C11" s="26" t="s">
        <v>425</v>
      </c>
      <c r="D11" s="26" t="str">
        <f t="array" ref="D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25AD031</v>
      </c>
      <c r="E11" s="32" t="str">
        <f t="array" ref="E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DEEPALAKSHMI S</v>
      </c>
      <c r="F11" s="26" t="str">
        <f t="array" ref="F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" s="26" t="str">
        <f t="array" ref="G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" s="26" t="str">
        <f t="array" ref="H11">IF(
MOD(ROW()-2,6)=0,
INDEX('Form Responses'!I:I,INT((ROW()-2)/6)+2),
"-- NA --"
)</f>
        <v>-- NA --</v>
      </c>
      <c r="I11" s="32" t="str">
        <f t="array" ref="I11">IF(
MOD(ROW()-2,6)=0,
INDEX('Form Responses'!J:J,INT((ROW()-2)/6)+2),
"-- NA --"
)</f>
        <v>-- NA --</v>
      </c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26">
        <v>11.0</v>
      </c>
      <c r="B12" s="33"/>
      <c r="C12" s="26" t="s">
        <v>464</v>
      </c>
      <c r="D12" s="26" t="str">
        <f t="array" ref="D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25EE059</v>
      </c>
      <c r="E12" s="32" t="str">
        <f t="array" ref="E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VIJAY KARUPPUSAMY S</v>
      </c>
      <c r="F12" s="26" t="str">
        <f t="array" ref="F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" s="26" t="str">
        <f t="array" ref="G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" s="26" t="str">
        <f t="array" ref="H12">IF(
MOD(ROW()-2,6)=0,
INDEX('Form Responses'!I:I,INT((ROW()-2)/6)+2),
"-- NA --"
)</f>
        <v>-- NA --</v>
      </c>
      <c r="I12" s="32" t="str">
        <f t="array" ref="I12">IF(
MOD(ROW()-2,6)=0,
INDEX('Form Responses'!J:J,INT((ROW()-2)/6)+2),
"-- NA --"
)</f>
        <v>-- NA --</v>
      </c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26">
        <v>12.0</v>
      </c>
      <c r="B13" s="6"/>
      <c r="C13" s="26" t="s">
        <v>500</v>
      </c>
      <c r="D13" s="26" t="str">
        <f t="array" ref="D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25EE033</v>
      </c>
      <c r="E13" s="32" t="str">
        <f t="array" ref="E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NESA RAJAN R</v>
      </c>
      <c r="F13" s="26" t="str">
        <f t="array" ref="F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" s="26" t="str">
        <f t="array" ref="G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" s="26" t="str">
        <f t="array" ref="H13">IF(
MOD(ROW()-2,6)=0,
INDEX('Form Responses'!I:I,INT((ROW()-2)/6)+2),
"-- NA --"
)</f>
        <v>-- NA --</v>
      </c>
      <c r="I13" s="32" t="str">
        <f t="array" ref="I13">IF(
MOD(ROW()-2,6)=0,
INDEX('Form Responses'!J:J,INT((ROW()-2)/6)+2),
"-- NA --"
)</f>
        <v>-- NA --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26">
        <v>13.0</v>
      </c>
      <c r="B14" s="29" t="str">
        <f t="array" ref="B14">INDEX('Form Responses'!$C:$C,INT((ROW()-2)/6)+2)</f>
        <v>Syntax Squad</v>
      </c>
      <c r="C14" s="31" t="s">
        <v>140</v>
      </c>
      <c r="D14" s="26" t="str">
        <f t="array" ref="D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24AD147</v>
      </c>
      <c r="E14" s="32" t="str">
        <f t="array" ref="E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Nithish S</v>
      </c>
      <c r="F14" s="26" t="str">
        <f t="array" ref="F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" s="26" t="str">
        <f t="array" ref="G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" s="26">
        <f t="array" ref="H14">IF(
MOD(ROW()-2,6)=0,
INDEX('Form Responses'!I:I,INT((ROW()-2)/6)+2),
"-- NA --"
)</f>
        <v>9080463640</v>
      </c>
      <c r="I14" s="32" t="str">
        <f t="array" ref="I14">IF(
MOD(ROW()-2,6)=0,
INDEX('Form Responses'!J:J,INT((ROW()-2)/6)+2),
"-- NA --"
)</f>
        <v>nithish.s2024aids@sece.ac.in</v>
      </c>
      <c r="J14" s="29" t="str">
        <f t="array" ref="J14">INDEX('Form Responses'!$D:$D,INT((ROW()-2)/6)+2)</f>
        <v>Software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26">
        <v>14.0</v>
      </c>
      <c r="B15" s="33"/>
      <c r="C15" s="26" t="s">
        <v>282</v>
      </c>
      <c r="D15" s="26" t="str">
        <f t="array" ref="D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24AD163</v>
      </c>
      <c r="E15" s="32" t="str">
        <f t="array" ref="E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PREM NARAYN N L</v>
      </c>
      <c r="F15" s="26" t="str">
        <f t="array" ref="F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" s="26" t="str">
        <f t="array" ref="G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" s="26" t="str">
        <f t="array" ref="H15">IF(
MOD(ROW()-2,6)=0,
INDEX('Form Responses'!I:I,INT((ROW()-2)/6)+2),
"-- NA --"
)</f>
        <v>-- NA --</v>
      </c>
      <c r="I15" s="32" t="str">
        <f t="array" ref="I15">IF(
MOD(ROW()-2,6)=0,
INDEX('Form Responses'!J:J,INT((ROW()-2)/6)+2),
"-- NA --"
)</f>
        <v>-- NA --</v>
      </c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26">
        <v>15.0</v>
      </c>
      <c r="B16" s="33"/>
      <c r="C16" s="26" t="s">
        <v>385</v>
      </c>
      <c r="D16" s="26" t="str">
        <f t="array" ref="D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24AD134</v>
      </c>
      <c r="E16" s="32" t="str">
        <f t="array" ref="E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MUKESH KANNAN T</v>
      </c>
      <c r="F16" s="26" t="str">
        <f t="array" ref="F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" s="26" t="str">
        <f t="array" ref="G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" s="26" t="str">
        <f t="array" ref="H16">IF(
MOD(ROW()-2,6)=0,
INDEX('Form Responses'!I:I,INT((ROW()-2)/6)+2),
"-- NA --"
)</f>
        <v>-- NA --</v>
      </c>
      <c r="I16" s="32" t="str">
        <f t="array" ref="I16">IF(
MOD(ROW()-2,6)=0,
INDEX('Form Responses'!J:J,INT((ROW()-2)/6)+2),
"-- NA --"
)</f>
        <v>-- NA --</v>
      </c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26">
        <v>16.0</v>
      </c>
      <c r="B17" s="33"/>
      <c r="C17" s="26" t="s">
        <v>425</v>
      </c>
      <c r="D17" s="26" t="str">
        <f t="array" ref="D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24AD168</v>
      </c>
      <c r="E17" s="32" t="str">
        <f t="array" ref="E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RAGHAV V</v>
      </c>
      <c r="F17" s="26" t="str">
        <f t="array" ref="F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7" s="26" t="str">
        <f t="array" ref="G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7" s="26" t="str">
        <f t="array" ref="H17">IF(
MOD(ROW()-2,6)=0,
INDEX('Form Responses'!I:I,INT((ROW()-2)/6)+2),
"-- NA --"
)</f>
        <v>-- NA --</v>
      </c>
      <c r="I17" s="32" t="str">
        <f t="array" ref="I17">IF(
MOD(ROW()-2,6)=0,
INDEX('Form Responses'!J:J,INT((ROW()-2)/6)+2),
"-- NA --"
)</f>
        <v>-- NA --</v>
      </c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26">
        <v>17.0</v>
      </c>
      <c r="B18" s="33"/>
      <c r="C18" s="26" t="s">
        <v>464</v>
      </c>
      <c r="D18" s="26" t="str">
        <f t="array" ref="D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24CS171</v>
      </c>
      <c r="E18" s="32" t="str">
        <f t="array" ref="E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POOJA P</v>
      </c>
      <c r="F18" s="26" t="str">
        <f t="array" ref="F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8" s="26" t="str">
        <f t="array" ref="G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" s="26" t="str">
        <f t="array" ref="H18">IF(
MOD(ROW()-2,6)=0,
INDEX('Form Responses'!I:I,INT((ROW()-2)/6)+2),
"-- NA --"
)</f>
        <v>-- NA --</v>
      </c>
      <c r="I18" s="32" t="str">
        <f t="array" ref="I18">IF(
MOD(ROW()-2,6)=0,
INDEX('Form Responses'!J:J,INT((ROW()-2)/6)+2),
"-- NA --"
)</f>
        <v>-- NA --</v>
      </c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26">
        <v>18.0</v>
      </c>
      <c r="B19" s="6"/>
      <c r="C19" s="26" t="s">
        <v>500</v>
      </c>
      <c r="D19" s="26" t="str">
        <f t="array" ref="D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24CS275</v>
      </c>
      <c r="E19" s="32" t="str">
        <f t="array" ref="E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ZERA SHAHADIYA S</v>
      </c>
      <c r="F19" s="26" t="str">
        <f t="array" ref="F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" s="26" t="str">
        <f t="array" ref="G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" s="26" t="str">
        <f t="array" ref="H19">IF(
MOD(ROW()-2,6)=0,
INDEX('Form Responses'!I:I,INT((ROW()-2)/6)+2),
"-- NA --"
)</f>
        <v>-- NA --</v>
      </c>
      <c r="I19" s="32" t="str">
        <f t="array" ref="I19">IF(
MOD(ROW()-2,6)=0,
INDEX('Form Responses'!J:J,INT((ROW()-2)/6)+2),
"-- NA --"
)</f>
        <v>-- NA --</v>
      </c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26">
        <v>19.0</v>
      </c>
      <c r="B20" s="29" t="str">
        <f t="array" ref="B20">INDEX('Form Responses'!$C:$C,INT((ROW()-2)/6)+2)</f>
        <v>Code Catalyst</v>
      </c>
      <c r="C20" s="31" t="s">
        <v>140</v>
      </c>
      <c r="D20" s="26" t="str">
        <f t="array" ref="D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24CB061</v>
      </c>
      <c r="E20" s="32" t="str">
        <f t="array" ref="E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Vasanthraj S M</v>
      </c>
      <c r="F20" s="26" t="str">
        <f t="array" ref="F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0" s="26" t="str">
        <f t="array" ref="G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0" s="26">
        <f t="array" ref="H20">IF(
MOD(ROW()-2,6)=0,
INDEX('Form Responses'!I:I,INT((ROW()-2)/6)+2),
"-- NA --"
)</f>
        <v>8270404017</v>
      </c>
      <c r="I20" s="32" t="str">
        <f t="array" ref="I20">IF(
MOD(ROW()-2,6)=0,
INDEX('Form Responses'!J:J,INT((ROW()-2)/6)+2),
"-- NA --"
)</f>
        <v>vasanthraj.sm2024csbs@sece.ac.in</v>
      </c>
      <c r="J20" s="29" t="str">
        <f t="array" ref="J20">INDEX('Form Responses'!$D:$D,INT((ROW()-2)/6)+2)</f>
        <v>Software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26">
        <v>20.0</v>
      </c>
      <c r="B21" s="33"/>
      <c r="C21" s="26" t="s">
        <v>282</v>
      </c>
      <c r="D21" s="26" t="str">
        <f t="array" ref="D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24CB028</v>
      </c>
      <c r="E21" s="32" t="str">
        <f t="array" ref="E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Nitin K</v>
      </c>
      <c r="F21" s="26" t="str">
        <f t="array" ref="F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1" s="26" t="str">
        <f t="array" ref="G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1" s="26" t="str">
        <f t="array" ref="H21">IF(
MOD(ROW()-2,6)=0,
INDEX('Form Responses'!I:I,INT((ROW()-2)/6)+2),
"-- NA --"
)</f>
        <v>-- NA --</v>
      </c>
      <c r="I21" s="32" t="str">
        <f t="array" ref="I21">IF(
MOD(ROW()-2,6)=0,
INDEX('Form Responses'!J:J,INT((ROW()-2)/6)+2),
"-- NA --"
)</f>
        <v>-- NA --</v>
      </c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26">
        <v>21.0</v>
      </c>
      <c r="B22" s="33"/>
      <c r="C22" s="26" t="s">
        <v>385</v>
      </c>
      <c r="D22" s="26" t="str">
        <f t="array" ref="D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24CB053</v>
      </c>
      <c r="E22" s="32" t="str">
        <f t="array" ref="E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SriSuthan V P R</v>
      </c>
      <c r="F22" s="26" t="str">
        <f t="array" ref="F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" s="26" t="str">
        <f t="array" ref="G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2" s="26" t="str">
        <f t="array" ref="H22">IF(
MOD(ROW()-2,6)=0,
INDEX('Form Responses'!I:I,INT((ROW()-2)/6)+2),
"-- NA --"
)</f>
        <v>-- NA --</v>
      </c>
      <c r="I22" s="32" t="str">
        <f t="array" ref="I22">IF(
MOD(ROW()-2,6)=0,
INDEX('Form Responses'!J:J,INT((ROW()-2)/6)+2),
"-- NA --"
)</f>
        <v>-- NA --</v>
      </c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26">
        <v>22.0</v>
      </c>
      <c r="B23" s="33"/>
      <c r="C23" s="26" t="s">
        <v>425</v>
      </c>
      <c r="D23" s="26" t="str">
        <f t="array" ref="D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24CB016</v>
      </c>
      <c r="E23" s="32" t="str">
        <f t="array" ref="E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Ilakiya K</v>
      </c>
      <c r="F23" s="26" t="str">
        <f t="array" ref="F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3" s="26" t="str">
        <f t="array" ref="G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3" s="26" t="str">
        <f t="array" ref="H23">IF(
MOD(ROW()-2,6)=0,
INDEX('Form Responses'!I:I,INT((ROW()-2)/6)+2),
"-- NA --"
)</f>
        <v>-- NA --</v>
      </c>
      <c r="I23" s="32" t="str">
        <f t="array" ref="I23">IF(
MOD(ROW()-2,6)=0,
INDEX('Form Responses'!J:J,INT((ROW()-2)/6)+2),
"-- NA --"
)</f>
        <v>-- NA --</v>
      </c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26">
        <v>23.0</v>
      </c>
      <c r="B24" s="33"/>
      <c r="C24" s="26" t="s">
        <v>464</v>
      </c>
      <c r="D24" s="26" t="str">
        <f t="array" ref="D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24CB041</v>
      </c>
      <c r="E24" s="32" t="str">
        <f t="array" ref="E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Sandhya S </v>
      </c>
      <c r="F24" s="26" t="str">
        <f t="array" ref="F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4" s="26" t="str">
        <f t="array" ref="G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4" s="26" t="str">
        <f t="array" ref="H24">IF(
MOD(ROW()-2,6)=0,
INDEX('Form Responses'!I:I,INT((ROW()-2)/6)+2),
"-- NA --"
)</f>
        <v>-- NA --</v>
      </c>
      <c r="I24" s="32" t="str">
        <f t="array" ref="I24">IF(
MOD(ROW()-2,6)=0,
INDEX('Form Responses'!J:J,INT((ROW()-2)/6)+2),
"-- NA --"
)</f>
        <v>-- NA --</v>
      </c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26">
        <v>24.0</v>
      </c>
      <c r="B25" s="6"/>
      <c r="C25" s="26" t="s">
        <v>500</v>
      </c>
      <c r="D25" s="26" t="str">
        <f t="array" ref="D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24AD225</v>
      </c>
      <c r="E25" s="32" t="str">
        <f t="array" ref="E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Sujitha P</v>
      </c>
      <c r="F25" s="26" t="str">
        <f t="array" ref="F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5" s="26" t="str">
        <f t="array" ref="G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5" s="26" t="str">
        <f t="array" ref="H25">IF(
MOD(ROW()-2,6)=0,
INDEX('Form Responses'!I:I,INT((ROW()-2)/6)+2),
"-- NA --"
)</f>
        <v>-- NA --</v>
      </c>
      <c r="I25" s="32" t="str">
        <f t="array" ref="I25">IF(
MOD(ROW()-2,6)=0,
INDEX('Form Responses'!J:J,INT((ROW()-2)/6)+2),
"-- NA --"
)</f>
        <v>-- NA --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26">
        <v>25.0</v>
      </c>
      <c r="B26" s="29" t="str">
        <f t="array" ref="B26">INDEX('Form Responses'!$C:$C,INT((ROW()-2)/6)+2)</f>
        <v>PHEONIX CREW</v>
      </c>
      <c r="C26" s="31" t="s">
        <v>140</v>
      </c>
      <c r="D26" s="26" t="str">
        <f t="array" ref="D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25CC060</v>
      </c>
      <c r="E26" s="32" t="str">
        <f t="array" ref="E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THIVYA SRIEE S M</v>
      </c>
      <c r="F26" s="26" t="str">
        <f t="array" ref="F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" s="26" t="str">
        <f t="array" ref="G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26" s="26">
        <f t="array" ref="H26">IF(
MOD(ROW()-2,6)=0,
INDEX('Form Responses'!I:I,INT((ROW()-2)/6)+2),
"-- NA --"
)</f>
        <v>8072742100</v>
      </c>
      <c r="I26" s="32" t="str">
        <f t="array" ref="I26">IF(
MOD(ROW()-2,6)=0,
INDEX('Form Responses'!J:J,INT((ROW()-2)/6)+2),
"-- NA --"
)</f>
        <v>thivyasriee.sm2025cce@sece.ac.in</v>
      </c>
      <c r="J26" s="29" t="str">
        <f t="array" ref="J26">INDEX('Form Responses'!$D:$D,INT((ROW()-2)/6)+2)</f>
        <v>Hardware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26">
        <v>26.0</v>
      </c>
      <c r="B27" s="33"/>
      <c r="C27" s="26" t="s">
        <v>282</v>
      </c>
      <c r="D27" s="26" t="str">
        <f t="array" ref="D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25EC152</v>
      </c>
      <c r="E27" s="32" t="str">
        <f t="array" ref="E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SHREE AKILA R</v>
      </c>
      <c r="F27" s="26" t="str">
        <f t="array" ref="F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7" s="26" t="str">
        <f t="array" ref="G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7" s="26" t="str">
        <f t="array" ref="H27">IF(
MOD(ROW()-2,6)=0,
INDEX('Form Responses'!I:I,INT((ROW()-2)/6)+2),
"-- NA --"
)</f>
        <v>-- NA --</v>
      </c>
      <c r="I27" s="32" t="str">
        <f t="array" ref="I27">IF(
MOD(ROW()-2,6)=0,
INDEX('Form Responses'!J:J,INT((ROW()-2)/6)+2),
"-- NA --"
)</f>
        <v>-- NA --</v>
      </c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26">
        <v>27.0</v>
      </c>
      <c r="B28" s="33"/>
      <c r="C28" s="26" t="s">
        <v>385</v>
      </c>
      <c r="D28" s="26" t="str">
        <f t="array" ref="D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25EC161</v>
      </c>
      <c r="E28" s="32" t="str">
        <f t="array" ref="E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M</v>
      </c>
      <c r="F28" s="26" t="str">
        <f t="array" ref="F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8" s="26" t="str">
        <f t="array" ref="G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8" s="26" t="str">
        <f t="array" ref="H28">IF(
MOD(ROW()-2,6)=0,
INDEX('Form Responses'!I:I,INT((ROW()-2)/6)+2),
"-- NA --"
)</f>
        <v>-- NA --</v>
      </c>
      <c r="I28" s="32" t="str">
        <f t="array" ref="I28">IF(
MOD(ROW()-2,6)=0,
INDEX('Form Responses'!J:J,INT((ROW()-2)/6)+2),
"-- NA --"
)</f>
        <v>-- NA --</v>
      </c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26">
        <v>28.0</v>
      </c>
      <c r="B29" s="33"/>
      <c r="C29" s="26" t="s">
        <v>425</v>
      </c>
      <c r="D29" s="26" t="str">
        <f t="array" ref="D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25EC184</v>
      </c>
      <c r="E29" s="32" t="str">
        <f t="array" ref="E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VISHWA HARI M</v>
      </c>
      <c r="F29" s="26" t="str">
        <f t="array" ref="F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9" s="26" t="str">
        <f t="array" ref="G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9" s="26" t="str">
        <f t="array" ref="H29">IF(
MOD(ROW()-2,6)=0,
INDEX('Form Responses'!I:I,INT((ROW()-2)/6)+2),
"-- NA --"
)</f>
        <v>-- NA --</v>
      </c>
      <c r="I29" s="32" t="str">
        <f t="array" ref="I29">IF(
MOD(ROW()-2,6)=0,
INDEX('Form Responses'!J:J,INT((ROW()-2)/6)+2),
"-- NA --"
)</f>
        <v>-- NA --</v>
      </c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26">
        <v>29.0</v>
      </c>
      <c r="B30" s="33"/>
      <c r="C30" s="26" t="s">
        <v>464</v>
      </c>
      <c r="D30" s="26" t="str">
        <f t="array" ref="D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25ME012</v>
      </c>
      <c r="E30" s="32" t="str">
        <f t="array" ref="E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JEEVANIGA S B</v>
      </c>
      <c r="F30" s="26" t="str">
        <f t="array" ref="F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" s="26" t="str">
        <f t="array" ref="G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30" s="26" t="str">
        <f t="array" ref="H30">IF(
MOD(ROW()-2,6)=0,
INDEX('Form Responses'!I:I,INT((ROW()-2)/6)+2),
"-- NA --"
)</f>
        <v>-- NA --</v>
      </c>
      <c r="I30" s="32" t="str">
        <f t="array" ref="I30">IF(
MOD(ROW()-2,6)=0,
INDEX('Form Responses'!J:J,INT((ROW()-2)/6)+2),
"-- NA --"
)</f>
        <v>-- NA --</v>
      </c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26">
        <v>30.0</v>
      </c>
      <c r="B31" s="6"/>
      <c r="C31" s="26" t="s">
        <v>500</v>
      </c>
      <c r="D31" s="26" t="str">
        <f t="array" ref="D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25CS201</v>
      </c>
      <c r="E31" s="32" t="str">
        <f t="array" ref="E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SANTHISH N</v>
      </c>
      <c r="F31" s="26" t="str">
        <f t="array" ref="F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" s="26" t="str">
        <f t="array" ref="G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1" s="26" t="str">
        <f t="array" ref="H31">IF(
MOD(ROW()-2,6)=0,
INDEX('Form Responses'!I:I,INT((ROW()-2)/6)+2),
"-- NA --"
)</f>
        <v>-- NA --</v>
      </c>
      <c r="I31" s="32" t="str">
        <f t="array" ref="I31">IF(
MOD(ROW()-2,6)=0,
INDEX('Form Responses'!J:J,INT((ROW()-2)/6)+2),
"-- NA --"
)</f>
        <v>-- NA --</v>
      </c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26">
        <v>31.0</v>
      </c>
      <c r="B32" s="29" t="str">
        <f t="array" ref="B32">INDEX('Form Responses'!$C:$C,INT((ROW()-2)/6)+2)</f>
        <v>Team RBC</v>
      </c>
      <c r="C32" s="31" t="s">
        <v>140</v>
      </c>
      <c r="D32" s="26" t="str">
        <f t="array" ref="D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24CS218</v>
      </c>
      <c r="E32" s="32" t="str">
        <f t="array" ref="E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SAUMYAJIT PURAKAYASTHA</v>
      </c>
      <c r="F32" s="26" t="str">
        <f t="array" ref="F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2" s="26" t="str">
        <f t="array" ref="G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2" s="26">
        <f t="array" ref="H32">IF(
MOD(ROW()-2,6)=0,
INDEX('Form Responses'!I:I,INT((ROW()-2)/6)+2),
"-- NA --"
)</f>
        <v>9159156405</v>
      </c>
      <c r="I32" s="32" t="str">
        <f t="array" ref="I32">IF(
MOD(ROW()-2,6)=0,
INDEX('Form Responses'!J:J,INT((ROW()-2)/6)+2),
"-- NA --"
)</f>
        <v>saumyajitpurakayastha.2024cse@sece.ac.in</v>
      </c>
      <c r="J32" s="29" t="str">
        <f t="array" ref="J32">INDEX('Form Responses'!$D:$D,INT((ROW()-2)/6)+2)</f>
        <v>Software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26">
        <v>32.0</v>
      </c>
      <c r="B33" s="33"/>
      <c r="C33" s="26" t="s">
        <v>282</v>
      </c>
      <c r="D33" s="26" t="str">
        <f t="array" ref="D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24CS223</v>
      </c>
      <c r="E33" s="32" t="str">
        <f t="array" ref="E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SHANKAR L</v>
      </c>
      <c r="F33" s="26" t="str">
        <f t="array" ref="F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3" s="26" t="str">
        <f t="array" ref="G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3" s="26" t="str">
        <f t="array" ref="H33">IF(
MOD(ROW()-2,6)=0,
INDEX('Form Responses'!I:I,INT((ROW()-2)/6)+2),
"-- NA --"
)</f>
        <v>-- NA --</v>
      </c>
      <c r="I33" s="32" t="str">
        <f t="array" ref="I33">IF(
MOD(ROW()-2,6)=0,
INDEX('Form Responses'!J:J,INT((ROW()-2)/6)+2),
"-- NA --"
)</f>
        <v>-- NA --</v>
      </c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26">
        <v>33.0</v>
      </c>
      <c r="B34" s="33"/>
      <c r="C34" s="26" t="s">
        <v>385</v>
      </c>
      <c r="D34" s="26" t="str">
        <f t="array" ref="D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24CS270</v>
      </c>
      <c r="E34" s="32" t="str">
        <f t="array" ref="E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YAAZHVENDHAN M</v>
      </c>
      <c r="F34" s="26" t="str">
        <f t="array" ref="F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4" s="26" t="str">
        <f t="array" ref="G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4" s="26" t="str">
        <f t="array" ref="H34">IF(
MOD(ROW()-2,6)=0,
INDEX('Form Responses'!I:I,INT((ROW()-2)/6)+2),
"-- NA --"
)</f>
        <v>-- NA --</v>
      </c>
      <c r="I34" s="32" t="str">
        <f t="array" ref="I34">IF(
MOD(ROW()-2,6)=0,
INDEX('Form Responses'!J:J,INT((ROW()-2)/6)+2),
"-- NA --"
)</f>
        <v>-- NA --</v>
      </c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26">
        <v>34.0</v>
      </c>
      <c r="B35" s="33"/>
      <c r="C35" s="26" t="s">
        <v>425</v>
      </c>
      <c r="D35" s="26" t="str">
        <f t="array" ref="D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25CS028</v>
      </c>
      <c r="E35" s="32" t="str">
        <f t="array" ref="E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DEBADRUTI PURAKAYASTHA</v>
      </c>
      <c r="F35" s="26" t="str">
        <f t="array" ref="F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" s="26" t="str">
        <f t="array" ref="G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5" s="26" t="str">
        <f t="array" ref="H35">IF(
MOD(ROW()-2,6)=0,
INDEX('Form Responses'!I:I,INT((ROW()-2)/6)+2),
"-- NA --"
)</f>
        <v>-- NA --</v>
      </c>
      <c r="I35" s="32" t="str">
        <f t="array" ref="I35">IF(
MOD(ROW()-2,6)=0,
INDEX('Form Responses'!J:J,INT((ROW()-2)/6)+2),
"-- NA --"
)</f>
        <v>-- NA --</v>
      </c>
      <c r="J35" s="3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26">
        <v>35.0</v>
      </c>
      <c r="B36" s="33"/>
      <c r="C36" s="26" t="s">
        <v>464</v>
      </c>
      <c r="D36" s="26" t="str">
        <f t="array" ref="D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24AD224</v>
      </c>
      <c r="E36" s="32" t="str">
        <f t="array" ref="E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 G</v>
      </c>
      <c r="F36" s="26" t="str">
        <f t="array" ref="F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" s="26" t="str">
        <f t="array" ref="G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AI&amp;DS</v>
      </c>
      <c r="H36" s="26" t="str">
        <f t="array" ref="H36">IF(
MOD(ROW()-2,6)=0,
INDEX('Form Responses'!I:I,INT((ROW()-2)/6)+2),
"-- NA --"
)</f>
        <v>-- NA --</v>
      </c>
      <c r="I36" s="32" t="str">
        <f t="array" ref="I36">IF(
MOD(ROW()-2,6)=0,
INDEX('Form Responses'!J:J,INT((ROW()-2)/6)+2),
"-- NA --"
)</f>
        <v>-- NA --</v>
      </c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26">
        <v>36.0</v>
      </c>
      <c r="B37" s="6"/>
      <c r="C37" s="26" t="s">
        <v>500</v>
      </c>
      <c r="D37" s="26" t="str">
        <f t="array" ref="D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25CB040</v>
      </c>
      <c r="E37" s="32" t="str">
        <f t="array" ref="E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Rithish Krishna A</v>
      </c>
      <c r="F37" s="26" t="str">
        <f t="array" ref="F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7" s="26" t="str">
        <f t="array" ref="G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7" s="26" t="str">
        <f t="array" ref="H37">IF(
MOD(ROW()-2,6)=0,
INDEX('Form Responses'!I:I,INT((ROW()-2)/6)+2),
"-- NA --"
)</f>
        <v>-- NA --</v>
      </c>
      <c r="I37" s="32" t="str">
        <f t="array" ref="I37">IF(
MOD(ROW()-2,6)=0,
INDEX('Form Responses'!J:J,INT((ROW()-2)/6)+2),
"-- NA --"
)</f>
        <v>-- NA --</v>
      </c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26">
        <v>37.0</v>
      </c>
      <c r="B38" s="29" t="str">
        <f t="array" ref="B38">INDEX('Form Responses'!$C:$C,INT((ROW()-2)/6)+2)</f>
        <v>Team Tech</v>
      </c>
      <c r="C38" s="31" t="s">
        <v>140</v>
      </c>
      <c r="D38" s="26" t="str">
        <f t="array" ref="D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23CB051 </v>
      </c>
      <c r="E38" s="32" t="str">
        <f t="array" ref="E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SIVAVASHINI S </v>
      </c>
      <c r="F38" s="26" t="str">
        <f t="array" ref="F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38" s="26" t="str">
        <f t="array" ref="G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" s="26">
        <f t="array" ref="H38">IF(
MOD(ROW()-2,6)=0,
INDEX('Form Responses'!I:I,INT((ROW()-2)/6)+2),
"-- NA --"
)</f>
        <v>9003467635</v>
      </c>
      <c r="I38" s="32" t="str">
        <f t="array" ref="I38">IF(
MOD(ROW()-2,6)=0,
INDEX('Form Responses'!J:J,INT((ROW()-2)/6)+2),
"-- NA --"
)</f>
        <v>sivavashini.s2023csbs@sece.ac.in</v>
      </c>
      <c r="J38" s="29" t="str">
        <f t="array" ref="J38">INDEX('Form Responses'!$D:$D,INT((ROW()-2)/6)+2)</f>
        <v>Software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26">
        <v>38.0</v>
      </c>
      <c r="B39" s="33"/>
      <c r="C39" s="26" t="s">
        <v>282</v>
      </c>
      <c r="D39" s="26" t="str">
        <f t="array" ref="D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23CB004</v>
      </c>
      <c r="E39" s="32" t="str">
        <f t="array" ref="E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ANGUPRANISA U </v>
      </c>
      <c r="F39" s="26" t="str">
        <f t="array" ref="F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39" s="26" t="str">
        <f t="array" ref="G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9" s="26" t="str">
        <f t="array" ref="H39">IF(
MOD(ROW()-2,6)=0,
INDEX('Form Responses'!I:I,INT((ROW()-2)/6)+2),
"-- NA --"
)</f>
        <v>-- NA --</v>
      </c>
      <c r="I39" s="32" t="str">
        <f t="array" ref="I39">IF(
MOD(ROW()-2,6)=0,
INDEX('Form Responses'!J:J,INT((ROW()-2)/6)+2),
"-- NA --"
)</f>
        <v>-- NA --</v>
      </c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26">
        <v>39.0</v>
      </c>
      <c r="B40" s="33"/>
      <c r="C40" s="26" t="s">
        <v>385</v>
      </c>
      <c r="D40" s="26" t="str">
        <f t="array" ref="D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23AD116</v>
      </c>
      <c r="E40" s="32" t="str">
        <f t="array" ref="E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SAKTHIVEL M </v>
      </c>
      <c r="F40" s="26" t="str">
        <f t="array" ref="F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40" s="26" t="str">
        <f t="array" ref="G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" s="26" t="str">
        <f t="array" ref="H40">IF(
MOD(ROW()-2,6)=0,
INDEX('Form Responses'!I:I,INT((ROW()-2)/6)+2),
"-- NA --"
)</f>
        <v>-- NA --</v>
      </c>
      <c r="I40" s="32" t="str">
        <f t="array" ref="I40">IF(
MOD(ROW()-2,6)=0,
INDEX('Form Responses'!J:J,INT((ROW()-2)/6)+2),
"-- NA --"
)</f>
        <v>-- NA --</v>
      </c>
      <c r="J40" s="3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26">
        <v>40.0</v>
      </c>
      <c r="B41" s="33"/>
      <c r="C41" s="26" t="s">
        <v>425</v>
      </c>
      <c r="D41" s="26" t="str">
        <f t="array" ref="D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23AD118</v>
      </c>
      <c r="E41" s="32" t="str">
        <f t="array" ref="E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SANDHYA A </v>
      </c>
      <c r="F41" s="26" t="str">
        <f t="array" ref="F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41" s="26" t="str">
        <f t="array" ref="G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41" s="26" t="str">
        <f t="array" ref="H41">IF(
MOD(ROW()-2,6)=0,
INDEX('Form Responses'!I:I,INT((ROW()-2)/6)+2),
"-- NA --"
)</f>
        <v>-- NA --</v>
      </c>
      <c r="I41" s="32" t="str">
        <f t="array" ref="I41">IF(
MOD(ROW()-2,6)=0,
INDEX('Form Responses'!J:J,INT((ROW()-2)/6)+2),
"-- NA --"
)</f>
        <v>-- NA --</v>
      </c>
      <c r="J41" s="3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26">
        <v>41.0</v>
      </c>
      <c r="B42" s="33"/>
      <c r="C42" s="26" t="s">
        <v>464</v>
      </c>
      <c r="D42" s="26" t="str">
        <f t="array" ref="D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23CC044</v>
      </c>
      <c r="E42" s="32" t="str">
        <f t="array" ref="E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SAMUVEL GIPSON S</v>
      </c>
      <c r="F42" s="26" t="str">
        <f t="array" ref="F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42" s="26" t="str">
        <f t="array" ref="G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42" s="26" t="str">
        <f t="array" ref="H42">IF(
MOD(ROW()-2,6)=0,
INDEX('Form Responses'!I:I,INT((ROW()-2)/6)+2),
"-- NA --"
)</f>
        <v>-- NA --</v>
      </c>
      <c r="I42" s="32" t="str">
        <f t="array" ref="I42">IF(
MOD(ROW()-2,6)=0,
INDEX('Form Responses'!J:J,INT((ROW()-2)/6)+2),
"-- NA --"
)</f>
        <v>-- NA --</v>
      </c>
      <c r="J42" s="3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26">
        <v>42.0</v>
      </c>
      <c r="B43" s="6"/>
      <c r="C43" s="26" t="s">
        <v>500</v>
      </c>
      <c r="D43" s="26" t="str">
        <f t="array" ref="D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23AD128</v>
      </c>
      <c r="E43" s="32" t="str">
        <f t="array" ref="E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SELVAMOUNIKA K</v>
      </c>
      <c r="F43" s="26" t="str">
        <f t="array" ref="F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43" s="26" t="str">
        <f t="array" ref="G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3" s="26" t="str">
        <f t="array" ref="H43">IF(
MOD(ROW()-2,6)=0,
INDEX('Form Responses'!I:I,INT((ROW()-2)/6)+2),
"-- NA --"
)</f>
        <v>-- NA --</v>
      </c>
      <c r="I43" s="32" t="str">
        <f t="array" ref="I43">IF(
MOD(ROW()-2,6)=0,
INDEX('Form Responses'!J:J,INT((ROW()-2)/6)+2),
"-- NA --"
)</f>
        <v>-- NA --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26">
        <v>43.0</v>
      </c>
      <c r="B44" s="29" t="str">
        <f t="array" ref="B44">INDEX('Form Responses'!$C:$C,INT((ROW()-2)/6)+2)</f>
        <v>IDEAFORGE</v>
      </c>
      <c r="C44" s="31" t="s">
        <v>140</v>
      </c>
      <c r="D44" s="26" t="str">
        <f t="array" ref="D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25CS007</v>
      </c>
      <c r="E44" s="32" t="str">
        <f t="array" ref="E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 SRINIVASAN</v>
      </c>
      <c r="F44" s="26" t="str">
        <f t="array" ref="F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" s="26" t="str">
        <f t="array" ref="G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4" s="26">
        <f t="array" ref="H44">IF(
MOD(ROW()-2,6)=0,
INDEX('Form Responses'!I:I,INT((ROW()-2)/6)+2),
"-- NA --"
)</f>
        <v>7873737353</v>
      </c>
      <c r="I44" s="32" t="str">
        <f t="array" ref="I44">IF(
MOD(ROW()-2,6)=0,
INDEX('Form Responses'!J:J,INT((ROW()-2)/6)+2),
"-- NA --"
)</f>
        <v>akshaysrinivasan.2025cse@sece.ac.in</v>
      </c>
      <c r="J44" s="29" t="str">
        <f t="array" ref="J44">INDEX('Form Responses'!$D:$D,INT((ROW()-2)/6)+2)</f>
        <v>Software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26">
        <v>44.0</v>
      </c>
      <c r="B45" s="33"/>
      <c r="C45" s="26" t="s">
        <v>282</v>
      </c>
      <c r="D45" s="26" t="str">
        <f t="array" ref="D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25CS050</v>
      </c>
      <c r="E45" s="32" t="str">
        <f t="array" ref="E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ELIYAS J</v>
      </c>
      <c r="F45" s="26" t="str">
        <f t="array" ref="F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" s="26" t="str">
        <f t="array" ref="G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5" s="26" t="str">
        <f t="array" ref="H45">IF(
MOD(ROW()-2,6)=0,
INDEX('Form Responses'!I:I,INT((ROW()-2)/6)+2),
"-- NA --"
)</f>
        <v>-- NA --</v>
      </c>
      <c r="I45" s="32" t="str">
        <f t="array" ref="I45">IF(
MOD(ROW()-2,6)=0,
INDEX('Form Responses'!J:J,INT((ROW()-2)/6)+2),
"-- NA --"
)</f>
        <v>-- NA --</v>
      </c>
      <c r="J45" s="3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26">
        <v>45.0</v>
      </c>
      <c r="B46" s="33"/>
      <c r="C46" s="26" t="s">
        <v>385</v>
      </c>
      <c r="D46" s="26" t="str">
        <f t="array" ref="D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25CS064</v>
      </c>
      <c r="E46" s="32" t="str">
        <f t="array" ref="E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HARIHARAN S D</v>
      </c>
      <c r="F46" s="26" t="str">
        <f t="array" ref="F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" s="26" t="str">
        <f t="array" ref="G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" s="26" t="str">
        <f t="array" ref="H46">IF(
MOD(ROW()-2,6)=0,
INDEX('Form Responses'!I:I,INT((ROW()-2)/6)+2),
"-- NA --"
)</f>
        <v>-- NA --</v>
      </c>
      <c r="I46" s="32" t="str">
        <f t="array" ref="I46">IF(
MOD(ROW()-2,6)=0,
INDEX('Form Responses'!J:J,INT((ROW()-2)/6)+2),
"-- NA --"
)</f>
        <v>-- NA --</v>
      </c>
      <c r="J46" s="3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26">
        <v>46.0</v>
      </c>
      <c r="B47" s="33"/>
      <c r="C47" s="26" t="s">
        <v>425</v>
      </c>
      <c r="D47" s="26" t="str">
        <f t="array" ref="D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25CS065</v>
      </c>
      <c r="E47" s="32" t="str">
        <f t="array" ref="E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HARIKISHAN J</v>
      </c>
      <c r="F47" s="26" t="str">
        <f t="array" ref="F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" s="26" t="str">
        <f t="array" ref="G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7" s="26" t="str">
        <f t="array" ref="H47">IF(
MOD(ROW()-2,6)=0,
INDEX('Form Responses'!I:I,INT((ROW()-2)/6)+2),
"-- NA --"
)</f>
        <v>-- NA --</v>
      </c>
      <c r="I47" s="32" t="str">
        <f t="array" ref="I47">IF(
MOD(ROW()-2,6)=0,
INDEX('Form Responses'!J:J,INT((ROW()-2)/6)+2),
"-- NA --"
)</f>
        <v>-- NA --</v>
      </c>
      <c r="J47" s="3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26">
        <v>47.0</v>
      </c>
      <c r="B48" s="33"/>
      <c r="C48" s="26" t="s">
        <v>464</v>
      </c>
      <c r="D48" s="26" t="str">
        <f t="array" ref="D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25CS014</v>
      </c>
      <c r="E48" s="32" t="str">
        <f t="array" ref="E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ASHEENA A</v>
      </c>
      <c r="F48" s="26" t="str">
        <f t="array" ref="F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" s="26" t="str">
        <f t="array" ref="G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8" s="26" t="str">
        <f t="array" ref="H48">IF(
MOD(ROW()-2,6)=0,
INDEX('Form Responses'!I:I,INT((ROW()-2)/6)+2),
"-- NA --"
)</f>
        <v>-- NA --</v>
      </c>
      <c r="I48" s="32" t="str">
        <f t="array" ref="I48">IF(
MOD(ROW()-2,6)=0,
INDEX('Form Responses'!J:J,INT((ROW()-2)/6)+2),
"-- NA --"
)</f>
        <v>-- NA --</v>
      </c>
      <c r="J48" s="3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26">
        <v>48.0</v>
      </c>
      <c r="B49" s="6"/>
      <c r="C49" s="26" t="s">
        <v>500</v>
      </c>
      <c r="D49" s="26" t="str">
        <f t="array" ref="D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25CS013</v>
      </c>
      <c r="E49" s="32" t="str">
        <f t="array" ref="E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ARUN R</v>
      </c>
      <c r="F49" s="26" t="str">
        <f t="array" ref="F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" s="26" t="str">
        <f t="array" ref="G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9" s="26" t="str">
        <f t="array" ref="H49">IF(
MOD(ROW()-2,6)=0,
INDEX('Form Responses'!I:I,INT((ROW()-2)/6)+2),
"-- NA --"
)</f>
        <v>-- NA --</v>
      </c>
      <c r="I49" s="32" t="str">
        <f t="array" ref="I49">IF(
MOD(ROW()-2,6)=0,
INDEX('Form Responses'!J:J,INT((ROW()-2)/6)+2),
"-- NA --"
)</f>
        <v>-- NA --</v>
      </c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26">
        <v>49.0</v>
      </c>
      <c r="B50" s="29" t="str">
        <f t="array" ref="B50">INDEX('Form Responses'!$C:$C,INT((ROW()-2)/6)+2)</f>
        <v>TEAM AURA</v>
      </c>
      <c r="C50" s="31" t="s">
        <v>140</v>
      </c>
      <c r="D50" s="26" t="str">
        <f t="array" ref="D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25CB054</v>
      </c>
      <c r="E50" s="32" t="str">
        <f t="array" ref="E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DHARSAN S</v>
      </c>
      <c r="F50" s="26" t="str">
        <f t="array" ref="F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0" s="26" t="str">
        <f t="array" ref="G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0" s="26">
        <f t="array" ref="H50">IF(
MOD(ROW()-2,6)=0,
INDEX('Form Responses'!I:I,INT((ROW()-2)/6)+2),
"-- NA --"
)</f>
        <v>6369201441</v>
      </c>
      <c r="I50" s="32" t="str">
        <f t="array" ref="I50">IF(
MOD(ROW()-2,6)=0,
INDEX('Form Responses'!J:J,INT((ROW()-2)/6)+2),
"-- NA --"
)</f>
        <v>sridharsan.s2025csbs@sece.ac.in</v>
      </c>
      <c r="J50" s="29" t="str">
        <f t="array" ref="J50">INDEX('Form Responses'!$D:$D,INT((ROW()-2)/6)+2)</f>
        <v>Software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26">
        <v>50.0</v>
      </c>
      <c r="B51" s="33"/>
      <c r="C51" s="26" t="s">
        <v>282</v>
      </c>
      <c r="D51" s="26" t="str">
        <f t="array" ref="D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25CB001</v>
      </c>
      <c r="E51" s="32" t="str">
        <f t="array" ref="E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AKSHAYA VA</v>
      </c>
      <c r="F51" s="26" t="str">
        <f t="array" ref="F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" s="26" t="str">
        <f t="array" ref="G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1" s="26" t="str">
        <f t="array" ref="H51">IF(
MOD(ROW()-2,6)=0,
INDEX('Form Responses'!I:I,INT((ROW()-2)/6)+2),
"-- NA --"
)</f>
        <v>-- NA --</v>
      </c>
      <c r="I51" s="32" t="str">
        <f t="array" ref="I51">IF(
MOD(ROW()-2,6)=0,
INDEX('Form Responses'!J:J,INT((ROW()-2)/6)+2),
"-- NA --"
)</f>
        <v>-- NA --</v>
      </c>
      <c r="J51" s="3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26">
        <v>51.0</v>
      </c>
      <c r="B52" s="33"/>
      <c r="C52" s="26" t="s">
        <v>385</v>
      </c>
      <c r="D52" s="26" t="str">
        <f t="array" ref="D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25CB035</v>
      </c>
      <c r="E52" s="32" t="str">
        <f t="array" ref="E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PRANAV M</v>
      </c>
      <c r="F52" s="26" t="str">
        <f t="array" ref="F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" s="26" t="str">
        <f t="array" ref="G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2" s="26" t="str">
        <f t="array" ref="H52">IF(
MOD(ROW()-2,6)=0,
INDEX('Form Responses'!I:I,INT((ROW()-2)/6)+2),
"-- NA --"
)</f>
        <v>-- NA --</v>
      </c>
      <c r="I52" s="32" t="str">
        <f t="array" ref="I52">IF(
MOD(ROW()-2,6)=0,
INDEX('Form Responses'!J:J,INT((ROW()-2)/6)+2),
"-- NA --"
)</f>
        <v>-- NA --</v>
      </c>
      <c r="J52" s="3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26">
        <v>52.0</v>
      </c>
      <c r="B53" s="33"/>
      <c r="C53" s="26" t="s">
        <v>425</v>
      </c>
      <c r="D53" s="26" t="str">
        <f t="array" ref="D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25CB021</v>
      </c>
      <c r="E53" s="32" t="str">
        <f t="array" ref="E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JOSHITHAA SK</v>
      </c>
      <c r="F53" s="26" t="str">
        <f t="array" ref="F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" s="26" t="str">
        <f t="array" ref="G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3" s="26" t="str">
        <f t="array" ref="H53">IF(
MOD(ROW()-2,6)=0,
INDEX('Form Responses'!I:I,INT((ROW()-2)/6)+2),
"-- NA --"
)</f>
        <v>-- NA --</v>
      </c>
      <c r="I53" s="32" t="str">
        <f t="array" ref="I53">IF(
MOD(ROW()-2,6)=0,
INDEX('Form Responses'!J:J,INT((ROW()-2)/6)+2),
"-- NA --"
)</f>
        <v>-- NA --</v>
      </c>
      <c r="J53" s="3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26">
        <v>53.0</v>
      </c>
      <c r="B54" s="33"/>
      <c r="C54" s="26" t="s">
        <v>464</v>
      </c>
      <c r="D54" s="26" t="str">
        <f t="array" ref="D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25EC084</v>
      </c>
      <c r="E54" s="32" t="str">
        <f t="array" ref="E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LAKSHNA S</v>
      </c>
      <c r="F54" s="26" t="str">
        <f t="array" ref="F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" s="26" t="str">
        <f t="array" ref="G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4" s="26" t="str">
        <f t="array" ref="H54">IF(
MOD(ROW()-2,6)=0,
INDEX('Form Responses'!I:I,INT((ROW()-2)/6)+2),
"-- NA --"
)</f>
        <v>-- NA --</v>
      </c>
      <c r="I54" s="32" t="str">
        <f t="array" ref="I54">IF(
MOD(ROW()-2,6)=0,
INDEX('Form Responses'!J:J,INT((ROW()-2)/6)+2),
"-- NA --"
)</f>
        <v>-- NA --</v>
      </c>
      <c r="J54" s="3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26">
        <v>54.0</v>
      </c>
      <c r="B55" s="6"/>
      <c r="C55" s="26" t="s">
        <v>500</v>
      </c>
      <c r="D55" s="26" t="str">
        <f t="array" ref="D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</v>
      </c>
      <c r="E55" s="32" t="str">
        <f t="array" ref="E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MONIKKA SRI BG</v>
      </c>
      <c r="F55" s="26" t="str">
        <f t="array" ref="F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" s="26" t="str">
        <f t="array" ref="G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5" s="26" t="str">
        <f t="array" ref="H55">IF(
MOD(ROW()-2,6)=0,
INDEX('Form Responses'!I:I,INT((ROW()-2)/6)+2),
"-- NA --"
)</f>
        <v>-- NA --</v>
      </c>
      <c r="I55" s="32" t="str">
        <f t="array" ref="I55">IF(
MOD(ROW()-2,6)=0,
INDEX('Form Responses'!J:J,INT((ROW()-2)/6)+2),
"-- NA --"
)</f>
        <v>-- NA --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26">
        <v>55.0</v>
      </c>
      <c r="B56" s="29" t="str">
        <f t="array" ref="B56">INDEX('Form Responses'!$C:$C,INT((ROW()-2)/6)+2)</f>
        <v>Spark squad</v>
      </c>
      <c r="C56" s="31" t="s">
        <v>140</v>
      </c>
      <c r="D56" s="26" t="str">
        <f t="array" ref="D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25CS186</v>
      </c>
      <c r="E56" s="32" t="str">
        <f t="array" ref="E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 Rithika</v>
      </c>
      <c r="F56" s="26" t="str">
        <f t="array" ref="F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" s="26" t="str">
        <f t="array" ref="G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6" s="26" t="str">
        <f t="array" ref="H56">IF(
MOD(ROW()-2,6)=0,
INDEX('Form Responses'!I:I,INT((ROW()-2)/6)+2),
"-- NA --"
)</f>
        <v>+91 76048 58266</v>
      </c>
      <c r="I56" s="32" t="str">
        <f t="array" ref="I56">IF(
MOD(ROW()-2,6)=0,
INDEX('Form Responses'!J:J,INT((ROW()-2)/6)+2),
"-- NA --"
)</f>
        <v>rithika.v2025cse@sece.ac.in</v>
      </c>
      <c r="J56" s="29" t="str">
        <f t="array" ref="J56">INDEX('Form Responses'!$D:$D,INT((ROW()-2)/6)+2)</f>
        <v>Hardware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26">
        <v>56.0</v>
      </c>
      <c r="B57" s="33"/>
      <c r="C57" s="26" t="s">
        <v>282</v>
      </c>
      <c r="D57" s="26" t="str">
        <f t="array" ref="D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25CS187</v>
      </c>
      <c r="E57" s="32" t="str">
        <f t="array" ref="E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 Malya P K</v>
      </c>
      <c r="F57" s="26" t="str">
        <f t="array" ref="F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" s="26" t="str">
        <f t="array" ref="G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7" s="26" t="str">
        <f t="array" ref="H57">IF(
MOD(ROW()-2,6)=0,
INDEX('Form Responses'!I:I,INT((ROW()-2)/6)+2),
"-- NA --"
)</f>
        <v>-- NA --</v>
      </c>
      <c r="I57" s="32" t="str">
        <f t="array" ref="I57">IF(
MOD(ROW()-2,6)=0,
INDEX('Form Responses'!J:J,INT((ROW()-2)/6)+2),
"-- NA --"
)</f>
        <v>-- NA --</v>
      </c>
      <c r="J57" s="3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26">
        <v>57.0</v>
      </c>
      <c r="B58" s="33"/>
      <c r="C58" s="26" t="s">
        <v>385</v>
      </c>
      <c r="D58" s="26" t="str">
        <f t="array" ref="D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25AD116</v>
      </c>
      <c r="E58" s="32" t="str">
        <f t="array" ref="E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Mahanth P</v>
      </c>
      <c r="F58" s="26" t="str">
        <f t="array" ref="F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" s="26" t="str">
        <f t="array" ref="G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8" s="26" t="str">
        <f t="array" ref="H58">IF(
MOD(ROW()-2,6)=0,
INDEX('Form Responses'!I:I,INT((ROW()-2)/6)+2),
"-- NA --"
)</f>
        <v>-- NA --</v>
      </c>
      <c r="I58" s="32" t="str">
        <f t="array" ref="I58">IF(
MOD(ROW()-2,6)=0,
INDEX('Form Responses'!J:J,INT((ROW()-2)/6)+2),
"-- NA --"
)</f>
        <v>-- NA --</v>
      </c>
      <c r="J58" s="3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26">
        <v>58.0</v>
      </c>
      <c r="B59" s="33"/>
      <c r="C59" s="26" t="s">
        <v>425</v>
      </c>
      <c r="D59" s="26" t="str">
        <f t="array" ref="D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25AD109</v>
      </c>
      <c r="E59" s="32" t="str">
        <f t="array" ref="E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Kunal B</v>
      </c>
      <c r="F59" s="26" t="str">
        <f t="array" ref="F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" s="26" t="str">
        <f t="array" ref="G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9" s="26" t="str">
        <f t="array" ref="H59">IF(
MOD(ROW()-2,6)=0,
INDEX('Form Responses'!I:I,INT((ROW()-2)/6)+2),
"-- NA --"
)</f>
        <v>-- NA --</v>
      </c>
      <c r="I59" s="32" t="str">
        <f t="array" ref="I59">IF(
MOD(ROW()-2,6)=0,
INDEX('Form Responses'!J:J,INT((ROW()-2)/6)+2),
"-- NA --"
)</f>
        <v>-- NA --</v>
      </c>
      <c r="J59" s="3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26">
        <v>59.0</v>
      </c>
      <c r="B60" s="33"/>
      <c r="C60" s="26" t="s">
        <v>464</v>
      </c>
      <c r="D60" s="26" t="str">
        <f t="array" ref="D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25AD115</v>
      </c>
      <c r="E60" s="32" t="str">
        <f t="array" ref="E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Mahanithi M.A</v>
      </c>
      <c r="F60" s="26" t="str">
        <f t="array" ref="F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" s="26" t="str">
        <f t="array" ref="G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0" s="26" t="str">
        <f t="array" ref="H60">IF(
MOD(ROW()-2,6)=0,
INDEX('Form Responses'!I:I,INT((ROW()-2)/6)+2),
"-- NA --"
)</f>
        <v>-- NA --</v>
      </c>
      <c r="I60" s="32" t="str">
        <f t="array" ref="I60">IF(
MOD(ROW()-2,6)=0,
INDEX('Form Responses'!J:J,INT((ROW()-2)/6)+2),
"-- NA --"
)</f>
        <v>-- NA --</v>
      </c>
      <c r="J60" s="3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26">
        <v>60.0</v>
      </c>
      <c r="B61" s="6"/>
      <c r="C61" s="26" t="s">
        <v>500</v>
      </c>
      <c r="D61" s="26" t="str">
        <f t="array" ref="D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25AM011</v>
      </c>
      <c r="E61" s="32" t="str">
        <f t="array" ref="E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Bavishyaa</v>
      </c>
      <c r="F61" s="26" t="str">
        <f t="array" ref="F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" s="26" t="str">
        <f t="array" ref="G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1" s="26" t="str">
        <f t="array" ref="H61">IF(
MOD(ROW()-2,6)=0,
INDEX('Form Responses'!I:I,INT((ROW()-2)/6)+2),
"-- NA --"
)</f>
        <v>-- NA --</v>
      </c>
      <c r="I61" s="32" t="str">
        <f t="array" ref="I61">IF(
MOD(ROW()-2,6)=0,
INDEX('Form Responses'!J:J,INT((ROW()-2)/6)+2),
"-- NA --"
)</f>
        <v>-- NA --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26">
        <v>61.0</v>
      </c>
      <c r="B62" s="29" t="str">
        <f t="array" ref="B62">INDEX('Form Responses'!$C:$C,INT((ROW()-2)/6)+2)</f>
        <v>Tech Vortex</v>
      </c>
      <c r="C62" s="31" t="s">
        <v>140</v>
      </c>
      <c r="D62" s="26" t="str">
        <f t="array" ref="D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25CS174</v>
      </c>
      <c r="E62" s="32" t="str">
        <f t="array" ref="E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PRAVEEN.G</v>
      </c>
      <c r="F62" s="26" t="str">
        <f t="array" ref="F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" s="26" t="str">
        <f t="array" ref="G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2" s="26">
        <f t="array" ref="H62">IF(
MOD(ROW()-2,6)=0,
INDEX('Form Responses'!I:I,INT((ROW()-2)/6)+2),
"-- NA --"
)</f>
        <v>8680008969</v>
      </c>
      <c r="I62" s="32" t="str">
        <f t="array" ref="I62">IF(
MOD(ROW()-2,6)=0,
INDEX('Form Responses'!J:J,INT((ROW()-2)/6)+2),
"-- NA --"
)</f>
        <v>praveen.g2025cse@sece.ac.in</v>
      </c>
      <c r="J62" s="29" t="str">
        <f t="array" ref="J62">INDEX('Form Responses'!$D:$D,INT((ROW()-2)/6)+2)</f>
        <v>Software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26">
        <v>62.0</v>
      </c>
      <c r="B63" s="33"/>
      <c r="C63" s="26" t="s">
        <v>282</v>
      </c>
      <c r="D63" s="26" t="str">
        <f t="array" ref="D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25CS164</v>
      </c>
      <c r="E63" s="32" t="str">
        <f t="array" ref="E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PARTHIV SRIRAM B</v>
      </c>
      <c r="F63" s="26" t="str">
        <f t="array" ref="F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" s="26" t="str">
        <f t="array" ref="G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" s="26" t="str">
        <f t="array" ref="H63">IF(
MOD(ROW()-2,6)=0,
INDEX('Form Responses'!I:I,INT((ROW()-2)/6)+2),
"-- NA --"
)</f>
        <v>-- NA --</v>
      </c>
      <c r="I63" s="32" t="str">
        <f t="array" ref="I63">IF(
MOD(ROW()-2,6)=0,
INDEX('Form Responses'!J:J,INT((ROW()-2)/6)+2),
"-- NA --"
)</f>
        <v>-- NA --</v>
      </c>
      <c r="J63" s="3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26">
        <v>63.0</v>
      </c>
      <c r="B64" s="33"/>
      <c r="C64" s="26" t="s">
        <v>385</v>
      </c>
      <c r="D64" s="26" t="str">
        <f t="array" ref="D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25CS179</v>
      </c>
      <c r="E64" s="32" t="str">
        <f t="array" ref="E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RAGAV CS</v>
      </c>
      <c r="F64" s="26" t="str">
        <f t="array" ref="F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4" s="26" t="str">
        <f t="array" ref="G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4" s="26" t="str">
        <f t="array" ref="H64">IF(
MOD(ROW()-2,6)=0,
INDEX('Form Responses'!I:I,INT((ROW()-2)/6)+2),
"-- NA --"
)</f>
        <v>-- NA --</v>
      </c>
      <c r="I64" s="32" t="str">
        <f t="array" ref="I64">IF(
MOD(ROW()-2,6)=0,
INDEX('Form Responses'!J:J,INT((ROW()-2)/6)+2),
"-- NA --"
)</f>
        <v>-- NA --</v>
      </c>
      <c r="J64" s="3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26">
        <v>64.0</v>
      </c>
      <c r="B65" s="33"/>
      <c r="C65" s="26" t="s">
        <v>425</v>
      </c>
      <c r="D65" s="26" t="str">
        <f t="array" ref="D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25CS185</v>
      </c>
      <c r="E65" s="32" t="str">
        <f t="array" ref="E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RITHIKA P</v>
      </c>
      <c r="F65" s="26" t="str">
        <f t="array" ref="F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" s="26" t="str">
        <f t="array" ref="G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5" s="26" t="str">
        <f t="array" ref="H65">IF(
MOD(ROW()-2,6)=0,
INDEX('Form Responses'!I:I,INT((ROW()-2)/6)+2),
"-- NA --"
)</f>
        <v>-- NA --</v>
      </c>
      <c r="I65" s="32" t="str">
        <f t="array" ref="I65">IF(
MOD(ROW()-2,6)=0,
INDEX('Form Responses'!J:J,INT((ROW()-2)/6)+2),
"-- NA --"
)</f>
        <v>-- NA --</v>
      </c>
      <c r="J65" s="3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26">
        <v>65.0</v>
      </c>
      <c r="B66" s="33"/>
      <c r="C66" s="26" t="s">
        <v>464</v>
      </c>
      <c r="D66" s="26" t="str">
        <f t="array" ref="D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25CS165</v>
      </c>
      <c r="E66" s="32" t="str">
        <f t="array" ref="E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V</v>
      </c>
      <c r="F66" s="26" t="str">
        <f t="array" ref="F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6" s="26" t="str">
        <f t="array" ref="G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" s="26" t="str">
        <f t="array" ref="H66">IF(
MOD(ROW()-2,6)=0,
INDEX('Form Responses'!I:I,INT((ROW()-2)/6)+2),
"-- NA --"
)</f>
        <v>-- NA --</v>
      </c>
      <c r="I66" s="32" t="str">
        <f t="array" ref="I66">IF(
MOD(ROW()-2,6)=0,
INDEX('Form Responses'!J:J,INT((ROW()-2)/6)+2),
"-- NA --"
)</f>
        <v>-- NA --</v>
      </c>
      <c r="J66" s="3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26">
        <v>66.0</v>
      </c>
      <c r="B67" s="6"/>
      <c r="C67" s="26" t="s">
        <v>500</v>
      </c>
      <c r="D67" s="26" t="str">
        <f t="array" ref="D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25EC056</v>
      </c>
      <c r="E67" s="32" t="str">
        <f t="array" ref="E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HARSHAN GK</v>
      </c>
      <c r="F67" s="26" t="str">
        <f t="array" ref="F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7" s="26" t="str">
        <f t="array" ref="G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7" s="26" t="str">
        <f t="array" ref="H67">IF(
MOD(ROW()-2,6)=0,
INDEX('Form Responses'!I:I,INT((ROW()-2)/6)+2),
"-- NA --"
)</f>
        <v>-- NA --</v>
      </c>
      <c r="I67" s="32" t="str">
        <f t="array" ref="I67">IF(
MOD(ROW()-2,6)=0,
INDEX('Form Responses'!J:J,INT((ROW()-2)/6)+2),
"-- NA --"
)</f>
        <v>-- NA --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26">
        <v>67.0</v>
      </c>
      <c r="B68" s="29" t="str">
        <f t="array" ref="B68">INDEX('Form Responses'!$C:$C,INT((ROW()-2)/6)+2)</f>
        <v>HEXA ELITE</v>
      </c>
      <c r="C68" s="31" t="s">
        <v>140</v>
      </c>
      <c r="D68" s="26" t="str">
        <f t="array" ref="D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25AD034</v>
      </c>
      <c r="E68" s="32" t="str">
        <f t="array" ref="E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 AKASH K L</v>
      </c>
      <c r="F68" s="26" t="str">
        <f t="array" ref="F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" s="26" t="str">
        <f t="array" ref="G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8" s="26">
        <f t="array" ref="H68">IF(
MOD(ROW()-2,6)=0,
INDEX('Form Responses'!I:I,INT((ROW()-2)/6)+2),
"-- NA --"
)</f>
        <v>9025116542</v>
      </c>
      <c r="I68" s="32" t="str">
        <f t="array" ref="I68">IF(
MOD(ROW()-2,6)=0,
INDEX('Form Responses'!J:J,INT((ROW()-2)/6)+2),
"-- NA --"
)</f>
        <v>devakash.kl2025aids@sece.ac.in</v>
      </c>
      <c r="J68" s="29" t="str">
        <f t="array" ref="J68">INDEX('Form Responses'!$D:$D,INT((ROW()-2)/6)+2)</f>
        <v>Software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26">
        <v>68.0</v>
      </c>
      <c r="B69" s="33"/>
      <c r="C69" s="26" t="s">
        <v>282</v>
      </c>
      <c r="D69" s="26" t="str">
        <f t="array" ref="D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25AD021</v>
      </c>
      <c r="E69" s="32" t="str">
        <f t="array" ref="E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AZEEM M S</v>
      </c>
      <c r="F69" s="26" t="str">
        <f t="array" ref="F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9" s="26" t="str">
        <f t="array" ref="G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9" s="26" t="str">
        <f t="array" ref="H69">IF(
MOD(ROW()-2,6)=0,
INDEX('Form Responses'!I:I,INT((ROW()-2)/6)+2),
"-- NA --"
)</f>
        <v>-- NA --</v>
      </c>
      <c r="I69" s="32" t="str">
        <f t="array" ref="I69">IF(
MOD(ROW()-2,6)=0,
INDEX('Form Responses'!J:J,INT((ROW()-2)/6)+2),
"-- NA --"
)</f>
        <v>-- NA --</v>
      </c>
      <c r="J69" s="3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26">
        <v>69.0</v>
      </c>
      <c r="B70" s="33"/>
      <c r="C70" s="26" t="s">
        <v>385</v>
      </c>
      <c r="D70" s="26" t="str">
        <f t="array" ref="D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25AD024</v>
      </c>
      <c r="E70" s="32" t="str">
        <f t="array" ref="E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BHARATH KUMAR S</v>
      </c>
      <c r="F70" s="26" t="str">
        <f t="array" ref="F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" s="26" t="str">
        <f t="array" ref="G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0" s="26" t="str">
        <f t="array" ref="H70">IF(
MOD(ROW()-2,6)=0,
INDEX('Form Responses'!I:I,INT((ROW()-2)/6)+2),
"-- NA --"
)</f>
        <v>-- NA --</v>
      </c>
      <c r="I70" s="32" t="str">
        <f t="array" ref="I70">IF(
MOD(ROW()-2,6)=0,
INDEX('Form Responses'!J:J,INT((ROW()-2)/6)+2),
"-- NA --"
)</f>
        <v>-- NA --</v>
      </c>
      <c r="J70" s="3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26">
        <v>70.0</v>
      </c>
      <c r="B71" s="33"/>
      <c r="C71" s="26" t="s">
        <v>425</v>
      </c>
      <c r="D71" s="26" t="str">
        <f t="array" ref="D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25EC008</v>
      </c>
      <c r="E71" s="32" t="str">
        <f t="array" ref="E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ADLIEN G A</v>
      </c>
      <c r="F71" s="26" t="str">
        <f t="array" ref="F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" s="26" t="str">
        <f t="array" ref="G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1" s="26" t="str">
        <f t="array" ref="H71">IF(
MOD(ROW()-2,6)=0,
INDEX('Form Responses'!I:I,INT((ROW()-2)/6)+2),
"-- NA --"
)</f>
        <v>-- NA --</v>
      </c>
      <c r="I71" s="32" t="str">
        <f t="array" ref="I71">IF(
MOD(ROW()-2,6)=0,
INDEX('Form Responses'!J:J,INT((ROW()-2)/6)+2),
"-- NA --"
)</f>
        <v>-- NA --</v>
      </c>
      <c r="J71" s="3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26">
        <v>71.0</v>
      </c>
      <c r="B72" s="33"/>
      <c r="C72" s="26" t="s">
        <v>464</v>
      </c>
      <c r="D72" s="26" t="str">
        <f t="array" ref="D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25EC057</v>
      </c>
      <c r="E72" s="32" t="str">
        <f t="array" ref="E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N</v>
      </c>
      <c r="F72" s="26" t="str">
        <f t="array" ref="F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2" s="26" t="str">
        <f t="array" ref="G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2" s="26" t="str">
        <f t="array" ref="H72">IF(
MOD(ROW()-2,6)=0,
INDEX('Form Responses'!I:I,INT((ROW()-2)/6)+2),
"-- NA --"
)</f>
        <v>-- NA --</v>
      </c>
      <c r="I72" s="32" t="str">
        <f t="array" ref="I72">IF(
MOD(ROW()-2,6)=0,
INDEX('Form Responses'!J:J,INT((ROW()-2)/6)+2),
"-- NA --"
)</f>
        <v>-- NA --</v>
      </c>
      <c r="J72" s="3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26">
        <v>72.0</v>
      </c>
      <c r="B73" s="6"/>
      <c r="C73" s="26" t="s">
        <v>500</v>
      </c>
      <c r="D73" s="26" t="str">
        <f t="array" ref="D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25CC004</v>
      </c>
      <c r="E73" s="32" t="str">
        <f t="array" ref="E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DEVADHARUN R</v>
      </c>
      <c r="F73" s="26" t="str">
        <f t="array" ref="F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" s="26" t="str">
        <f t="array" ref="G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73" s="26" t="str">
        <f t="array" ref="H73">IF(
MOD(ROW()-2,6)=0,
INDEX('Form Responses'!I:I,INT((ROW()-2)/6)+2),
"-- NA --"
)</f>
        <v>-- NA --</v>
      </c>
      <c r="I73" s="32" t="str">
        <f t="array" ref="I73">IF(
MOD(ROW()-2,6)=0,
INDEX('Form Responses'!J:J,INT((ROW()-2)/6)+2),
"-- NA --"
)</f>
        <v>-- NA --</v>
      </c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26">
        <v>73.0</v>
      </c>
      <c r="B74" s="29" t="str">
        <f t="array" ref="B74">INDEX('Form Responses'!$C:$C,INT((ROW()-2)/6)+2)</f>
        <v>Tech X</v>
      </c>
      <c r="C74" s="31" t="s">
        <v>140</v>
      </c>
      <c r="D74" s="26" t="str">
        <f t="array" ref="D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25EE007</v>
      </c>
      <c r="E74" s="32" t="str">
        <f t="array" ref="E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DHANYASHREE SJ</v>
      </c>
      <c r="F74" s="26" t="str">
        <f t="array" ref="F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4" s="26" t="str">
        <f t="array" ref="G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4" s="26" t="str">
        <f t="array" ref="H74">IF(
MOD(ROW()-2,6)=0,
INDEX('Form Responses'!I:I,INT((ROW()-2)/6)+2),
"-- NA --"
)</f>
        <v>82203 37742</v>
      </c>
      <c r="I74" s="32" t="str">
        <f t="array" ref="I74">IF(
MOD(ROW()-2,6)=0,
INDEX('Form Responses'!J:J,INT((ROW()-2)/6)+2),
"-- NA --"
)</f>
        <v>dhanyashree.sj2025eee@sece.ac.in</v>
      </c>
      <c r="J74" s="29" t="str">
        <f t="array" ref="J74">INDEX('Form Responses'!$D:$D,INT((ROW()-2)/6)+2)</f>
        <v>Hardware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26">
        <v>74.0</v>
      </c>
      <c r="B75" s="33"/>
      <c r="C75" s="26" t="s">
        <v>282</v>
      </c>
      <c r="D75" s="26" t="str">
        <f t="array" ref="D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25EE041</v>
      </c>
      <c r="E75" s="32" t="str">
        <f t="array" ref="E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RAGU R</v>
      </c>
      <c r="F75" s="26" t="str">
        <f t="array" ref="F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" s="26" t="str">
        <f t="array" ref="G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5" s="26" t="str">
        <f t="array" ref="H75">IF(
MOD(ROW()-2,6)=0,
INDEX('Form Responses'!I:I,INT((ROW()-2)/6)+2),
"-- NA --"
)</f>
        <v>-- NA --</v>
      </c>
      <c r="I75" s="32" t="str">
        <f t="array" ref="I75">IF(
MOD(ROW()-2,6)=0,
INDEX('Form Responses'!J:J,INT((ROW()-2)/6)+2),
"-- NA --"
)</f>
        <v>-- NA --</v>
      </c>
      <c r="J75" s="3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26">
        <v>75.0</v>
      </c>
      <c r="B76" s="33"/>
      <c r="C76" s="26" t="s">
        <v>385</v>
      </c>
      <c r="D76" s="26" t="str">
        <f t="array" ref="D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25EE042</v>
      </c>
      <c r="E76" s="32" t="str">
        <f t="array" ref="E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RITHUN K</v>
      </c>
      <c r="F76" s="26" t="str">
        <f t="array" ref="F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" s="26" t="str">
        <f t="array" ref="G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6" s="26" t="str">
        <f t="array" ref="H76">IF(
MOD(ROW()-2,6)=0,
INDEX('Form Responses'!I:I,INT((ROW()-2)/6)+2),
"-- NA --"
)</f>
        <v>-- NA --</v>
      </c>
      <c r="I76" s="32" t="str">
        <f t="array" ref="I76">IF(
MOD(ROW()-2,6)=0,
INDEX('Form Responses'!J:J,INT((ROW()-2)/6)+2),
"-- NA --"
)</f>
        <v>-- NA --</v>
      </c>
      <c r="J76" s="3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26">
        <v>76.0</v>
      </c>
      <c r="B77" s="33"/>
      <c r="C77" s="26" t="s">
        <v>425</v>
      </c>
      <c r="D77" s="26" t="str">
        <f t="array" ref="D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25CS046</v>
      </c>
      <c r="E77" s="32" t="str">
        <f t="array" ref="E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 DHARSHINI A</v>
      </c>
      <c r="F77" s="26" t="str">
        <f t="array" ref="F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" s="26" t="str">
        <f t="array" ref="G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7" s="26" t="str">
        <f t="array" ref="H77">IF(
MOD(ROW()-2,6)=0,
INDEX('Form Responses'!I:I,INT((ROW()-2)/6)+2),
"-- NA --"
)</f>
        <v>-- NA --</v>
      </c>
      <c r="I77" s="32" t="str">
        <f t="array" ref="I77">IF(
MOD(ROW()-2,6)=0,
INDEX('Form Responses'!J:J,INT((ROW()-2)/6)+2),
"-- NA --"
)</f>
        <v>-- NA --</v>
      </c>
      <c r="J77" s="3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26">
        <v>77.0</v>
      </c>
      <c r="B78" s="33"/>
      <c r="C78" s="26" t="s">
        <v>464</v>
      </c>
      <c r="D78" s="26" t="str">
        <f t="array" ref="D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25CS022</v>
      </c>
      <c r="E78" s="32" t="str">
        <f t="array" ref="E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BHAVADHARANI R</v>
      </c>
      <c r="F78" s="26" t="str">
        <f t="array" ref="F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" s="26" t="str">
        <f t="array" ref="G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8" s="26" t="str">
        <f t="array" ref="H78">IF(
MOD(ROW()-2,6)=0,
INDEX('Form Responses'!I:I,INT((ROW()-2)/6)+2),
"-- NA --"
)</f>
        <v>-- NA --</v>
      </c>
      <c r="I78" s="32" t="str">
        <f t="array" ref="I78">IF(
MOD(ROW()-2,6)=0,
INDEX('Form Responses'!J:J,INT((ROW()-2)/6)+2),
"-- NA --"
)</f>
        <v>-- NA --</v>
      </c>
      <c r="J78" s="3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26">
        <v>78.0</v>
      </c>
      <c r="B79" s="6"/>
      <c r="C79" s="26" t="s">
        <v>500</v>
      </c>
      <c r="D79" s="26" t="str">
        <f t="array" ref="D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25AD220</v>
      </c>
      <c r="E79" s="32" t="str">
        <f t="array" ref="E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TARUN T</v>
      </c>
      <c r="F79" s="26" t="str">
        <f t="array" ref="F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" s="26" t="str">
        <f t="array" ref="G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9" s="26" t="str">
        <f t="array" ref="H79">IF(
MOD(ROW()-2,6)=0,
INDEX('Form Responses'!I:I,INT((ROW()-2)/6)+2),
"-- NA --"
)</f>
        <v>-- NA --</v>
      </c>
      <c r="I79" s="32" t="str">
        <f t="array" ref="I79">IF(
MOD(ROW()-2,6)=0,
INDEX('Form Responses'!J:J,INT((ROW()-2)/6)+2),
"-- NA --"
)</f>
        <v>-- NA --</v>
      </c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26">
        <v>79.0</v>
      </c>
      <c r="B80" s="29" t="str">
        <f t="array" ref="B80">INDEX('Form Responses'!$C:$C,INT((ROW()-2)/6)+2)</f>
        <v>VISION VORTEX </v>
      </c>
      <c r="C80" s="31" t="s">
        <v>140</v>
      </c>
      <c r="D80" s="26" t="str">
        <f t="array" ref="D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25EC117</v>
      </c>
      <c r="E80" s="32" t="str">
        <f t="array" ref="E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NIKETHA M </v>
      </c>
      <c r="F80" s="26" t="str">
        <f t="array" ref="F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0" s="26" t="str">
        <f t="array" ref="G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0" s="26">
        <f t="array" ref="H80">IF(
MOD(ROW()-2,6)=0,
INDEX('Form Responses'!I:I,INT((ROW()-2)/6)+2),
"-- NA --"
)</f>
        <v>8667452377</v>
      </c>
      <c r="I80" s="32" t="str">
        <f t="array" ref="I80">IF(
MOD(ROW()-2,6)=0,
INDEX('Form Responses'!J:J,INT((ROW()-2)/6)+2),
"-- NA --"
)</f>
        <v>niketha.m2025ece@sece.ac.in</v>
      </c>
      <c r="J80" s="29" t="str">
        <f t="array" ref="J80">INDEX('Form Responses'!$D:$D,INT((ROW()-2)/6)+2)</f>
        <v>Hardware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26">
        <v>80.0</v>
      </c>
      <c r="B81" s="33"/>
      <c r="C81" s="26" t="s">
        <v>282</v>
      </c>
      <c r="D81" s="26" t="str">
        <f t="array" ref="D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25EC093</v>
      </c>
      <c r="E81" s="32" t="str">
        <f t="array" ref="E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MANORANJITHAM S</v>
      </c>
      <c r="F81" s="26" t="str">
        <f t="array" ref="F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" s="26" t="str">
        <f t="array" ref="G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1" s="26" t="str">
        <f t="array" ref="H81">IF(
MOD(ROW()-2,6)=0,
INDEX('Form Responses'!I:I,INT((ROW()-2)/6)+2),
"-- NA --"
)</f>
        <v>-- NA --</v>
      </c>
      <c r="I81" s="32" t="str">
        <f t="array" ref="I81">IF(
MOD(ROW()-2,6)=0,
INDEX('Form Responses'!J:J,INT((ROW()-2)/6)+2),
"-- NA --"
)</f>
        <v>-- NA --</v>
      </c>
      <c r="J81" s="3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26">
        <v>81.0</v>
      </c>
      <c r="B82" s="33"/>
      <c r="C82" s="26" t="s">
        <v>385</v>
      </c>
      <c r="D82" s="26" t="str">
        <f t="array" ref="D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25EC071</v>
      </c>
      <c r="E82" s="32" t="str">
        <f t="array" ref="E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 KEERTHANA L</v>
      </c>
      <c r="F82" s="26" t="str">
        <f t="array" ref="F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" s="26" t="str">
        <f t="array" ref="G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2" s="26" t="str">
        <f t="array" ref="H82">IF(
MOD(ROW()-2,6)=0,
INDEX('Form Responses'!I:I,INT((ROW()-2)/6)+2),
"-- NA --"
)</f>
        <v>-- NA --</v>
      </c>
      <c r="I82" s="32" t="str">
        <f t="array" ref="I82">IF(
MOD(ROW()-2,6)=0,
INDEX('Form Responses'!J:J,INT((ROW()-2)/6)+2),
"-- NA --"
)</f>
        <v>-- NA --</v>
      </c>
      <c r="J82" s="3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26">
        <v>82.0</v>
      </c>
      <c r="B83" s="33"/>
      <c r="C83" s="26" t="s">
        <v>425</v>
      </c>
      <c r="D83" s="26" t="str">
        <f t="array" ref="D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25EC094</v>
      </c>
      <c r="E83" s="32" t="str">
        <f t="array" ref="E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MARIRAJ V</v>
      </c>
      <c r="F83" s="26" t="str">
        <f t="array" ref="F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3" s="26" t="str">
        <f t="array" ref="G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3" s="26" t="str">
        <f t="array" ref="H83">IF(
MOD(ROW()-2,6)=0,
INDEX('Form Responses'!I:I,INT((ROW()-2)/6)+2),
"-- NA --"
)</f>
        <v>-- NA --</v>
      </c>
      <c r="I83" s="32" t="str">
        <f t="array" ref="I83">IF(
MOD(ROW()-2,6)=0,
INDEX('Form Responses'!J:J,INT((ROW()-2)/6)+2),
"-- NA --"
)</f>
        <v>-- NA --</v>
      </c>
      <c r="J83" s="3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26">
        <v>83.0</v>
      </c>
      <c r="B84" s="33"/>
      <c r="C84" s="26" t="s">
        <v>464</v>
      </c>
      <c r="D84" s="26" t="str">
        <f t="array" ref="D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25EC070</v>
      </c>
      <c r="E84" s="32" t="str">
        <f t="array" ref="E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KARTHIKEYAN S</v>
      </c>
      <c r="F84" s="26" t="str">
        <f t="array" ref="F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" s="26" t="str">
        <f t="array" ref="G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4" s="26" t="str">
        <f t="array" ref="H84">IF(
MOD(ROW()-2,6)=0,
INDEX('Form Responses'!I:I,INT((ROW()-2)/6)+2),
"-- NA --"
)</f>
        <v>-- NA --</v>
      </c>
      <c r="I84" s="32" t="str">
        <f t="array" ref="I84">IF(
MOD(ROW()-2,6)=0,
INDEX('Form Responses'!J:J,INT((ROW()-2)/6)+2),
"-- NA --"
)</f>
        <v>-- NA --</v>
      </c>
      <c r="J84" s="3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26">
        <v>84.0</v>
      </c>
      <c r="B85" s="6"/>
      <c r="C85" s="26" t="s">
        <v>500</v>
      </c>
      <c r="D85" s="26" t="str">
        <f t="array" ref="D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25EE034</v>
      </c>
      <c r="E85" s="32" t="str">
        <f t="array" ref="E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NIRANJNA S</v>
      </c>
      <c r="F85" s="26" t="str">
        <f t="array" ref="F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" s="26" t="str">
        <f t="array" ref="G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5" s="26" t="str">
        <f t="array" ref="H85">IF(
MOD(ROW()-2,6)=0,
INDEX('Form Responses'!I:I,INT((ROW()-2)/6)+2),
"-- NA --"
)</f>
        <v>-- NA --</v>
      </c>
      <c r="I85" s="32" t="str">
        <f t="array" ref="I85">IF(
MOD(ROW()-2,6)=0,
INDEX('Form Responses'!J:J,INT((ROW()-2)/6)+2),
"-- NA --"
)</f>
        <v>-- NA --</v>
      </c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26">
        <v>85.0</v>
      </c>
      <c r="B86" s="29" t="str">
        <f t="array" ref="B86">INDEX('Form Responses'!$C:$C,INT((ROW()-2)/6)+2)</f>
        <v>Tech veda</v>
      </c>
      <c r="C86" s="31" t="s">
        <v>140</v>
      </c>
      <c r="D86" s="26" t="str">
        <f t="array" ref="D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25AD222</v>
      </c>
      <c r="E86" s="32" t="str">
        <f t="array" ref="E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Thamarai Selvan .G</v>
      </c>
      <c r="F86" s="26" t="str">
        <f t="array" ref="F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6" s="26" t="str">
        <f t="array" ref="G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" s="26">
        <f t="array" ref="H86">IF(
MOD(ROW()-2,6)=0,
INDEX('Form Responses'!I:I,INT((ROW()-2)/6)+2),
"-- NA --"
)</f>
        <v>9345054448</v>
      </c>
      <c r="I86" s="32" t="str">
        <f t="array" ref="I86">IF(
MOD(ROW()-2,6)=0,
INDEX('Form Responses'!J:J,INT((ROW()-2)/6)+2),
"-- NA --"
)</f>
        <v>thamaraiselvan.g2025aids@sece.ac.in</v>
      </c>
      <c r="J86" s="29" t="str">
        <f t="array" ref="J86">INDEX('Form Responses'!$D:$D,INT((ROW()-2)/6)+2)</f>
        <v>Software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26">
        <v>86.0</v>
      </c>
      <c r="B87" s="33"/>
      <c r="C87" s="26" t="s">
        <v>282</v>
      </c>
      <c r="D87" s="26" t="str">
        <f t="array" ref="D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25AD235</v>
      </c>
      <c r="E87" s="32" t="str">
        <f t="array" ref="E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.S</v>
      </c>
      <c r="F87" s="26" t="str">
        <f t="array" ref="F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" s="26" t="str">
        <f t="array" ref="G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7" s="26" t="str">
        <f t="array" ref="H87">IF(
MOD(ROW()-2,6)=0,
INDEX('Form Responses'!I:I,INT((ROW()-2)/6)+2),
"-- NA --"
)</f>
        <v>-- NA --</v>
      </c>
      <c r="I87" s="32" t="str">
        <f t="array" ref="I87">IF(
MOD(ROW()-2,6)=0,
INDEX('Form Responses'!J:J,INT((ROW()-2)/6)+2),
"-- NA --"
)</f>
        <v>-- NA --</v>
      </c>
      <c r="J87" s="3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26">
        <v>87.0</v>
      </c>
      <c r="B88" s="33"/>
      <c r="C88" s="26" t="s">
        <v>385</v>
      </c>
      <c r="D88" s="26" t="str">
        <f t="array" ref="D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25AD250</v>
      </c>
      <c r="E88" s="32" t="str">
        <f t="array" ref="E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Yakshini.M</v>
      </c>
      <c r="F88" s="26" t="str">
        <f t="array" ref="F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" s="26" t="str">
        <f t="array" ref="G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8" s="26" t="str">
        <f t="array" ref="H88">IF(
MOD(ROW()-2,6)=0,
INDEX('Form Responses'!I:I,INT((ROW()-2)/6)+2),
"-- NA --"
)</f>
        <v>-- NA --</v>
      </c>
      <c r="I88" s="32" t="str">
        <f t="array" ref="I88">IF(
MOD(ROW()-2,6)=0,
INDEX('Form Responses'!J:J,INT((ROW()-2)/6)+2),
"-- NA --"
)</f>
        <v>-- NA --</v>
      </c>
      <c r="J88" s="3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26">
        <v>88.0</v>
      </c>
      <c r="B89" s="33"/>
      <c r="C89" s="26" t="s">
        <v>425</v>
      </c>
      <c r="D89" s="26" t="str">
        <f t="array" ref="D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24AD241</v>
      </c>
      <c r="E89" s="32" t="str">
        <f t="array" ref="E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Vikram J</v>
      </c>
      <c r="F89" s="26" t="str">
        <f t="array" ref="F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" s="26" t="str">
        <f t="array" ref="G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9" s="26" t="str">
        <f t="array" ref="H89">IF(
MOD(ROW()-2,6)=0,
INDEX('Form Responses'!I:I,INT((ROW()-2)/6)+2),
"-- NA --"
)</f>
        <v>-- NA --</v>
      </c>
      <c r="I89" s="32" t="str">
        <f t="array" ref="I89">IF(
MOD(ROW()-2,6)=0,
INDEX('Form Responses'!J:J,INT((ROW()-2)/6)+2),
"-- NA --"
)</f>
        <v>-- NA --</v>
      </c>
      <c r="J89" s="3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26">
        <v>89.0</v>
      </c>
      <c r="B90" s="33"/>
      <c r="C90" s="26" t="s">
        <v>464</v>
      </c>
      <c r="D90" s="26" t="str">
        <f t="array" ref="D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25CC050</v>
      </c>
      <c r="E90" s="32" t="str">
        <f t="array" ref="E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Shafrin.M</v>
      </c>
      <c r="F90" s="26" t="str">
        <f t="array" ref="F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0" s="26" t="str">
        <f t="array" ref="G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0" s="26" t="str">
        <f t="array" ref="H90">IF(
MOD(ROW()-2,6)=0,
INDEX('Form Responses'!I:I,INT((ROW()-2)/6)+2),
"-- NA --"
)</f>
        <v>-- NA --</v>
      </c>
      <c r="I90" s="32" t="str">
        <f t="array" ref="I90">IF(
MOD(ROW()-2,6)=0,
INDEX('Form Responses'!J:J,INT((ROW()-2)/6)+2),
"-- NA --"
)</f>
        <v>-- NA --</v>
      </c>
      <c r="J90" s="3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26">
        <v>90.0</v>
      </c>
      <c r="B91" s="6"/>
      <c r="C91" s="26" t="s">
        <v>500</v>
      </c>
      <c r="D91" s="26" t="str">
        <f t="array" ref="D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25CC051</v>
      </c>
      <c r="E91" s="32" t="str">
        <f t="array" ref="E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Shalini.M</v>
      </c>
      <c r="F91" s="26" t="str">
        <f t="array" ref="F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" s="26" t="str">
        <f t="array" ref="G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1" s="26" t="str">
        <f t="array" ref="H91">IF(
MOD(ROW()-2,6)=0,
INDEX('Form Responses'!I:I,INT((ROW()-2)/6)+2),
"-- NA --"
)</f>
        <v>-- NA --</v>
      </c>
      <c r="I91" s="32" t="str">
        <f t="array" ref="I91">IF(
MOD(ROW()-2,6)=0,
INDEX('Form Responses'!J:J,INT((ROW()-2)/6)+2),
"-- NA --"
)</f>
        <v>-- NA --</v>
      </c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26">
        <v>91.0</v>
      </c>
      <c r="B92" s="29" t="str">
        <f t="array" ref="B92">INDEX('Form Responses'!$C:$C,INT((ROW()-2)/6)+2)</f>
        <v>INFINITY BLOOMS</v>
      </c>
      <c r="C92" s="31" t="s">
        <v>140</v>
      </c>
      <c r="D92" s="26" t="str">
        <f t="array" ref="D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24IT015</v>
      </c>
      <c r="E92" s="32" t="str">
        <f t="array" ref="E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HARISWARAN M </v>
      </c>
      <c r="F92" s="26" t="str">
        <f t="array" ref="F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2" s="26" t="str">
        <f t="array" ref="G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2" s="26">
        <f t="array" ref="H92">IF(
MOD(ROW()-2,6)=0,
INDEX('Form Responses'!I:I,INT((ROW()-2)/6)+2),
"-- NA --"
)</f>
        <v>9786881013</v>
      </c>
      <c r="I92" s="32" t="str">
        <f t="array" ref="I92">IF(
MOD(ROW()-2,6)=0,
INDEX('Form Responses'!J:J,INT((ROW()-2)/6)+2),
"-- NA --"
)</f>
        <v>hariswaran.m2024it@sece.ac.in</v>
      </c>
      <c r="J92" s="29" t="str">
        <f t="array" ref="J92">INDEX('Form Responses'!$D:$D,INT((ROW()-2)/6)+2)</f>
        <v>Software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26">
        <v>92.0</v>
      </c>
      <c r="B93" s="33"/>
      <c r="C93" s="26" t="s">
        <v>282</v>
      </c>
      <c r="D93" s="26" t="str">
        <f t="array" ref="D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24IT062</v>
      </c>
      <c r="E93" s="32" t="str">
        <f t="array" ref="E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YOGASH S A </v>
      </c>
      <c r="F93" s="26" t="str">
        <f t="array" ref="F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3" s="26" t="str">
        <f t="array" ref="G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3" s="26" t="str">
        <f t="array" ref="H93">IF(
MOD(ROW()-2,6)=0,
INDEX('Form Responses'!I:I,INT((ROW()-2)/6)+2),
"-- NA --"
)</f>
        <v>-- NA --</v>
      </c>
      <c r="I93" s="32" t="str">
        <f t="array" ref="I93">IF(
MOD(ROW()-2,6)=0,
INDEX('Form Responses'!J:J,INT((ROW()-2)/6)+2),
"-- NA --"
)</f>
        <v>-- NA --</v>
      </c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26">
        <v>93.0</v>
      </c>
      <c r="B94" s="33"/>
      <c r="C94" s="26" t="s">
        <v>385</v>
      </c>
      <c r="D94" s="26" t="str">
        <f t="array" ref="D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24IT501</v>
      </c>
      <c r="E94" s="32" t="str">
        <f t="array" ref="E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KAVIYAA R</v>
      </c>
      <c r="F94" s="26" t="str">
        <f t="array" ref="F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4" s="26" t="str">
        <f t="array" ref="G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4" s="26" t="str">
        <f t="array" ref="H94">IF(
MOD(ROW()-2,6)=0,
INDEX('Form Responses'!I:I,INT((ROW()-2)/6)+2),
"-- NA --"
)</f>
        <v>-- NA --</v>
      </c>
      <c r="I94" s="32" t="str">
        <f t="array" ref="I94">IF(
MOD(ROW()-2,6)=0,
INDEX('Form Responses'!J:J,INT((ROW()-2)/6)+2),
"-- NA --"
)</f>
        <v>-- NA --</v>
      </c>
      <c r="J94" s="3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26">
        <v>94.0</v>
      </c>
      <c r="B95" s="33"/>
      <c r="C95" s="26" t="s">
        <v>425</v>
      </c>
      <c r="D95" s="26" t="str">
        <f t="array" ref="D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24CS187</v>
      </c>
      <c r="E95" s="32" t="str">
        <f t="array" ref="E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RAMYA M</v>
      </c>
      <c r="F95" s="26" t="str">
        <f t="array" ref="F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5" s="26" t="str">
        <f t="array" ref="G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5" s="26" t="str">
        <f t="array" ref="H95">IF(
MOD(ROW()-2,6)=0,
INDEX('Form Responses'!I:I,INT((ROW()-2)/6)+2),
"-- NA --"
)</f>
        <v>-- NA --</v>
      </c>
      <c r="I95" s="32" t="str">
        <f t="array" ref="I95">IF(
MOD(ROW()-2,6)=0,
INDEX('Form Responses'!J:J,INT((ROW()-2)/6)+2),
"-- NA --"
)</f>
        <v>-- NA --</v>
      </c>
      <c r="J95" s="3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26">
        <v>95.0</v>
      </c>
      <c r="B96" s="33"/>
      <c r="C96" s="26" t="s">
        <v>464</v>
      </c>
      <c r="D96" s="26" t="str">
        <f t="array" ref="D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24IT056</v>
      </c>
      <c r="E96" s="32" t="str">
        <f t="array" ref="E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SOWMIYA B </v>
      </c>
      <c r="F96" s="26" t="str">
        <f t="array" ref="F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6" s="26" t="str">
        <f t="array" ref="G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6" s="26" t="str">
        <f t="array" ref="H96">IF(
MOD(ROW()-2,6)=0,
INDEX('Form Responses'!I:I,INT((ROW()-2)/6)+2),
"-- NA --"
)</f>
        <v>-- NA --</v>
      </c>
      <c r="I96" s="32" t="str">
        <f t="array" ref="I96">IF(
MOD(ROW()-2,6)=0,
INDEX('Form Responses'!J:J,INT((ROW()-2)/6)+2),
"-- NA --"
)</f>
        <v>-- NA --</v>
      </c>
      <c r="J96" s="3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26">
        <v>96.0</v>
      </c>
      <c r="B97" s="6"/>
      <c r="C97" s="26" t="s">
        <v>500</v>
      </c>
      <c r="D97" s="26" t="str">
        <f t="array" ref="D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24EE010</v>
      </c>
      <c r="E97" s="32" t="str">
        <f t="array" ref="E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DIVITH S</v>
      </c>
      <c r="F97" s="26" t="str">
        <f t="array" ref="F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7" s="26" t="str">
        <f t="array" ref="G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7" s="26" t="str">
        <f t="array" ref="H97">IF(
MOD(ROW()-2,6)=0,
INDEX('Form Responses'!I:I,INT((ROW()-2)/6)+2),
"-- NA --"
)</f>
        <v>-- NA --</v>
      </c>
      <c r="I97" s="32" t="str">
        <f t="array" ref="I97">IF(
MOD(ROW()-2,6)=0,
INDEX('Form Responses'!J:J,INT((ROW()-2)/6)+2),
"-- NA --"
)</f>
        <v>-- NA --</v>
      </c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26">
        <v>97.0</v>
      </c>
      <c r="B98" s="29" t="str">
        <f t="array" ref="B98">INDEX('Form Responses'!$C:$C,INT((ROW()-2)/6)+2)</f>
        <v>Beyond binary </v>
      </c>
      <c r="C98" s="31" t="s">
        <v>140</v>
      </c>
      <c r="D98" s="26" t="str">
        <f t="array" ref="D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25AD204</v>
      </c>
      <c r="E98" s="32" t="str">
        <f t="array" ref="E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SOWMYA N</v>
      </c>
      <c r="F98" s="26" t="str">
        <f t="array" ref="F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" s="26" t="str">
        <f t="array" ref="G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8" s="26">
        <f t="array" ref="H98">IF(
MOD(ROW()-2,6)=0,
INDEX('Form Responses'!I:I,INT((ROW()-2)/6)+2),
"-- NA --"
)</f>
        <v>8754696646</v>
      </c>
      <c r="I98" s="32" t="str">
        <f t="array" ref="I98">IF(
MOD(ROW()-2,6)=0,
INDEX('Form Responses'!J:J,INT((ROW()-2)/6)+2),
"-- NA --"
)</f>
        <v>sowmya.n2025aids@sece.ac.in</v>
      </c>
      <c r="J98" s="29" t="str">
        <f t="array" ref="J98">INDEX('Form Responses'!$D:$D,INT((ROW()-2)/6)+2)</f>
        <v>Hardware</v>
      </c>
      <c r="K98" s="54" t="str">
        <f t="array" ref="K98">IF(L98="","",INDEX('Form Responses'!$C:$C,INT((ROW()-2)/6)+2))</f>
        <v/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26">
        <v>98.0</v>
      </c>
      <c r="B99" s="33"/>
      <c r="C99" s="26" t="s">
        <v>282</v>
      </c>
      <c r="D99" s="26" t="str">
        <f t="array" ref="D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25AD218</v>
      </c>
      <c r="E99" s="32" t="str">
        <f t="array" ref="E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TAMILKAVI G </v>
      </c>
      <c r="F99" s="26" t="str">
        <f t="array" ref="F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" s="26" t="str">
        <f t="array" ref="G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" s="26" t="str">
        <f t="array" ref="H99">IF(
MOD(ROW()-2,6)=0,
INDEX('Form Responses'!I:I,INT((ROW()-2)/6)+2),
"-- NA --"
)</f>
        <v>-- NA --</v>
      </c>
      <c r="I99" s="32" t="str">
        <f t="array" ref="I99">IF(
MOD(ROW()-2,6)=0,
INDEX('Form Responses'!J:J,INT((ROW()-2)/6)+2),
"-- NA --"
)</f>
        <v>-- NA --</v>
      </c>
      <c r="J99" s="33"/>
      <c r="K99" s="3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26">
        <v>99.0</v>
      </c>
      <c r="B100" s="33"/>
      <c r="C100" s="26" t="s">
        <v>385</v>
      </c>
      <c r="D100" s="26" t="str">
        <f t="array" ref="D1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25AD182</v>
      </c>
      <c r="E100" s="32" t="str">
        <f t="array" ref="E1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SANGAVI R</v>
      </c>
      <c r="F100" s="26" t="str">
        <f t="array" ref="F1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" s="26" t="str">
        <f t="array" ref="G1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0" s="26" t="str">
        <f t="array" ref="H100">IF(
MOD(ROW()-2,6)=0,
INDEX('Form Responses'!I:I,INT((ROW()-2)/6)+2),
"-- NA --"
)</f>
        <v>-- NA --</v>
      </c>
      <c r="I100" s="32" t="str">
        <f t="array" ref="I100">IF(
MOD(ROW()-2,6)=0,
INDEX('Form Responses'!J:J,INT((ROW()-2)/6)+2),
"-- NA --"
)</f>
        <v>-- NA --</v>
      </c>
      <c r="J100" s="33"/>
      <c r="K100" s="3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26">
        <v>100.0</v>
      </c>
      <c r="B101" s="33"/>
      <c r="C101" s="26" t="s">
        <v>425</v>
      </c>
      <c r="D101" s="26" t="str">
        <f t="array" ref="D1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25EC089</v>
      </c>
      <c r="E101" s="32" t="str">
        <f t="array" ref="E1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MADHUMITRAA KT</v>
      </c>
      <c r="F101" s="26" t="str">
        <f t="array" ref="F1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" s="26" t="str">
        <f t="array" ref="G1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1" s="26" t="str">
        <f t="array" ref="H101">IF(
MOD(ROW()-2,6)=0,
INDEX('Form Responses'!I:I,INT((ROW()-2)/6)+2),
"-- NA --"
)</f>
        <v>-- NA --</v>
      </c>
      <c r="I101" s="32" t="str">
        <f t="array" ref="I101">IF(
MOD(ROW()-2,6)=0,
INDEX('Form Responses'!J:J,INT((ROW()-2)/6)+2),
"-- NA --"
)</f>
        <v>-- NA --</v>
      </c>
      <c r="J101" s="33"/>
      <c r="K101" s="3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26">
        <v>101.0</v>
      </c>
      <c r="B102" s="33"/>
      <c r="C102" s="26" t="s">
        <v>464</v>
      </c>
      <c r="D102" s="26" t="str">
        <f t="array" ref="D1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25AD207</v>
      </c>
      <c r="E102" s="32" t="str">
        <f t="array" ref="E1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SRINIDHI K</v>
      </c>
      <c r="F102" s="26" t="str">
        <f t="array" ref="F1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" s="26" t="str">
        <f t="array" ref="G1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2" s="26" t="str">
        <f t="array" ref="H102">IF(
MOD(ROW()-2,6)=0,
INDEX('Form Responses'!I:I,INT((ROW()-2)/6)+2),
"-- NA --"
)</f>
        <v>-- NA --</v>
      </c>
      <c r="I102" s="32" t="str">
        <f t="array" ref="I102">IF(
MOD(ROW()-2,6)=0,
INDEX('Form Responses'!J:J,INT((ROW()-2)/6)+2),
"-- NA --"
)</f>
        <v>-- NA --</v>
      </c>
      <c r="J102" s="33"/>
      <c r="K102" s="3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26">
        <v>102.0</v>
      </c>
      <c r="B103" s="6"/>
      <c r="C103" s="26" t="s">
        <v>500</v>
      </c>
      <c r="D103" s="26" t="str">
        <f t="array" ref="D1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25AD230</v>
      </c>
      <c r="E103" s="32" t="str">
        <f t="array" ref="E1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P</v>
      </c>
      <c r="F103" s="26" t="str">
        <f t="array" ref="F1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" s="26" t="str">
        <f t="array" ref="G1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3" s="26" t="str">
        <f t="array" ref="H103">IF(
MOD(ROW()-2,6)=0,
INDEX('Form Responses'!I:I,INT((ROW()-2)/6)+2),
"-- NA --"
)</f>
        <v>-- NA --</v>
      </c>
      <c r="I103" s="32" t="str">
        <f t="array" ref="I103">IF(
MOD(ROW()-2,6)=0,
INDEX('Form Responses'!J:J,INT((ROW()-2)/6)+2),
"-- NA --"
)</f>
        <v>-- NA --</v>
      </c>
      <c r="J103" s="6"/>
      <c r="K103" s="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26">
        <v>103.0</v>
      </c>
      <c r="B104" s="29" t="str">
        <f t="array" ref="B104">INDEX('Form Responses'!$C:$C,INT((ROW()-2)/6)+2)</f>
        <v>Hack Club</v>
      </c>
      <c r="C104" s="31" t="s">
        <v>140</v>
      </c>
      <c r="D104" s="26" t="str">
        <f t="array" ref="D1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25CS136</v>
      </c>
      <c r="E104" s="32" t="str">
        <f t="array" ref="E1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Monish PP</v>
      </c>
      <c r="F104" s="26" t="str">
        <f t="array" ref="F1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" s="26" t="str">
        <f t="array" ref="G1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4" s="26">
        <f t="array" ref="H104">IF(
MOD(ROW()-2,6)=0,
INDEX('Form Responses'!I:I,INT((ROW()-2)/6)+2),
"-- NA --"
)</f>
        <v>8870936233</v>
      </c>
      <c r="I104" s="32" t="str">
        <f t="array" ref="I104">IF(
MOD(ROW()-2,6)=0,
INDEX('Form Responses'!J:J,INT((ROW()-2)/6)+2),
"-- NA --"
)</f>
        <v>monish.pp2025cse@sece.ac.in</v>
      </c>
      <c r="J104" s="29" t="str">
        <f t="array" ref="J104">INDEX('Form Responses'!$D:$D,INT((ROW()-2)/6)+2)</f>
        <v>Hardware</v>
      </c>
      <c r="K104" s="54" t="str">
        <f t="array" ref="K104">IF(L104="","",INDEX('Form Responses'!$C:$C,INT((ROW()-2)/6)+2))</f>
        <v/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26">
        <v>104.0</v>
      </c>
      <c r="B105" s="33"/>
      <c r="C105" s="26" t="s">
        <v>282</v>
      </c>
      <c r="D105" s="26" t="str">
        <f t="array" ref="D1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25CS141</v>
      </c>
      <c r="E105" s="32" t="str">
        <f t="array" ref="E1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NandaKumar K</v>
      </c>
      <c r="F105" s="26" t="str">
        <f t="array" ref="F1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5" s="26" t="str">
        <f t="array" ref="G1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5" s="26" t="str">
        <f t="array" ref="H105">IF(
MOD(ROW()-2,6)=0,
INDEX('Form Responses'!I:I,INT((ROW()-2)/6)+2),
"-- NA --"
)</f>
        <v>-- NA --</v>
      </c>
      <c r="I105" s="32" t="str">
        <f t="array" ref="I105">IF(
MOD(ROW()-2,6)=0,
INDEX('Form Responses'!J:J,INT((ROW()-2)/6)+2),
"-- NA --"
)</f>
        <v>-- NA --</v>
      </c>
      <c r="J105" s="33"/>
      <c r="K105" s="3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26">
        <v>105.0</v>
      </c>
      <c r="B106" s="33"/>
      <c r="C106" s="26" t="s">
        <v>385</v>
      </c>
      <c r="D106" s="26" t="str">
        <f t="array" ref="D1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25CS130</v>
      </c>
      <c r="E106" s="32" t="str">
        <f t="array" ref="E1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Faaiz A</v>
      </c>
      <c r="F106" s="26" t="str">
        <f t="array" ref="F1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" s="26" t="str">
        <f t="array" ref="G1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6" s="26" t="str">
        <f t="array" ref="H106">IF(
MOD(ROW()-2,6)=0,
INDEX('Form Responses'!I:I,INT((ROW()-2)/6)+2),
"-- NA --"
)</f>
        <v>-- NA --</v>
      </c>
      <c r="I106" s="32" t="str">
        <f t="array" ref="I106">IF(
MOD(ROW()-2,6)=0,
INDEX('Form Responses'!J:J,INT((ROW()-2)/6)+2),
"-- NA --"
)</f>
        <v>-- NA --</v>
      </c>
      <c r="J106" s="33"/>
      <c r="K106" s="3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26">
        <v>106.0</v>
      </c>
      <c r="B107" s="33"/>
      <c r="C107" s="26" t="s">
        <v>425</v>
      </c>
      <c r="D107" s="26" t="str">
        <f t="array" ref="D1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25CS135</v>
      </c>
      <c r="E107" s="32" t="str">
        <f t="array" ref="E1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Mohith M</v>
      </c>
      <c r="F107" s="26" t="str">
        <f t="array" ref="F1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" s="26" t="str">
        <f t="array" ref="G1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7" s="26" t="str">
        <f t="array" ref="H107">IF(
MOD(ROW()-2,6)=0,
INDEX('Form Responses'!I:I,INT((ROW()-2)/6)+2),
"-- NA --"
)</f>
        <v>-- NA --</v>
      </c>
      <c r="I107" s="32" t="str">
        <f t="array" ref="I107">IF(
MOD(ROW()-2,6)=0,
INDEX('Form Responses'!J:J,INT((ROW()-2)/6)+2),
"-- NA --"
)</f>
        <v>-- NA --</v>
      </c>
      <c r="J107" s="33"/>
      <c r="K107" s="3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26">
        <v>107.0</v>
      </c>
      <c r="B108" s="33"/>
      <c r="C108" s="26" t="s">
        <v>464</v>
      </c>
      <c r="D108" s="26" t="str">
        <f t="array" ref="D1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25CB041</v>
      </c>
      <c r="E108" s="32" t="str">
        <f t="array" ref="E1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Ritika L</v>
      </c>
      <c r="F108" s="26" t="str">
        <f t="array" ref="F1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" s="26" t="str">
        <f t="array" ref="G1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8" s="26" t="str">
        <f t="array" ref="H108">IF(
MOD(ROW()-2,6)=0,
INDEX('Form Responses'!I:I,INT((ROW()-2)/6)+2),
"-- NA --"
)</f>
        <v>-- NA --</v>
      </c>
      <c r="I108" s="32" t="str">
        <f t="array" ref="I108">IF(
MOD(ROW()-2,6)=0,
INDEX('Form Responses'!J:J,INT((ROW()-2)/6)+2),
"-- NA --"
)</f>
        <v>-- NA --</v>
      </c>
      <c r="J108" s="33"/>
      <c r="K108" s="3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26">
        <v>108.0</v>
      </c>
      <c r="B109" s="6"/>
      <c r="C109" s="26" t="s">
        <v>500</v>
      </c>
      <c r="D109" s="26" t="str">
        <f t="array" ref="D1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25IT043</v>
      </c>
      <c r="E109" s="32" t="str">
        <f t="array" ref="E1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Rithiga RT</v>
      </c>
      <c r="F109" s="26" t="str">
        <f t="array" ref="F1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9" s="26" t="str">
        <f t="array" ref="G1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09" s="26" t="str">
        <f t="array" ref="H109">IF(
MOD(ROW()-2,6)=0,
INDEX('Form Responses'!I:I,INT((ROW()-2)/6)+2),
"-- NA --"
)</f>
        <v>-- NA --</v>
      </c>
      <c r="I109" s="32" t="str">
        <f t="array" ref="I109">IF(
MOD(ROW()-2,6)=0,
INDEX('Form Responses'!J:J,INT((ROW()-2)/6)+2),
"-- NA --"
)</f>
        <v>-- NA --</v>
      </c>
      <c r="J109" s="6"/>
      <c r="K109" s="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26">
        <v>109.0</v>
      </c>
      <c r="B110" s="29" t="str">
        <f t="array" ref="B110">INDEX('Form Responses'!$C:$C,INT((ROW()-2)/6)+2)</f>
        <v>Unity Minds</v>
      </c>
      <c r="C110" s="31" t="s">
        <v>140</v>
      </c>
      <c r="D110" s="26" t="str">
        <f t="array" ref="D1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24CB011</v>
      </c>
      <c r="E110" s="32" t="str">
        <f t="array" ref="E1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Dharanidharan T</v>
      </c>
      <c r="F110" s="26" t="str">
        <f t="array" ref="F1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" s="26" t="str">
        <f t="array" ref="G1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0" s="26">
        <f t="array" ref="H110">IF(
MOD(ROW()-2,6)=0,
INDEX('Form Responses'!I:I,INT((ROW()-2)/6)+2),
"-- NA --"
)</f>
        <v>6374788857</v>
      </c>
      <c r="I110" s="32" t="str">
        <f t="array" ref="I110">IF(
MOD(ROW()-2,6)=0,
INDEX('Form Responses'!J:J,INT((ROW()-2)/6)+2),
"-- NA --"
)</f>
        <v>dharanidharan.t2024csbs@sece.ac.in</v>
      </c>
      <c r="J110" s="29" t="str">
        <f t="array" ref="J110">INDEX('Form Responses'!$D:$D,INT((ROW()-2)/6)+2)</f>
        <v>Software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26">
        <v>110.0</v>
      </c>
      <c r="B111" s="33"/>
      <c r="C111" s="26" t="s">
        <v>282</v>
      </c>
      <c r="D111" s="26" t="str">
        <f t="array" ref="D1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24CB056</v>
      </c>
      <c r="E111" s="32" t="str">
        <f t="array" ref="E1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Sudharshan S</v>
      </c>
      <c r="F111" s="26" t="str">
        <f t="array" ref="F1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" s="26" t="str">
        <f t="array" ref="G1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1" s="26" t="str">
        <f t="array" ref="H111">IF(
MOD(ROW()-2,6)=0,
INDEX('Form Responses'!I:I,INT((ROW()-2)/6)+2),
"-- NA --"
)</f>
        <v>-- NA --</v>
      </c>
      <c r="I111" s="32" t="str">
        <f t="array" ref="I111">IF(
MOD(ROW()-2,6)=0,
INDEX('Form Responses'!J:J,INT((ROW()-2)/6)+2),
"-- NA --"
)</f>
        <v>-- NA --</v>
      </c>
      <c r="J111" s="3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26">
        <v>111.0</v>
      </c>
      <c r="B112" s="33"/>
      <c r="C112" s="26" t="s">
        <v>385</v>
      </c>
      <c r="D112" s="26" t="str">
        <f t="array" ref="D1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24CB063</v>
      </c>
      <c r="E112" s="32" t="str">
        <f t="array" ref="E1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Vishwa K</v>
      </c>
      <c r="F112" s="26" t="str">
        <f t="array" ref="F1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2" s="26" t="str">
        <f t="array" ref="G1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2" s="26" t="str">
        <f t="array" ref="H112">IF(
MOD(ROW()-2,6)=0,
INDEX('Form Responses'!I:I,INT((ROW()-2)/6)+2),
"-- NA --"
)</f>
        <v>-- NA --</v>
      </c>
      <c r="I112" s="32" t="str">
        <f t="array" ref="I112">IF(
MOD(ROW()-2,6)=0,
INDEX('Form Responses'!J:J,INT((ROW()-2)/6)+2),
"-- NA --"
)</f>
        <v>-- NA --</v>
      </c>
      <c r="J112" s="3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26">
        <v>112.0</v>
      </c>
      <c r="B113" s="33"/>
      <c r="C113" s="26" t="s">
        <v>425</v>
      </c>
      <c r="D113" s="26" t="str">
        <f t="array" ref="D1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24CB033</v>
      </c>
      <c r="E113" s="32" t="str">
        <f t="array" ref="E1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Pratheeka A C</v>
      </c>
      <c r="F113" s="26" t="str">
        <f t="array" ref="F1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3" s="26" t="str">
        <f t="array" ref="G1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3" s="26" t="str">
        <f t="array" ref="H113">IF(
MOD(ROW()-2,6)=0,
INDEX('Form Responses'!I:I,INT((ROW()-2)/6)+2),
"-- NA --"
)</f>
        <v>-- NA --</v>
      </c>
      <c r="I113" s="32" t="str">
        <f t="array" ref="I113">IF(
MOD(ROW()-2,6)=0,
INDEX('Form Responses'!J:J,INT((ROW()-2)/6)+2),
"-- NA --"
)</f>
        <v>-- NA --</v>
      </c>
      <c r="J113" s="3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26">
        <v>113.0</v>
      </c>
      <c r="B114" s="33"/>
      <c r="C114" s="26" t="s">
        <v>464</v>
      </c>
      <c r="D114" s="26" t="str">
        <f t="array" ref="D1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24CB045</v>
      </c>
      <c r="E114" s="32" t="str">
        <f t="array" ref="E1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Shanjana R S</v>
      </c>
      <c r="F114" s="26" t="str">
        <f t="array" ref="F1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" s="26" t="str">
        <f t="array" ref="G1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4" s="26" t="str">
        <f t="array" ref="H114">IF(
MOD(ROW()-2,6)=0,
INDEX('Form Responses'!I:I,INT((ROW()-2)/6)+2),
"-- NA --"
)</f>
        <v>-- NA --</v>
      </c>
      <c r="I114" s="32" t="str">
        <f t="array" ref="I114">IF(
MOD(ROW()-2,6)=0,
INDEX('Form Responses'!J:J,INT((ROW()-2)/6)+2),
"-- NA --"
)</f>
        <v>-- NA --</v>
      </c>
      <c r="J114" s="3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26">
        <v>114.0</v>
      </c>
      <c r="B115" s="6"/>
      <c r="C115" s="26" t="s">
        <v>500</v>
      </c>
      <c r="D115" s="26" t="str">
        <f t="array" ref="D1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24AM026	</v>
      </c>
      <c r="E115" s="32" t="str">
        <f t="array" ref="E1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 M	</v>
      </c>
      <c r="F115" s="26" t="str">
        <f t="array" ref="F1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5" s="26" t="str">
        <f t="array" ref="G1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5" s="26" t="str">
        <f t="array" ref="H115">IF(
MOD(ROW()-2,6)=0,
INDEX('Form Responses'!I:I,INT((ROW()-2)/6)+2),
"-- NA --"
)</f>
        <v>-- NA --</v>
      </c>
      <c r="I115" s="32" t="str">
        <f t="array" ref="I115">IF(
MOD(ROW()-2,6)=0,
INDEX('Form Responses'!J:J,INT((ROW()-2)/6)+2),
"-- NA --"
)</f>
        <v>-- NA --</v>
      </c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26">
        <v>115.0</v>
      </c>
      <c r="B116" s="29" t="str">
        <f t="array" ref="B116">INDEX('Form Responses'!$C:$C,INT((ROW()-2)/6)+2)</f>
        <v>HACKMATES</v>
      </c>
      <c r="C116" s="31" t="s">
        <v>140</v>
      </c>
      <c r="D116" s="26" t="str">
        <f t="array" ref="D1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25CS125</v>
      </c>
      <c r="E116" s="32" t="str">
        <f t="array" ref="E1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Mathanghi RR</v>
      </c>
      <c r="F116" s="26" t="str">
        <f t="array" ref="F1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6" s="26" t="str">
        <f t="array" ref="G1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6" s="26">
        <f t="array" ref="H116">IF(
MOD(ROW()-2,6)=0,
INDEX('Form Responses'!I:I,INT((ROW()-2)/6)+2),
"-- NA --"
)</f>
        <v>9384481724</v>
      </c>
      <c r="I116" s="32" t="str">
        <f t="array" ref="I116">IF(
MOD(ROW()-2,6)=0,
INDEX('Form Responses'!J:J,INT((ROW()-2)/6)+2),
"-- NA --"
)</f>
        <v>mathanghi.rr2025cse@sece.ac.in</v>
      </c>
      <c r="J116" s="29" t="str">
        <f t="array" ref="J116">INDEX('Form Responses'!$D:$D,INT((ROW()-2)/6)+2)</f>
        <v>Software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26">
        <v>116.0</v>
      </c>
      <c r="B117" s="33"/>
      <c r="C117" s="26" t="s">
        <v>282</v>
      </c>
      <c r="D117" s="26" t="str">
        <f t="array" ref="D1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25CS101</v>
      </c>
      <c r="E117" s="32" t="str">
        <f t="array" ref="E1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Kavishka PS</v>
      </c>
      <c r="F117" s="26" t="str">
        <f t="array" ref="F1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7" s="26" t="str">
        <f t="array" ref="G1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7" s="26" t="str">
        <f t="array" ref="H117">IF(
MOD(ROW()-2,6)=0,
INDEX('Form Responses'!I:I,INT((ROW()-2)/6)+2),
"-- NA --"
)</f>
        <v>-- NA --</v>
      </c>
      <c r="I117" s="32" t="str">
        <f t="array" ref="I117">IF(
MOD(ROW()-2,6)=0,
INDEX('Form Responses'!J:J,INT((ROW()-2)/6)+2),
"-- NA --"
)</f>
        <v>-- NA --</v>
      </c>
      <c r="J117" s="3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26">
        <v>117.0</v>
      </c>
      <c r="B118" s="33"/>
      <c r="C118" s="26" t="s">
        <v>385</v>
      </c>
      <c r="D118" s="26" t="str">
        <f t="array" ref="D1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25CS071</v>
      </c>
      <c r="E118" s="32" t="str">
        <f t="array" ref="E1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Haritha P</v>
      </c>
      <c r="F118" s="26" t="str">
        <f t="array" ref="F1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8" s="26" t="str">
        <f t="array" ref="G1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8" s="26" t="str">
        <f t="array" ref="H118">IF(
MOD(ROW()-2,6)=0,
INDEX('Form Responses'!I:I,INT((ROW()-2)/6)+2),
"-- NA --"
)</f>
        <v>-- NA --</v>
      </c>
      <c r="I118" s="32" t="str">
        <f t="array" ref="I118">IF(
MOD(ROW()-2,6)=0,
INDEX('Form Responses'!J:J,INT((ROW()-2)/6)+2),
"-- NA --"
)</f>
        <v>-- NA --</v>
      </c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26">
        <v>118.0</v>
      </c>
      <c r="B119" s="33"/>
      <c r="C119" s="26" t="s">
        <v>425</v>
      </c>
      <c r="D119" s="26" t="str">
        <f t="array" ref="D1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25CS097</v>
      </c>
      <c r="E119" s="32" t="str">
        <f t="array" ref="E1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Karthikeyan N</v>
      </c>
      <c r="F119" s="26" t="str">
        <f t="array" ref="F1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9" s="26" t="str">
        <f t="array" ref="G1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9" s="26" t="str">
        <f t="array" ref="H119">IF(
MOD(ROW()-2,6)=0,
INDEX('Form Responses'!I:I,INT((ROW()-2)/6)+2),
"-- NA --"
)</f>
        <v>-- NA --</v>
      </c>
      <c r="I119" s="32" t="str">
        <f t="array" ref="I119">IF(
MOD(ROW()-2,6)=0,
INDEX('Form Responses'!J:J,INT((ROW()-2)/6)+2),
"-- NA --"
)</f>
        <v>-- NA --</v>
      </c>
      <c r="J119" s="3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26">
        <v>119.0</v>
      </c>
      <c r="B120" s="33"/>
      <c r="C120" s="26" t="s">
        <v>464</v>
      </c>
      <c r="D120" s="26" t="str">
        <f t="array" ref="D1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23CS301</v>
      </c>
      <c r="E120" s="32" t="str">
        <f t="array" ref="E1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Ajalesh B </v>
      </c>
      <c r="F120" s="26" t="str">
        <f t="array" ref="F1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20" s="26" t="str">
        <f t="array" ref="G1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0" s="26" t="str">
        <f t="array" ref="H120">IF(
MOD(ROW()-2,6)=0,
INDEX('Form Responses'!I:I,INT((ROW()-2)/6)+2),
"-- NA --"
)</f>
        <v>-- NA --</v>
      </c>
      <c r="I120" s="32" t="str">
        <f t="array" ref="I120">IF(
MOD(ROW()-2,6)=0,
INDEX('Form Responses'!J:J,INT((ROW()-2)/6)+2),
"-- NA --"
)</f>
        <v>-- NA --</v>
      </c>
      <c r="J120" s="3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26">
        <v>120.0</v>
      </c>
      <c r="B121" s="6"/>
      <c r="C121" s="26" t="s">
        <v>500</v>
      </c>
      <c r="D121" s="26" t="str">
        <f t="array" ref="D1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25AM034</v>
      </c>
      <c r="E121" s="32" t="str">
        <f t="array" ref="E1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Gowdham V</v>
      </c>
      <c r="F121" s="26" t="str">
        <f t="array" ref="F1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1" s="26" t="str">
        <f t="array" ref="G1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1" s="26" t="str">
        <f t="array" ref="H121">IF(
MOD(ROW()-2,6)=0,
INDEX('Form Responses'!I:I,INT((ROW()-2)/6)+2),
"-- NA --"
)</f>
        <v>-- NA --</v>
      </c>
      <c r="I121" s="32" t="str">
        <f t="array" ref="I121">IF(
MOD(ROW()-2,6)=0,
INDEX('Form Responses'!J:J,INT((ROW()-2)/6)+2),
"-- NA --"
)</f>
        <v>-- NA --</v>
      </c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26">
        <v>121.0</v>
      </c>
      <c r="B122" s="29" t="str">
        <f t="array" ref="B122">INDEX('Form Responses'!$C:$C,INT((ROW()-2)/6)+2)</f>
        <v>Celestials</v>
      </c>
      <c r="C122" s="31" t="s">
        <v>140</v>
      </c>
      <c r="D122" s="26" t="str">
        <f t="array" ref="D1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24EE009</v>
      </c>
      <c r="E122" s="32" t="str">
        <f t="array" ref="E1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Dinesh Kumar S </v>
      </c>
      <c r="F122" s="26" t="str">
        <f t="array" ref="F1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" s="26" t="str">
        <f t="array" ref="G1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2" s="26">
        <f t="array" ref="H122">IF(
MOD(ROW()-2,6)=0,
INDEX('Form Responses'!I:I,INT((ROW()-2)/6)+2),
"-- NA --"
)</f>
        <v>8870904088</v>
      </c>
      <c r="I122" s="32" t="str">
        <f t="array" ref="I122">IF(
MOD(ROW()-2,6)=0,
INDEX('Form Responses'!J:J,INT((ROW()-2)/6)+2),
"-- NA --"
)</f>
        <v>dineshkumar.s2024eee@sece.ac.in</v>
      </c>
      <c r="J122" s="29" t="str">
        <f t="array" ref="J122">INDEX('Form Responses'!$D:$D,INT((ROW()-2)/6)+2)</f>
        <v>Hardware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26">
        <v>122.0</v>
      </c>
      <c r="B123" s="33"/>
      <c r="C123" s="26" t="s">
        <v>282</v>
      </c>
      <c r="D123" s="26" t="str">
        <f t="array" ref="D1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24CS087</v>
      </c>
      <c r="E123" s="32" t="str">
        <f t="array" ref="E1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Ilamsaravanbalaji Pa</v>
      </c>
      <c r="F123" s="26" t="str">
        <f t="array" ref="F1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" s="26" t="str">
        <f t="array" ref="G1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3" s="26" t="str">
        <f t="array" ref="H123">IF(
MOD(ROW()-2,6)=0,
INDEX('Form Responses'!I:I,INT((ROW()-2)/6)+2),
"-- NA --"
)</f>
        <v>-- NA --</v>
      </c>
      <c r="I123" s="32" t="str">
        <f t="array" ref="I123">IF(
MOD(ROW()-2,6)=0,
INDEX('Form Responses'!J:J,INT((ROW()-2)/6)+2),
"-- NA --"
)</f>
        <v>-- NA --</v>
      </c>
      <c r="J123" s="3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26">
        <v>123.0</v>
      </c>
      <c r="B124" s="33"/>
      <c r="C124" s="26" t="s">
        <v>385</v>
      </c>
      <c r="D124" s="26" t="str">
        <f t="array" ref="D1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24CYS058</v>
      </c>
      <c r="E124" s="32" t="str">
        <f t="array" ref="E1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Swetha B</v>
      </c>
      <c r="F124" s="26" t="str">
        <f t="array" ref="F1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" s="26" t="str">
        <f t="array" ref="G1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24" s="26" t="str">
        <f t="array" ref="H124">IF(
MOD(ROW()-2,6)=0,
INDEX('Form Responses'!I:I,INT((ROW()-2)/6)+2),
"-- NA --"
)</f>
        <v>-- NA --</v>
      </c>
      <c r="I124" s="32" t="str">
        <f t="array" ref="I124">IF(
MOD(ROW()-2,6)=0,
INDEX('Form Responses'!J:J,INT((ROW()-2)/6)+2),
"-- NA --"
)</f>
        <v>-- NA --</v>
      </c>
      <c r="J124" s="3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26">
        <v>124.0</v>
      </c>
      <c r="B125" s="33"/>
      <c r="C125" s="26" t="s">
        <v>425</v>
      </c>
      <c r="D125" s="26" t="str">
        <f t="array" ref="D1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24EE016</v>
      </c>
      <c r="E125" s="32" t="str">
        <f t="array" ref="E1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Harshavardhan N</v>
      </c>
      <c r="F125" s="26" t="str">
        <f t="array" ref="F1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5" s="26" t="str">
        <f t="array" ref="G1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5" s="26" t="str">
        <f t="array" ref="H125">IF(
MOD(ROW()-2,6)=0,
INDEX('Form Responses'!I:I,INT((ROW()-2)/6)+2),
"-- NA --"
)</f>
        <v>-- NA --</v>
      </c>
      <c r="I125" s="32" t="str">
        <f t="array" ref="I125">IF(
MOD(ROW()-2,6)=0,
INDEX('Form Responses'!J:J,INT((ROW()-2)/6)+2),
"-- NA --"
)</f>
        <v>-- NA --</v>
      </c>
      <c r="J125" s="3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26">
        <v>125.0</v>
      </c>
      <c r="B126" s="33"/>
      <c r="C126" s="26" t="s">
        <v>464</v>
      </c>
      <c r="D126" s="26" t="str">
        <f t="array" ref="D1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24EE065</v>
      </c>
      <c r="E126" s="32" t="str">
        <f t="array" ref="E1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Yuvanesh C B </v>
      </c>
      <c r="F126" s="26" t="str">
        <f t="array" ref="F1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6" s="26" t="str">
        <f t="array" ref="G1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6" s="26" t="str">
        <f t="array" ref="H126">IF(
MOD(ROW()-2,6)=0,
INDEX('Form Responses'!I:I,INT((ROW()-2)/6)+2),
"-- NA --"
)</f>
        <v>-- NA --</v>
      </c>
      <c r="I126" s="32" t="str">
        <f t="array" ref="I126">IF(
MOD(ROW()-2,6)=0,
INDEX('Form Responses'!J:J,INT((ROW()-2)/6)+2),
"-- NA --"
)</f>
        <v>-- NA --</v>
      </c>
      <c r="J126" s="3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26">
        <v>126.0</v>
      </c>
      <c r="B127" s="6"/>
      <c r="C127" s="26" t="s">
        <v>500</v>
      </c>
      <c r="D127" s="26" t="str">
        <f t="array" ref="D1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25EE005</v>
      </c>
      <c r="E127" s="32" t="str">
        <f t="array" ref="E1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Bhoosith P</v>
      </c>
      <c r="F127" s="26" t="str">
        <f t="array" ref="F1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" s="26" t="str">
        <f t="array" ref="G1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7" s="26" t="str">
        <f t="array" ref="H127">IF(
MOD(ROW()-2,6)=0,
INDEX('Form Responses'!I:I,INT((ROW()-2)/6)+2),
"-- NA --"
)</f>
        <v>-- NA --</v>
      </c>
      <c r="I127" s="32" t="str">
        <f t="array" ref="I127">IF(
MOD(ROW()-2,6)=0,
INDEX('Form Responses'!J:J,INT((ROW()-2)/6)+2),
"-- NA --"
)</f>
        <v>-- NA --</v>
      </c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26">
        <v>127.0</v>
      </c>
      <c r="B128" s="29" t="str">
        <f t="array" ref="B128">INDEX('Form Responses'!$C:$C,INT((ROW()-2)/6)+2)</f>
        <v>Hack Nova</v>
      </c>
      <c r="C128" s="31" t="s">
        <v>140</v>
      </c>
      <c r="D128" s="26" t="str">
        <f t="array" ref="D1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25EC072</v>
      </c>
      <c r="E128" s="32" t="str">
        <f t="array" ref="E1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KAVIMAGI.S</v>
      </c>
      <c r="F128" s="26" t="str">
        <f t="array" ref="F1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8" s="26" t="str">
        <f t="array" ref="G1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8" s="26">
        <f t="array" ref="H128">IF(
MOD(ROW()-2,6)=0,
INDEX('Form Responses'!I:I,INT((ROW()-2)/6)+2),
"-- NA --"
)</f>
        <v>8610081832</v>
      </c>
      <c r="I128" s="32" t="str">
        <f t="array" ref="I128">IF(
MOD(ROW()-2,6)=0,
INDEX('Form Responses'!J:J,INT((ROW()-2)/6)+2),
"-- NA --"
)</f>
        <v>kavimagi.s2025ece@sece.ac.in</v>
      </c>
      <c r="J128" s="29" t="str">
        <f t="array" ref="J128">INDEX('Form Responses'!$D:$D,INT((ROW()-2)/6)+2)</f>
        <v>Hardware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26">
        <v>128.0</v>
      </c>
      <c r="B129" s="33"/>
      <c r="C129" s="26" t="s">
        <v>282</v>
      </c>
      <c r="D129" s="26" t="str">
        <f t="array" ref="D1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25EC004</v>
      </c>
      <c r="E129" s="32" t="str">
        <f t="array" ref="E1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 NANDITA SV</v>
      </c>
      <c r="F129" s="26" t="str">
        <f t="array" ref="F1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9" s="26" t="str">
        <f t="array" ref="G1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9" s="26" t="str">
        <f t="array" ref="H129">IF(
MOD(ROW()-2,6)=0,
INDEX('Form Responses'!I:I,INT((ROW()-2)/6)+2),
"-- NA --"
)</f>
        <v>-- NA --</v>
      </c>
      <c r="I129" s="32" t="str">
        <f t="array" ref="I129">IF(
MOD(ROW()-2,6)=0,
INDEX('Form Responses'!J:J,INT((ROW()-2)/6)+2),
"-- NA --"
)</f>
        <v>-- NA --</v>
      </c>
      <c r="J129" s="3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26">
        <v>129.0</v>
      </c>
      <c r="B130" s="33"/>
      <c r="C130" s="26" t="s">
        <v>385</v>
      </c>
      <c r="D130" s="26" t="str">
        <f t="array" ref="D1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25EC121</v>
      </c>
      <c r="E130" s="32" t="str">
        <f t="array" ref="E1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NISHANTHI M</v>
      </c>
      <c r="F130" s="26" t="str">
        <f t="array" ref="F1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" s="26" t="str">
        <f t="array" ref="G1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0" s="26" t="str">
        <f t="array" ref="H130">IF(
MOD(ROW()-2,6)=0,
INDEX('Form Responses'!I:I,INT((ROW()-2)/6)+2),
"-- NA --"
)</f>
        <v>-- NA --</v>
      </c>
      <c r="I130" s="32" t="str">
        <f t="array" ref="I130">IF(
MOD(ROW()-2,6)=0,
INDEX('Form Responses'!J:J,INT((ROW()-2)/6)+2),
"-- NA --"
)</f>
        <v>-- NA --</v>
      </c>
      <c r="J130" s="3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26">
        <v>130.0</v>
      </c>
      <c r="B131" s="33"/>
      <c r="C131" s="26" t="s">
        <v>425</v>
      </c>
      <c r="D131" s="26" t="str">
        <f t="array" ref="D1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25CB057</v>
      </c>
      <c r="E131" s="32" t="str">
        <f t="array" ref="E1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THARUNICA GJ</v>
      </c>
      <c r="F131" s="26" t="str">
        <f t="array" ref="F1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1" s="26" t="str">
        <f t="array" ref="G1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31" s="26" t="str">
        <f t="array" ref="H131">IF(
MOD(ROW()-2,6)=0,
INDEX('Form Responses'!I:I,INT((ROW()-2)/6)+2),
"-- NA --"
)</f>
        <v>-- NA --</v>
      </c>
      <c r="I131" s="32" t="str">
        <f t="array" ref="I131">IF(
MOD(ROW()-2,6)=0,
INDEX('Form Responses'!J:J,INT((ROW()-2)/6)+2),
"-- NA --"
)</f>
        <v>-- NA --</v>
      </c>
      <c r="J131" s="3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26">
        <v>131.0</v>
      </c>
      <c r="B132" s="33"/>
      <c r="C132" s="26" t="s">
        <v>464</v>
      </c>
      <c r="D132" s="26" t="str">
        <f t="array" ref="D1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25CB056</v>
      </c>
      <c r="E132" s="32" t="str">
        <f t="array" ref="E1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SUJITHA GAYATHRI G</v>
      </c>
      <c r="F132" s="26" t="str">
        <f t="array" ref="F1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2" s="26" t="str">
        <f t="array" ref="G1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32" s="26" t="str">
        <f t="array" ref="H132">IF(
MOD(ROW()-2,6)=0,
INDEX('Form Responses'!I:I,INT((ROW()-2)/6)+2),
"-- NA --"
)</f>
        <v>-- NA --</v>
      </c>
      <c r="I132" s="32" t="str">
        <f t="array" ref="I132">IF(
MOD(ROW()-2,6)=0,
INDEX('Form Responses'!J:J,INT((ROW()-2)/6)+2),
"-- NA --"
)</f>
        <v>-- NA --</v>
      </c>
      <c r="J132" s="3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26">
        <v>132.0</v>
      </c>
      <c r="B133" s="6"/>
      <c r="C133" s="26" t="s">
        <v>500</v>
      </c>
      <c r="D133" s="26" t="str">
        <f t="array" ref="D1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25AD092</v>
      </c>
      <c r="E133" s="32" t="str">
        <f t="array" ref="E1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KARPAGA PAVITHRA P</v>
      </c>
      <c r="F133" s="26" t="str">
        <f t="array" ref="F1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" s="26" t="str">
        <f t="array" ref="G1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3" s="26" t="str">
        <f t="array" ref="H133">IF(
MOD(ROW()-2,6)=0,
INDEX('Form Responses'!I:I,INT((ROW()-2)/6)+2),
"-- NA --"
)</f>
        <v>-- NA --</v>
      </c>
      <c r="I133" s="32" t="str">
        <f t="array" ref="I133">IF(
MOD(ROW()-2,6)=0,
INDEX('Form Responses'!J:J,INT((ROW()-2)/6)+2),
"-- NA --"
)</f>
        <v>-- NA --</v>
      </c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26">
        <v>133.0</v>
      </c>
      <c r="B134" s="29" t="str">
        <f t="array" ref="B134">INDEX('Form Responses'!$C:$C,INT((ROW()-2)/6)+2)</f>
        <v>HYPERNOVA</v>
      </c>
      <c r="C134" s="31" t="s">
        <v>140</v>
      </c>
      <c r="D134" s="26" t="str">
        <f t="array" ref="D1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25EC039</v>
      </c>
      <c r="E134" s="32" t="str">
        <f t="array" ref="E1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DHARRSHINI S</v>
      </c>
      <c r="F134" s="26" t="str">
        <f t="array" ref="F1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4" s="26" t="str">
        <f t="array" ref="G1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4" s="26">
        <f t="array" ref="H134">IF(
MOD(ROW()-2,6)=0,
INDEX('Form Responses'!I:I,INT((ROW()-2)/6)+2),
"-- NA --"
)</f>
        <v>8248439655</v>
      </c>
      <c r="I134" s="32" t="str">
        <f t="array" ref="I134">IF(
MOD(ROW()-2,6)=0,
INDEX('Form Responses'!J:J,INT((ROW()-2)/6)+2),
"-- NA --"
)</f>
        <v>dharrshini.s2025ece@sece.ac.in</v>
      </c>
      <c r="J134" s="29" t="str">
        <f t="array" ref="J134">INDEX('Form Responses'!$D:$D,INT((ROW()-2)/6)+2)</f>
        <v>Hardware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26">
        <v>134.0</v>
      </c>
      <c r="B135" s="33"/>
      <c r="C135" s="26" t="s">
        <v>282</v>
      </c>
      <c r="D135" s="26" t="str">
        <f t="array" ref="D1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25IT004</v>
      </c>
      <c r="E135" s="32" t="str">
        <f t="array" ref="E1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 VARSHINI N</v>
      </c>
      <c r="F135" s="26" t="str">
        <f t="array" ref="F1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5" s="26" t="str">
        <f t="array" ref="G1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5" s="26" t="str">
        <f t="array" ref="H135">IF(
MOD(ROW()-2,6)=0,
INDEX('Form Responses'!I:I,INT((ROW()-2)/6)+2),
"-- NA --"
)</f>
        <v>-- NA --</v>
      </c>
      <c r="I135" s="32" t="str">
        <f t="array" ref="I135">IF(
MOD(ROW()-2,6)=0,
INDEX('Form Responses'!J:J,INT((ROW()-2)/6)+2),
"-- NA --"
)</f>
        <v>-- NA --</v>
      </c>
      <c r="J135" s="3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26">
        <v>135.0</v>
      </c>
      <c r="B136" s="33"/>
      <c r="C136" s="26" t="s">
        <v>385</v>
      </c>
      <c r="D136" s="26" t="str">
        <f t="array" ref="D1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25CC054</v>
      </c>
      <c r="E136" s="32" t="str">
        <f t="array" ref="E1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SOWBARNIKA P</v>
      </c>
      <c r="F136" s="26" t="str">
        <f t="array" ref="F1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" s="26" t="str">
        <f t="array" ref="G1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36" s="26" t="str">
        <f t="array" ref="H136">IF(
MOD(ROW()-2,6)=0,
INDEX('Form Responses'!I:I,INT((ROW()-2)/6)+2),
"-- NA --"
)</f>
        <v>-- NA --</v>
      </c>
      <c r="I136" s="32" t="str">
        <f t="array" ref="I136">IF(
MOD(ROW()-2,6)=0,
INDEX('Form Responses'!J:J,INT((ROW()-2)/6)+2),
"-- NA --"
)</f>
        <v>-- NA --</v>
      </c>
      <c r="J136" s="3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26">
        <v>136.0</v>
      </c>
      <c r="B137" s="33"/>
      <c r="C137" s="26" t="s">
        <v>425</v>
      </c>
      <c r="D137" s="26" t="str">
        <f t="array" ref="D1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25EC037</v>
      </c>
      <c r="E137" s="32" t="str">
        <f t="array" ref="E1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DHARANESH S</v>
      </c>
      <c r="F137" s="26" t="str">
        <f t="array" ref="F1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7" s="26" t="str">
        <f t="array" ref="G1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7" s="26" t="str">
        <f t="array" ref="H137">IF(
MOD(ROW()-2,6)=0,
INDEX('Form Responses'!I:I,INT((ROW()-2)/6)+2),
"-- NA --"
)</f>
        <v>-- NA --</v>
      </c>
      <c r="I137" s="32" t="str">
        <f t="array" ref="I137">IF(
MOD(ROW()-2,6)=0,
INDEX('Form Responses'!J:J,INT((ROW()-2)/6)+2),
"-- NA --"
)</f>
        <v>-- NA --</v>
      </c>
      <c r="J137" s="3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26">
        <v>137.0</v>
      </c>
      <c r="B138" s="33"/>
      <c r="C138" s="26" t="s">
        <v>464</v>
      </c>
      <c r="D138" s="26" t="str">
        <f t="array" ref="D1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25EC047</v>
      </c>
      <c r="E138" s="32" t="str">
        <f t="array" ref="E1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GOUSEEKAN V S</v>
      </c>
      <c r="F138" s="26" t="str">
        <f t="array" ref="F1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8" s="26" t="str">
        <f t="array" ref="G1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8" s="26" t="str">
        <f t="array" ref="H138">IF(
MOD(ROW()-2,6)=0,
INDEX('Form Responses'!I:I,INT((ROW()-2)/6)+2),
"-- NA --"
)</f>
        <v>-- NA --</v>
      </c>
      <c r="I138" s="32" t="str">
        <f t="array" ref="I138">IF(
MOD(ROW()-2,6)=0,
INDEX('Form Responses'!J:J,INT((ROW()-2)/6)+2),
"-- NA --"
)</f>
        <v>-- NA --</v>
      </c>
      <c r="J138" s="3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26">
        <v>138.0</v>
      </c>
      <c r="B139" s="6"/>
      <c r="C139" s="26" t="s">
        <v>500</v>
      </c>
      <c r="D139" s="26" t="str">
        <f t="array" ref="D1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25EC055</v>
      </c>
      <c r="E139" s="32" t="str">
        <f t="array" ref="E1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HARISH KISHORE M</v>
      </c>
      <c r="F139" s="26" t="str">
        <f t="array" ref="F1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9" s="26" t="str">
        <f t="array" ref="G1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9" s="26" t="str">
        <f t="array" ref="H139">IF(
MOD(ROW()-2,6)=0,
INDEX('Form Responses'!I:I,INT((ROW()-2)/6)+2),
"-- NA --"
)</f>
        <v>-- NA --</v>
      </c>
      <c r="I139" s="32" t="str">
        <f t="array" ref="I139">IF(
MOD(ROW()-2,6)=0,
INDEX('Form Responses'!J:J,INT((ROW()-2)/6)+2),
"-- NA --"
)</f>
        <v>-- NA --</v>
      </c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26">
        <v>139.0</v>
      </c>
      <c r="B140" s="29" t="str">
        <f t="array" ref="B140">INDEX('Form Responses'!$C:$C,INT((ROW()-2)/6)+2)</f>
        <v>HACK HORIZON</v>
      </c>
      <c r="C140" s="31" t="s">
        <v>140</v>
      </c>
      <c r="D140" s="26" t="str">
        <f t="array" ref="D1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25EC111</v>
      </c>
      <c r="E140" s="32" t="str">
        <f t="array" ref="E1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NAKSHATHRA M</v>
      </c>
      <c r="F140" s="26" t="str">
        <f t="array" ref="F1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0" s="26" t="str">
        <f t="array" ref="G1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0" s="26">
        <f t="array" ref="H140">IF(
MOD(ROW()-2,6)=0,
INDEX('Form Responses'!I:I,INT((ROW()-2)/6)+2),
"-- NA --"
)</f>
        <v>8148893300</v>
      </c>
      <c r="I140" s="32" t="str">
        <f t="array" ref="I140">IF(
MOD(ROW()-2,6)=0,
INDEX('Form Responses'!J:J,INT((ROW()-2)/6)+2),
"-- NA --"
)</f>
        <v>nakshathra.m2025@sece.ac.in</v>
      </c>
      <c r="J140" s="29" t="str">
        <f t="array" ref="J140">INDEX('Form Responses'!$D:$D,INT((ROW()-2)/6)+2)</f>
        <v>Hardware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26">
        <v>140.0</v>
      </c>
      <c r="B141" s="33"/>
      <c r="C141" s="26" t="s">
        <v>282</v>
      </c>
      <c r="D141" s="26" t="str">
        <f t="array" ref="D1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25EC104 </v>
      </c>
      <c r="E141" s="32" t="str">
        <f t="array" ref="E1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MONIGA J</v>
      </c>
      <c r="F141" s="26" t="str">
        <f t="array" ref="F1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1" s="26" t="str">
        <f t="array" ref="G1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1" s="26" t="str">
        <f t="array" ref="H141">IF(
MOD(ROW()-2,6)=0,
INDEX('Form Responses'!I:I,INT((ROW()-2)/6)+2),
"-- NA --"
)</f>
        <v>-- NA --</v>
      </c>
      <c r="I141" s="32" t="str">
        <f t="array" ref="I141">IF(
MOD(ROW()-2,6)=0,
INDEX('Form Responses'!J:J,INT((ROW()-2)/6)+2),
"-- NA --"
)</f>
        <v>-- NA --</v>
      </c>
      <c r="J141" s="3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26">
        <v>141.0</v>
      </c>
      <c r="B142" s="33"/>
      <c r="C142" s="26" t="s">
        <v>385</v>
      </c>
      <c r="D142" s="26" t="str">
        <f t="array" ref="D1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25EC077</v>
      </c>
      <c r="E142" s="32" t="str">
        <f t="array" ref="E1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 M</v>
      </c>
      <c r="F142" s="26" t="str">
        <f t="array" ref="F1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2" s="26" t="str">
        <f t="array" ref="G1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2" s="26" t="str">
        <f t="array" ref="H142">IF(
MOD(ROW()-2,6)=0,
INDEX('Form Responses'!I:I,INT((ROW()-2)/6)+2),
"-- NA --"
)</f>
        <v>-- NA --</v>
      </c>
      <c r="I142" s="32" t="str">
        <f t="array" ref="I142">IF(
MOD(ROW()-2,6)=0,
INDEX('Form Responses'!J:J,INT((ROW()-2)/6)+2),
"-- NA --"
)</f>
        <v>-- NA --</v>
      </c>
      <c r="J142" s="3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26">
        <v>142.0</v>
      </c>
      <c r="B143" s="33"/>
      <c r="C143" s="26" t="s">
        <v>425</v>
      </c>
      <c r="D143" s="26" t="str">
        <f t="array" ref="D1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25AM017</v>
      </c>
      <c r="E143" s="32" t="str">
        <f t="array" ref="E1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DHANUSHRI J</v>
      </c>
      <c r="F143" s="26" t="str">
        <f t="array" ref="F1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3" s="26" t="str">
        <f t="array" ref="G1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3" s="26" t="str">
        <f t="array" ref="H143">IF(
MOD(ROW()-2,6)=0,
INDEX('Form Responses'!I:I,INT((ROW()-2)/6)+2),
"-- NA --"
)</f>
        <v>-- NA --</v>
      </c>
      <c r="I143" s="32" t="str">
        <f t="array" ref="I143">IF(
MOD(ROW()-2,6)=0,
INDEX('Form Responses'!J:J,INT((ROW()-2)/6)+2),
"-- NA --"
)</f>
        <v>-- NA --</v>
      </c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26">
        <v>143.0</v>
      </c>
      <c r="B144" s="33"/>
      <c r="C144" s="26" t="s">
        <v>464</v>
      </c>
      <c r="D144" s="26" t="str">
        <f t="array" ref="D1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25CS054</v>
      </c>
      <c r="E144" s="32" t="str">
        <f t="array" ref="E1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GOBIKASREE K T</v>
      </c>
      <c r="F144" s="26" t="str">
        <f t="array" ref="F1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" s="26" t="str">
        <f t="array" ref="G1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4" s="26" t="str">
        <f t="array" ref="H144">IF(
MOD(ROW()-2,6)=0,
INDEX('Form Responses'!I:I,INT((ROW()-2)/6)+2),
"-- NA --"
)</f>
        <v>-- NA --</v>
      </c>
      <c r="I144" s="32" t="str">
        <f t="array" ref="I144">IF(
MOD(ROW()-2,6)=0,
INDEX('Form Responses'!J:J,INT((ROW()-2)/6)+2),
"-- NA --"
)</f>
        <v>-- NA --</v>
      </c>
      <c r="J144" s="3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26">
        <v>144.0</v>
      </c>
      <c r="B145" s="6"/>
      <c r="C145" s="26" t="s">
        <v>500</v>
      </c>
      <c r="D145" s="26" t="str">
        <f t="array" ref="D1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25AD100</v>
      </c>
      <c r="E145" s="32" t="str">
        <f t="array" ref="E1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 R</v>
      </c>
      <c r="F145" s="26" t="str">
        <f t="array" ref="F1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" s="26" t="str">
        <f t="array" ref="G1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5" s="26" t="str">
        <f t="array" ref="H145">IF(
MOD(ROW()-2,6)=0,
INDEX('Form Responses'!I:I,INT((ROW()-2)/6)+2),
"-- NA --"
)</f>
        <v>-- NA --</v>
      </c>
      <c r="I145" s="32" t="str">
        <f t="array" ref="I145">IF(
MOD(ROW()-2,6)=0,
INDEX('Form Responses'!J:J,INT((ROW()-2)/6)+2),
"-- NA --"
)</f>
        <v>-- NA --</v>
      </c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26">
        <v>145.0</v>
      </c>
      <c r="B146" s="29" t="str">
        <f t="array" ref="B146">INDEX('Form Responses'!$C:$C,INT((ROW()-2)/6)+2)</f>
        <v>CODEVORTEX</v>
      </c>
      <c r="C146" s="31" t="s">
        <v>140</v>
      </c>
      <c r="D146" s="26" t="str">
        <f t="array" ref="D1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24CS215</v>
      </c>
      <c r="E146" s="32" t="str">
        <f t="array" ref="E1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SARAVANAPERUMAL.M</v>
      </c>
      <c r="F146" s="26" t="str">
        <f t="array" ref="F1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6" s="26" t="str">
        <f t="array" ref="G1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6" s="26" t="str">
        <f t="array" ref="H146">IF(
MOD(ROW()-2,6)=0,
INDEX('Form Responses'!I:I,INT((ROW()-2)/6)+2),
"-- NA --"
)</f>
        <v> 73971 48323</v>
      </c>
      <c r="I146" s="32" t="str">
        <f t="array" ref="I146">IF(
MOD(ROW()-2,6)=0,
INDEX('Form Responses'!J:J,INT((ROW()-2)/6)+2),
"-- NA --"
)</f>
        <v>saravanaperumal.m2024cse@sece.ac.in</v>
      </c>
      <c r="J146" s="29" t="str">
        <f t="array" ref="J146">INDEX('Form Responses'!$D:$D,INT((ROW()-2)/6)+2)</f>
        <v>Software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26">
        <v>146.0</v>
      </c>
      <c r="B147" s="33"/>
      <c r="C147" s="26" t="s">
        <v>282</v>
      </c>
      <c r="D147" s="26" t="str">
        <f t="array" ref="D1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24CS305</v>
      </c>
      <c r="E147" s="32" t="str">
        <f t="array" ref="E1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DIVAKAR.G</v>
      </c>
      <c r="F147" s="26" t="str">
        <f t="array" ref="F1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" s="26" t="str">
        <f t="array" ref="G1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7" s="26" t="str">
        <f t="array" ref="H147">IF(
MOD(ROW()-2,6)=0,
INDEX('Form Responses'!I:I,INT((ROW()-2)/6)+2),
"-- NA --"
)</f>
        <v>-- NA --</v>
      </c>
      <c r="I147" s="32" t="str">
        <f t="array" ref="I147">IF(
MOD(ROW()-2,6)=0,
INDEX('Form Responses'!J:J,INT((ROW()-2)/6)+2),
"-- NA --"
)</f>
        <v>-- NA --</v>
      </c>
      <c r="J147" s="3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26">
        <v>147.0</v>
      </c>
      <c r="B148" s="33"/>
      <c r="C148" s="26" t="s">
        <v>385</v>
      </c>
      <c r="D148" s="26" t="str">
        <f t="array" ref="D1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24CS307</v>
      </c>
      <c r="E148" s="32" t="str">
        <f t="array" ref="E1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HEMALATHA.R</v>
      </c>
      <c r="F148" s="26" t="str">
        <f t="array" ref="F1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" s="26" t="str">
        <f t="array" ref="G1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" s="26" t="str">
        <f t="array" ref="H148">IF(
MOD(ROW()-2,6)=0,
INDEX('Form Responses'!I:I,INT((ROW()-2)/6)+2),
"-- NA --"
)</f>
        <v>-- NA --</v>
      </c>
      <c r="I148" s="32" t="str">
        <f t="array" ref="I148">IF(
MOD(ROW()-2,6)=0,
INDEX('Form Responses'!J:J,INT((ROW()-2)/6)+2),
"-- NA --"
)</f>
        <v>-- NA --</v>
      </c>
      <c r="J148" s="3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26">
        <v>148.0</v>
      </c>
      <c r="B149" s="33"/>
      <c r="C149" s="26" t="s">
        <v>425</v>
      </c>
      <c r="D149" s="26" t="str">
        <f t="array" ref="D1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24CC301</v>
      </c>
      <c r="E149" s="32" t="str">
        <f t="array" ref="E1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DHINESH KUMAR.S</v>
      </c>
      <c r="F149" s="26" t="str">
        <f t="array" ref="F1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" s="26" t="str">
        <f t="array" ref="G1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49" s="26" t="str">
        <f t="array" ref="H149">IF(
MOD(ROW()-2,6)=0,
INDEX('Form Responses'!I:I,INT((ROW()-2)/6)+2),
"-- NA --"
)</f>
        <v>-- NA --</v>
      </c>
      <c r="I149" s="32" t="str">
        <f t="array" ref="I149">IF(
MOD(ROW()-2,6)=0,
INDEX('Form Responses'!J:J,INT((ROW()-2)/6)+2),
"-- NA --"
)</f>
        <v>-- NA --</v>
      </c>
      <c r="J149" s="3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26">
        <v>149.0</v>
      </c>
      <c r="B150" s="33"/>
      <c r="C150" s="26" t="s">
        <v>464</v>
      </c>
      <c r="D150" s="26" t="str">
        <f t="array" ref="D1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24CC028</v>
      </c>
      <c r="E150" s="32" t="str">
        <f t="array" ref="E1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MATHIMOZHI.J</v>
      </c>
      <c r="F150" s="26" t="str">
        <f t="array" ref="F1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" s="26" t="str">
        <f t="array" ref="G1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0" s="26" t="str">
        <f t="array" ref="H150">IF(
MOD(ROW()-2,6)=0,
INDEX('Form Responses'!I:I,INT((ROW()-2)/6)+2),
"-- NA --"
)</f>
        <v>-- NA --</v>
      </c>
      <c r="I150" s="32" t="str">
        <f t="array" ref="I150">IF(
MOD(ROW()-2,6)=0,
INDEX('Form Responses'!J:J,INT((ROW()-2)/6)+2),
"-- NA --"
)</f>
        <v>-- NA --</v>
      </c>
      <c r="J150" s="3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26">
        <v>150.0</v>
      </c>
      <c r="B151" s="6"/>
      <c r="C151" s="26" t="s">
        <v>500</v>
      </c>
      <c r="D151" s="26" t="str">
        <f t="array" ref="D1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24CS306</v>
      </c>
      <c r="E151" s="32" t="str">
        <f t="array" ref="E1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GOKUL.S</v>
      </c>
      <c r="F151" s="26" t="str">
        <f t="array" ref="F1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" s="26" t="str">
        <f t="array" ref="G1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" s="26" t="str">
        <f t="array" ref="H151">IF(
MOD(ROW()-2,6)=0,
INDEX('Form Responses'!I:I,INT((ROW()-2)/6)+2),
"-- NA --"
)</f>
        <v>-- NA --</v>
      </c>
      <c r="I151" s="32" t="str">
        <f t="array" ref="I151">IF(
MOD(ROW()-2,6)=0,
INDEX('Form Responses'!J:J,INT((ROW()-2)/6)+2),
"-- NA --"
)</f>
        <v>-- NA --</v>
      </c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26">
        <v>151.0</v>
      </c>
      <c r="B152" s="29" t="str">
        <f t="array" ref="B152">INDEX('Form Responses'!$C:$C,INT((ROW()-2)/6)+2)</f>
        <v>Quantables</v>
      </c>
      <c r="C152" s="31" t="s">
        <v>140</v>
      </c>
      <c r="D152" s="26" t="str">
        <f t="array" ref="D1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24CC029</v>
      </c>
      <c r="E152" s="32" t="str">
        <f t="array" ref="E1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MEI HARISH GOKUL S</v>
      </c>
      <c r="F152" s="26" t="str">
        <f t="array" ref="F1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" s="26" t="str">
        <f t="array" ref="G1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2" s="26">
        <f t="array" ref="H152">IF(
MOD(ROW()-2,6)=0,
INDEX('Form Responses'!I:I,INT((ROW()-2)/6)+2),
"-- NA --"
)</f>
        <v>7871736516</v>
      </c>
      <c r="I152" s="32" t="str">
        <f t="array" ref="I152">IF(
MOD(ROW()-2,6)=0,
INDEX('Form Responses'!J:J,INT((ROW()-2)/6)+2),
"-- NA --"
)</f>
        <v>meiharishgokul.s2024cce@sece.ac.in</v>
      </c>
      <c r="J152" s="29" t="str">
        <f t="array" ref="J152">INDEX('Form Responses'!$D:$D,INT((ROW()-2)/6)+2)</f>
        <v>Software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26">
        <v>152.0</v>
      </c>
      <c r="B153" s="33"/>
      <c r="C153" s="26" t="s">
        <v>282</v>
      </c>
      <c r="D153" s="26" t="str">
        <f t="array" ref="D1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24CC030</v>
      </c>
      <c r="E153" s="32" t="str">
        <f t="array" ref="E1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JESEEM T</v>
      </c>
      <c r="F153" s="26" t="str">
        <f t="array" ref="F1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3" s="26" t="str">
        <f t="array" ref="G1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3" s="26" t="str">
        <f t="array" ref="H153">IF(
MOD(ROW()-2,6)=0,
INDEX('Form Responses'!I:I,INT((ROW()-2)/6)+2),
"-- NA --"
)</f>
        <v>-- NA --</v>
      </c>
      <c r="I153" s="32" t="str">
        <f t="array" ref="I153">IF(
MOD(ROW()-2,6)=0,
INDEX('Form Responses'!J:J,INT((ROW()-2)/6)+2),
"-- NA --"
)</f>
        <v>-- NA --</v>
      </c>
      <c r="J153" s="3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26">
        <v>153.0</v>
      </c>
      <c r="B154" s="33"/>
      <c r="C154" s="26" t="s">
        <v>385</v>
      </c>
      <c r="D154" s="26" t="str">
        <f t="array" ref="D1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24CC055</v>
      </c>
      <c r="E154" s="32" t="str">
        <f t="array" ref="E1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SUGIRTHAN S</v>
      </c>
      <c r="F154" s="26" t="str">
        <f t="array" ref="F1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" s="26" t="str">
        <f t="array" ref="G1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4" s="26" t="str">
        <f t="array" ref="H154">IF(
MOD(ROW()-2,6)=0,
INDEX('Form Responses'!I:I,INT((ROW()-2)/6)+2),
"-- NA --"
)</f>
        <v>-- NA --</v>
      </c>
      <c r="I154" s="32" t="str">
        <f t="array" ref="I154">IF(
MOD(ROW()-2,6)=0,
INDEX('Form Responses'!J:J,INT((ROW()-2)/6)+2),
"-- NA --"
)</f>
        <v>-- NA --</v>
      </c>
      <c r="J154" s="3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26">
        <v>154.0</v>
      </c>
      <c r="B155" s="33"/>
      <c r="C155" s="26" t="s">
        <v>425</v>
      </c>
      <c r="D155" s="26" t="str">
        <f t="array" ref="D1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24CC056</v>
      </c>
      <c r="E155" s="32" t="str">
        <f t="array" ref="E1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SURUTHI V</v>
      </c>
      <c r="F155" s="26" t="str">
        <f t="array" ref="F1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" s="26" t="str">
        <f t="array" ref="G1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5" s="26" t="str">
        <f t="array" ref="H155">IF(
MOD(ROW()-2,6)=0,
INDEX('Form Responses'!I:I,INT((ROW()-2)/6)+2),
"-- NA --"
)</f>
        <v>-- NA --</v>
      </c>
      <c r="I155" s="32" t="str">
        <f t="array" ref="I155">IF(
MOD(ROW()-2,6)=0,
INDEX('Form Responses'!J:J,INT((ROW()-2)/6)+2),
"-- NA --"
)</f>
        <v>-- NA --</v>
      </c>
      <c r="J155" s="3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26">
        <v>155.0</v>
      </c>
      <c r="B156" s="33"/>
      <c r="C156" s="26" t="s">
        <v>464</v>
      </c>
      <c r="D156" s="26" t="str">
        <f t="array" ref="D1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24CS314</v>
      </c>
      <c r="E156" s="32" t="str">
        <f t="array" ref="E1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MURUGANANDHAM A</v>
      </c>
      <c r="F156" s="26" t="str">
        <f t="array" ref="F1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" s="26" t="str">
        <f t="array" ref="G1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6" s="26" t="str">
        <f t="array" ref="H156">IF(
MOD(ROW()-2,6)=0,
INDEX('Form Responses'!I:I,INT((ROW()-2)/6)+2),
"-- NA --"
)</f>
        <v>-- NA --</v>
      </c>
      <c r="I156" s="32" t="str">
        <f t="array" ref="I156">IF(
MOD(ROW()-2,6)=0,
INDEX('Form Responses'!J:J,INT((ROW()-2)/6)+2),
"-- NA --"
)</f>
        <v>-- NA --</v>
      </c>
      <c r="J156" s="3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26">
        <v>156.0</v>
      </c>
      <c r="B157" s="6"/>
      <c r="C157" s="26" t="s">
        <v>500</v>
      </c>
      <c r="D157" s="26" t="str">
        <f t="array" ref="D1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24CB007</v>
      </c>
      <c r="E157" s="32" t="str">
        <f t="array" ref="E1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DEEPAK E</v>
      </c>
      <c r="F157" s="26" t="str">
        <f t="array" ref="F1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7" s="26" t="str">
        <f t="array" ref="G1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57" s="26" t="str">
        <f t="array" ref="H157">IF(
MOD(ROW()-2,6)=0,
INDEX('Form Responses'!I:I,INT((ROW()-2)/6)+2),
"-- NA --"
)</f>
        <v>-- NA --</v>
      </c>
      <c r="I157" s="32" t="str">
        <f t="array" ref="I157">IF(
MOD(ROW()-2,6)=0,
INDEX('Form Responses'!J:J,INT((ROW()-2)/6)+2),
"-- NA --"
)</f>
        <v>-- NA --</v>
      </c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26">
        <v>157.0</v>
      </c>
      <c r="B158" s="29" t="str">
        <f t="array" ref="B158">INDEX('Form Responses'!$C:$C,INT((ROW()-2)/6)+2)</f>
        <v>Teamforge</v>
      </c>
      <c r="C158" s="31" t="s">
        <v>140</v>
      </c>
      <c r="D158" s="26" t="str">
        <f t="array" ref="D1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.24cs118</v>
      </c>
      <c r="E158" s="32" t="str">
        <f t="array" ref="E1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.Niranjoan KS</v>
      </c>
      <c r="F158" s="26" t="str">
        <f t="array" ref="F1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" s="26" t="str">
        <f t="array" ref="G1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" s="26">
        <f t="array" ref="H158">IF(
MOD(ROW()-2,6)=0,
INDEX('Form Responses'!I:I,INT((ROW()-2)/6)+2),
"-- NA --"
)</f>
        <v>9344945496</v>
      </c>
      <c r="I158" s="32" t="str">
        <f t="array" ref="I158">IF(
MOD(ROW()-2,6)=0,
INDEX('Form Responses'!J:J,INT((ROW()-2)/6)+2),
"-- NA --"
)</f>
        <v>niranjoan.ks2024cse@sece.ac.in</v>
      </c>
      <c r="J158" s="29" t="str">
        <f t="array" ref="J158">INDEX('Form Responses'!$D:$D,INT((ROW()-2)/6)+2)</f>
        <v>Software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26">
        <v>158.0</v>
      </c>
      <c r="B159" s="33"/>
      <c r="C159" s="26" t="s">
        <v>282</v>
      </c>
      <c r="D159" s="26" t="str">
        <f t="array" ref="D1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24cs118</v>
      </c>
      <c r="E159" s="32" t="str">
        <f t="array" ref="E1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Kirithika SK</v>
      </c>
      <c r="F159" s="26" t="str">
        <f t="array" ref="F1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" s="26" t="str">
        <f t="array" ref="G1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9" s="26" t="str">
        <f t="array" ref="H159">IF(
MOD(ROW()-2,6)=0,
INDEX('Form Responses'!I:I,INT((ROW()-2)/6)+2),
"-- NA --"
)</f>
        <v>-- NA --</v>
      </c>
      <c r="I159" s="32" t="str">
        <f t="array" ref="I159">IF(
MOD(ROW()-2,6)=0,
INDEX('Form Responses'!J:J,INT((ROW()-2)/6)+2),
"-- NA --"
)</f>
        <v>-- NA --</v>
      </c>
      <c r="J159" s="3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26">
        <v>159.0</v>
      </c>
      <c r="B160" s="33"/>
      <c r="C160" s="26" t="s">
        <v>385</v>
      </c>
      <c r="D160" s="26" t="str">
        <f t="array" ref="D1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24CS113 </v>
      </c>
      <c r="E160" s="32" t="str">
        <f t="array" ref="E1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 K</v>
      </c>
      <c r="F160" s="26" t="str">
        <f t="array" ref="F1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" s="26" t="str">
        <f t="array" ref="G1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0" s="26" t="str">
        <f t="array" ref="H160">IF(
MOD(ROW()-2,6)=0,
INDEX('Form Responses'!I:I,INT((ROW()-2)/6)+2),
"-- NA --"
)</f>
        <v>-- NA --</v>
      </c>
      <c r="I160" s="32" t="str">
        <f t="array" ref="I160">IF(
MOD(ROW()-2,6)=0,
INDEX('Form Responses'!J:J,INT((ROW()-2)/6)+2),
"-- NA --"
)</f>
        <v>-- NA --</v>
      </c>
      <c r="J160" s="3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26">
        <v>160.0</v>
      </c>
      <c r="B161" s="33"/>
      <c r="C161" s="26" t="s">
        <v>425</v>
      </c>
      <c r="D161" s="26" t="str">
        <f t="array" ref="D1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24CS045 </v>
      </c>
      <c r="E161" s="32" t="str">
        <f t="array" ref="E1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T</v>
      </c>
      <c r="F161" s="26" t="str">
        <f t="array" ref="F1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1" s="26" t="str">
        <f t="array" ref="G1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1" s="26" t="str">
        <f t="array" ref="H161">IF(
MOD(ROW()-2,6)=0,
INDEX('Form Responses'!I:I,INT((ROW()-2)/6)+2),
"-- NA --"
)</f>
        <v>-- NA --</v>
      </c>
      <c r="I161" s="32" t="str">
        <f t="array" ref="I161">IF(
MOD(ROW()-2,6)=0,
INDEX('Form Responses'!J:J,INT((ROW()-2)/6)+2),
"-- NA --"
)</f>
        <v>-- NA --</v>
      </c>
      <c r="J161" s="3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26">
        <v>161.0</v>
      </c>
      <c r="B162" s="33"/>
      <c r="C162" s="26" t="s">
        <v>464</v>
      </c>
      <c r="D162" s="26" t="str">
        <f t="array" ref="D1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24CS199 </v>
      </c>
      <c r="E162" s="32" t="str">
        <f t="array" ref="E1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Roobak S</v>
      </c>
      <c r="F162" s="26" t="str">
        <f t="array" ref="F1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" s="26" t="str">
        <f t="array" ref="G1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2" s="26" t="str">
        <f t="array" ref="H162">IF(
MOD(ROW()-2,6)=0,
INDEX('Form Responses'!I:I,INT((ROW()-2)/6)+2),
"-- NA --"
)</f>
        <v>-- NA --</v>
      </c>
      <c r="I162" s="32" t="str">
        <f t="array" ref="I162">IF(
MOD(ROW()-2,6)=0,
INDEX('Form Responses'!J:J,INT((ROW()-2)/6)+2),
"-- NA --"
)</f>
        <v>-- NA --</v>
      </c>
      <c r="J162" s="3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26">
        <v>162.0</v>
      </c>
      <c r="B163" s="6"/>
      <c r="C163" s="26" t="s">
        <v>500</v>
      </c>
      <c r="D163" s="26" t="str">
        <f t="array" ref="D1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24CS203 -</v>
      </c>
      <c r="E163" s="32" t="str">
        <f t="array" ref="E1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Sachit K</v>
      </c>
      <c r="F163" s="26" t="str">
        <f t="array" ref="F1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" s="26" t="str">
        <f t="array" ref="G1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3" s="26" t="str">
        <f t="array" ref="H163">IF(
MOD(ROW()-2,6)=0,
INDEX('Form Responses'!I:I,INT((ROW()-2)/6)+2),
"-- NA --"
)</f>
        <v>-- NA --</v>
      </c>
      <c r="I163" s="32" t="str">
        <f t="array" ref="I163">IF(
MOD(ROW()-2,6)=0,
INDEX('Form Responses'!J:J,INT((ROW()-2)/6)+2),
"-- NA --"
)</f>
        <v>-- NA --</v>
      </c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26">
        <v>163.0</v>
      </c>
      <c r="B164" s="29" t="str">
        <f t="array" ref="B164">INDEX('Form Responses'!$C:$C,INT((ROW()-2)/6)+2)</f>
        <v>HackHolics</v>
      </c>
      <c r="C164" s="31" t="s">
        <v>140</v>
      </c>
      <c r="D164" s="26" t="str">
        <f t="array" ref="D1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25CB055</v>
      </c>
      <c r="E164" s="32" t="str">
        <f t="array" ref="E1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SRIRAMPRANAV N</v>
      </c>
      <c r="F164" s="26" t="str">
        <f t="array" ref="F1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4" s="26" t="str">
        <f t="array" ref="G1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4" s="26" t="str">
        <f t="array" ref="H164">IF(
MOD(ROW()-2,6)=0,
INDEX('Form Responses'!I:I,INT((ROW()-2)/6)+2),
"-- NA --"
)</f>
        <v>70921 15337</v>
      </c>
      <c r="I164" s="32" t="str">
        <f t="array" ref="I164">IF(
MOD(ROW()-2,6)=0,
INDEX('Form Responses'!J:J,INT((ROW()-2)/6)+2),
"-- NA --"
)</f>
        <v>srirampranav.n2025csbs@sece.ac.in</v>
      </c>
      <c r="J164" s="29" t="str">
        <f t="array" ref="J164">INDEX('Form Responses'!$D:$D,INT((ROW()-2)/6)+2)</f>
        <v>Software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26">
        <v>164.0</v>
      </c>
      <c r="B165" s="33"/>
      <c r="C165" s="26" t="s">
        <v>282</v>
      </c>
      <c r="D165" s="26" t="str">
        <f t="array" ref="D1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25CB005</v>
      </c>
      <c r="E165" s="32" t="str">
        <f t="array" ref="E1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BRITE SAMSEKAR A</v>
      </c>
      <c r="F165" s="26" t="str">
        <f t="array" ref="F1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5" s="26" t="str">
        <f t="array" ref="G1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5" s="26" t="str">
        <f t="array" ref="H165">IF(
MOD(ROW()-2,6)=0,
INDEX('Form Responses'!I:I,INT((ROW()-2)/6)+2),
"-- NA --"
)</f>
        <v>-- NA --</v>
      </c>
      <c r="I165" s="32" t="str">
        <f t="array" ref="I165">IF(
MOD(ROW()-2,6)=0,
INDEX('Form Responses'!J:J,INT((ROW()-2)/6)+2),
"-- NA --"
)</f>
        <v>-- NA --</v>
      </c>
      <c r="J165" s="3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26">
        <v>165.0</v>
      </c>
      <c r="B166" s="33"/>
      <c r="C166" s="26" t="s">
        <v>385</v>
      </c>
      <c r="D166" s="26" t="str">
        <f t="array" ref="D1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25CB048</v>
      </c>
      <c r="E166" s="32" t="str">
        <f t="array" ref="E1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Shashvanth</v>
      </c>
      <c r="F166" s="26" t="str">
        <f t="array" ref="F1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6" s="26" t="str">
        <f t="array" ref="G1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6" s="26" t="str">
        <f t="array" ref="H166">IF(
MOD(ROW()-2,6)=0,
INDEX('Form Responses'!I:I,INT((ROW()-2)/6)+2),
"-- NA --"
)</f>
        <v>-- NA --</v>
      </c>
      <c r="I166" s="32" t="str">
        <f t="array" ref="I166">IF(
MOD(ROW()-2,6)=0,
INDEX('Form Responses'!J:J,INT((ROW()-2)/6)+2),
"-- NA --"
)</f>
        <v>-- NA --</v>
      </c>
      <c r="J166" s="3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26">
        <v>166.0</v>
      </c>
      <c r="B167" s="33"/>
      <c r="C167" s="26" t="s">
        <v>425</v>
      </c>
      <c r="D167" s="26" t="str">
        <f t="array" ref="D1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25AM006</v>
      </c>
      <c r="E167" s="32" t="str">
        <f t="array" ref="E1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ANUSHYA M</v>
      </c>
      <c r="F167" s="26" t="str">
        <f t="array" ref="F1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7" s="26" t="str">
        <f t="array" ref="G1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67" s="26" t="str">
        <f t="array" ref="H167">IF(
MOD(ROW()-2,6)=0,
INDEX('Form Responses'!I:I,INT((ROW()-2)/6)+2),
"-- NA --"
)</f>
        <v>-- NA --</v>
      </c>
      <c r="I167" s="32" t="str">
        <f t="array" ref="I167">IF(
MOD(ROW()-2,6)=0,
INDEX('Form Responses'!J:J,INT((ROW()-2)/6)+2),
"-- NA --"
)</f>
        <v>-- NA --</v>
      </c>
      <c r="J167" s="3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26">
        <v>167.0</v>
      </c>
      <c r="B168" s="33"/>
      <c r="C168" s="26" t="s">
        <v>464</v>
      </c>
      <c r="D168" s="26" t="str">
        <f t="array" ref="D1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25AM012</v>
      </c>
      <c r="E168" s="32" t="str">
        <f t="array" ref="E1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BHAVANASHRI M</v>
      </c>
      <c r="F168" s="26" t="str">
        <f t="array" ref="F1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8" s="26" t="str">
        <f t="array" ref="G1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68" s="26" t="str">
        <f t="array" ref="H168">IF(
MOD(ROW()-2,6)=0,
INDEX('Form Responses'!I:I,INT((ROW()-2)/6)+2),
"-- NA --"
)</f>
        <v>-- NA --</v>
      </c>
      <c r="I168" s="32" t="str">
        <f t="array" ref="I168">IF(
MOD(ROW()-2,6)=0,
INDEX('Form Responses'!J:J,INT((ROW()-2)/6)+2),
"-- NA --"
)</f>
        <v>-- NA --</v>
      </c>
      <c r="J168" s="3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26">
        <v>168.0</v>
      </c>
      <c r="B169" s="6"/>
      <c r="C169" s="26" t="s">
        <v>500</v>
      </c>
      <c r="D169" s="26" t="str">
        <f t="array" ref="D1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25AM062</v>
      </c>
      <c r="E169" s="32" t="str">
        <f t="array" ref="E1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MALINI D</v>
      </c>
      <c r="F169" s="26" t="str">
        <f t="array" ref="F1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9" s="26" t="str">
        <f t="array" ref="G1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69" s="26" t="str">
        <f t="array" ref="H169">IF(
MOD(ROW()-2,6)=0,
INDEX('Form Responses'!I:I,INT((ROW()-2)/6)+2),
"-- NA --"
)</f>
        <v>-- NA --</v>
      </c>
      <c r="I169" s="32" t="str">
        <f t="array" ref="I169">IF(
MOD(ROW()-2,6)=0,
INDEX('Form Responses'!J:J,INT((ROW()-2)/6)+2),
"-- NA --"
)</f>
        <v>-- NA --</v>
      </c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26">
        <v>169.0</v>
      </c>
      <c r="B170" s="29" t="str">
        <f t="array" ref="B170">INDEX('Form Responses'!$C:$C,INT((ROW()-2)/6)+2)</f>
        <v>KAMALIKA SREE S</v>
      </c>
      <c r="C170" s="31" t="s">
        <v>140</v>
      </c>
      <c r="D170" s="26" t="str">
        <f t="array" ref="D1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25EC065</v>
      </c>
      <c r="E170" s="32" t="str">
        <f t="array" ref="E1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KAMALIKA SREE S</v>
      </c>
      <c r="F170" s="26" t="str">
        <f t="array" ref="F1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0" s="26" t="str">
        <f t="array" ref="G1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0" s="26">
        <f t="array" ref="H170">IF(
MOD(ROW()-2,6)=0,
INDEX('Form Responses'!I:I,INT((ROW()-2)/6)+2),
"-- NA --"
)</f>
        <v>7550248012</v>
      </c>
      <c r="I170" s="32" t="str">
        <f t="array" ref="I170">IF(
MOD(ROW()-2,6)=0,
INDEX('Form Responses'!J:J,INT((ROW()-2)/6)+2),
"-- NA --"
)</f>
        <v>kamalikasree.s2025ece@sece.ac.in</v>
      </c>
      <c r="J170" s="29" t="str">
        <f t="array" ref="J170">INDEX('Form Responses'!$D:$D,INT((ROW()-2)/6)+2)</f>
        <v>Hardware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26">
        <v>170.0</v>
      </c>
      <c r="B171" s="33"/>
      <c r="C171" s="26" t="s">
        <v>282</v>
      </c>
      <c r="D171" s="26" t="str">
        <f t="array" ref="D1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25EC079</v>
      </c>
      <c r="E171" s="32" t="str">
        <f t="array" ref="E1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KAVYASREE B</v>
      </c>
      <c r="F171" s="26" t="str">
        <f t="array" ref="F1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1" s="26" t="str">
        <f t="array" ref="G1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1" s="26" t="str">
        <f t="array" ref="H171">IF(
MOD(ROW()-2,6)=0,
INDEX('Form Responses'!I:I,INT((ROW()-2)/6)+2),
"-- NA --"
)</f>
        <v>-- NA --</v>
      </c>
      <c r="I171" s="32" t="str">
        <f t="array" ref="I171">IF(
MOD(ROW()-2,6)=0,
INDEX('Form Responses'!J:J,INT((ROW()-2)/6)+2),
"-- NA --"
)</f>
        <v>-- NA --</v>
      </c>
      <c r="J171" s="3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26">
        <v>171.0</v>
      </c>
      <c r="B172" s="33"/>
      <c r="C172" s="26" t="s">
        <v>385</v>
      </c>
      <c r="D172" s="26" t="str">
        <f t="array" ref="D1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25EC085</v>
      </c>
      <c r="E172" s="32" t="str">
        <f t="array" ref="E1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LAVANYA SHRI M</v>
      </c>
      <c r="F172" s="26" t="str">
        <f t="array" ref="F1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2" s="26" t="str">
        <f t="array" ref="G1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2" s="26" t="str">
        <f t="array" ref="H172">IF(
MOD(ROW()-2,6)=0,
INDEX('Form Responses'!I:I,INT((ROW()-2)/6)+2),
"-- NA --"
)</f>
        <v>-- NA --</v>
      </c>
      <c r="I172" s="32" t="str">
        <f t="array" ref="I172">IF(
MOD(ROW()-2,6)=0,
INDEX('Form Responses'!J:J,INT((ROW()-2)/6)+2),
"-- NA --"
)</f>
        <v>-- NA --</v>
      </c>
      <c r="J172" s="3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26">
        <v>172.0</v>
      </c>
      <c r="B173" s="33"/>
      <c r="C173" s="26" t="s">
        <v>425</v>
      </c>
      <c r="D173" s="26" t="str">
        <f t="array" ref="D1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25EC068</v>
      </c>
      <c r="E173" s="32" t="str">
        <f t="array" ref="E1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 S</v>
      </c>
      <c r="F173" s="26" t="str">
        <f t="array" ref="F1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3" s="26" t="str">
        <f t="array" ref="G1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3" s="26" t="str">
        <f t="array" ref="H173">IF(
MOD(ROW()-2,6)=0,
INDEX('Form Responses'!I:I,INT((ROW()-2)/6)+2),
"-- NA --"
)</f>
        <v>-- NA --</v>
      </c>
      <c r="I173" s="32" t="str">
        <f t="array" ref="I173">IF(
MOD(ROW()-2,6)=0,
INDEX('Form Responses'!J:J,INT((ROW()-2)/6)+2),
"-- NA --"
)</f>
        <v>-- NA --</v>
      </c>
      <c r="J173" s="3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26">
        <v>173.0</v>
      </c>
      <c r="B174" s="33"/>
      <c r="C174" s="26" t="s">
        <v>464</v>
      </c>
      <c r="D174" s="26" t="str">
        <f t="array" ref="D1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25AD203</v>
      </c>
      <c r="E174" s="32" t="str">
        <f t="array" ref="E1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SIVANANDHAM S</v>
      </c>
      <c r="F174" s="26" t="str">
        <f t="array" ref="F1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4" s="26" t="str">
        <f t="array" ref="G1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74" s="26" t="str">
        <f t="array" ref="H174">IF(
MOD(ROW()-2,6)=0,
INDEX('Form Responses'!I:I,INT((ROW()-2)/6)+2),
"-- NA --"
)</f>
        <v>-- NA --</v>
      </c>
      <c r="I174" s="32" t="str">
        <f t="array" ref="I174">IF(
MOD(ROW()-2,6)=0,
INDEX('Form Responses'!J:J,INT((ROW()-2)/6)+2),
"-- NA --"
)</f>
        <v>-- NA --</v>
      </c>
      <c r="J174" s="3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26">
        <v>174.0</v>
      </c>
      <c r="B175" s="6"/>
      <c r="C175" s="26" t="s">
        <v>500</v>
      </c>
      <c r="D175" s="26" t="str">
        <f t="array" ref="D1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25AD134</v>
      </c>
      <c r="E175" s="32" t="str">
        <f t="array" ref="E1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NIRANJAN R</v>
      </c>
      <c r="F175" s="26" t="str">
        <f t="array" ref="F1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5" s="26" t="str">
        <f t="array" ref="G1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75" s="26" t="str">
        <f t="array" ref="H175">IF(
MOD(ROW()-2,6)=0,
INDEX('Form Responses'!I:I,INT((ROW()-2)/6)+2),
"-- NA --"
)</f>
        <v>-- NA --</v>
      </c>
      <c r="I175" s="32" t="str">
        <f t="array" ref="I175">IF(
MOD(ROW()-2,6)=0,
INDEX('Form Responses'!J:J,INT((ROW()-2)/6)+2),
"-- NA --"
)</f>
        <v>-- NA --</v>
      </c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26">
        <v>175.0</v>
      </c>
      <c r="B176" s="29" t="str">
        <f t="array" ref="B176">INDEX('Form Responses'!$C:$C,INT((ROW()-2)/6)+2)</f>
        <v>MOHAN SUDHANDHIRAM M </v>
      </c>
      <c r="C176" s="31" t="s">
        <v>140</v>
      </c>
      <c r="D176" s="26" t="str">
        <f t="array" ref="D1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25EC101</v>
      </c>
      <c r="E176" s="32" t="str">
        <f t="array" ref="E1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MOHAN SUDHANDHIRAM M </v>
      </c>
      <c r="F176" s="26" t="str">
        <f t="array" ref="F1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6" s="26" t="str">
        <f t="array" ref="G1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6" s="26">
        <f t="array" ref="H176">IF(
MOD(ROW()-2,6)=0,
INDEX('Form Responses'!I:I,INT((ROW()-2)/6)+2),
"-- NA --"
)</f>
        <v>7871391706</v>
      </c>
      <c r="I176" s="32" t="str">
        <f t="array" ref="I176">IF(
MOD(ROW()-2,6)=0,
INDEX('Form Responses'!J:J,INT((ROW()-2)/6)+2),
"-- NA --"
)</f>
        <v>mohansudhandhiram.m2025ece@sece.ac.in</v>
      </c>
      <c r="J176" s="29" t="str">
        <f t="array" ref="J176">INDEX('Form Responses'!$D:$D,INT((ROW()-2)/6)+2)</f>
        <v>Hardware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26">
        <v>176.0</v>
      </c>
      <c r="B177" s="33"/>
      <c r="C177" s="26" t="s">
        <v>282</v>
      </c>
      <c r="D177" s="26" t="str">
        <f t="array" ref="D1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25EC082</v>
      </c>
      <c r="E177" s="32" t="str">
        <f t="array" ref="E1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KUMAAR S</v>
      </c>
      <c r="F177" s="26" t="str">
        <f t="array" ref="F1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7" s="26" t="str">
        <f t="array" ref="G1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7" s="26" t="str">
        <f t="array" ref="H177">IF(
MOD(ROW()-2,6)=0,
INDEX('Form Responses'!I:I,INT((ROW()-2)/6)+2),
"-- NA --"
)</f>
        <v>-- NA --</v>
      </c>
      <c r="I177" s="32" t="str">
        <f t="array" ref="I177">IF(
MOD(ROW()-2,6)=0,
INDEX('Form Responses'!J:J,INT((ROW()-2)/6)+2),
"-- NA --"
)</f>
        <v>-- NA --</v>
      </c>
      <c r="J177" s="3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26">
        <v>177.0</v>
      </c>
      <c r="B178" s="33"/>
      <c r="C178" s="26" t="s">
        <v>385</v>
      </c>
      <c r="D178" s="26" t="str">
        <f t="array" ref="D1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25EC116</v>
      </c>
      <c r="E178" s="32" t="str">
        <f t="array" ref="E1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 PRASATH E</v>
      </c>
      <c r="F178" s="26" t="str">
        <f t="array" ref="F1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8" s="26" t="str">
        <f t="array" ref="G1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8" s="26" t="str">
        <f t="array" ref="H178">IF(
MOD(ROW()-2,6)=0,
INDEX('Form Responses'!I:I,INT((ROW()-2)/6)+2),
"-- NA --"
)</f>
        <v>-- NA --</v>
      </c>
      <c r="I178" s="32" t="str">
        <f t="array" ref="I178">IF(
MOD(ROW()-2,6)=0,
INDEX('Form Responses'!J:J,INT((ROW()-2)/6)+2),
"-- NA --"
)</f>
        <v>-- NA --</v>
      </c>
      <c r="J178" s="3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26">
        <v>178.0</v>
      </c>
      <c r="B179" s="33"/>
      <c r="C179" s="26" t="s">
        <v>425</v>
      </c>
      <c r="D179" s="26" t="str">
        <f t="array" ref="D1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25EC113</v>
      </c>
      <c r="E179" s="32" t="str">
        <f t="array" ref="E1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NANDHITHA B</v>
      </c>
      <c r="F179" s="26" t="str">
        <f t="array" ref="F1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79" s="26" t="str">
        <f t="array" ref="G1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79" s="26" t="str">
        <f t="array" ref="H179">IF(
MOD(ROW()-2,6)=0,
INDEX('Form Responses'!I:I,INT((ROW()-2)/6)+2),
"-- NA --"
)</f>
        <v>-- NA --</v>
      </c>
      <c r="I179" s="32" t="str">
        <f t="array" ref="I179">IF(
MOD(ROW()-2,6)=0,
INDEX('Form Responses'!J:J,INT((ROW()-2)/6)+2),
"-- NA --"
)</f>
        <v>-- NA --</v>
      </c>
      <c r="J179" s="3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26">
        <v>179.0</v>
      </c>
      <c r="B180" s="33"/>
      <c r="C180" s="26" t="s">
        <v>464</v>
      </c>
      <c r="D180" s="26" t="str">
        <f t="array" ref="D1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25CS143</v>
      </c>
      <c r="E180" s="32" t="str">
        <f t="array" ref="E1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NANDHANA B</v>
      </c>
      <c r="F180" s="26" t="str">
        <f t="array" ref="F1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0" s="26" t="str">
        <f t="array" ref="G1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0" s="26" t="str">
        <f t="array" ref="H180">IF(
MOD(ROW()-2,6)=0,
INDEX('Form Responses'!I:I,INT((ROW()-2)/6)+2),
"-- NA --"
)</f>
        <v>-- NA --</v>
      </c>
      <c r="I180" s="32" t="str">
        <f t="array" ref="I180">IF(
MOD(ROW()-2,6)=0,
INDEX('Form Responses'!J:J,INT((ROW()-2)/6)+2),
"-- NA --"
)</f>
        <v>-- NA --</v>
      </c>
      <c r="J180" s="3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26">
        <v>180.0</v>
      </c>
      <c r="B181" s="6"/>
      <c r="C181" s="26" t="s">
        <v>500</v>
      </c>
      <c r="D181" s="26" t="str">
        <f t="array" ref="D1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25EC107</v>
      </c>
      <c r="E181" s="32" t="str">
        <f t="array" ref="E1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MUKUNDA KRISHNA M</v>
      </c>
      <c r="F181" s="26" t="str">
        <f t="array" ref="F1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1" s="26" t="str">
        <f t="array" ref="G1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81" s="26" t="str">
        <f t="array" ref="H181">IF(
MOD(ROW()-2,6)=0,
INDEX('Form Responses'!I:I,INT((ROW()-2)/6)+2),
"-- NA --"
)</f>
        <v>-- NA --</v>
      </c>
      <c r="I181" s="32" t="str">
        <f t="array" ref="I181">IF(
MOD(ROW()-2,6)=0,
INDEX('Form Responses'!J:J,INT((ROW()-2)/6)+2),
"-- NA --"
)</f>
        <v>-- NA --</v>
      </c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26">
        <v>181.0</v>
      </c>
      <c r="B182" s="29" t="str">
        <f t="array" ref="B182">INDEX('Form Responses'!$C:$C,INT((ROW()-2)/6)+2)</f>
        <v>ALPHA INNOVATORS</v>
      </c>
      <c r="C182" s="31" t="s">
        <v>140</v>
      </c>
      <c r="D182" s="26" t="str">
        <f t="array" ref="D1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25CS102</v>
      </c>
      <c r="E182" s="32" t="str">
        <f t="array" ref="E1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 SRI A</v>
      </c>
      <c r="F182" s="26" t="str">
        <f t="array" ref="F1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2" s="26" t="str">
        <f t="array" ref="G1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2" s="26">
        <f t="array" ref="H182">IF(
MOD(ROW()-2,6)=0,
INDEX('Form Responses'!I:I,INT((ROW()-2)/6)+2),
"-- NA --"
)</f>
        <v>8248914818</v>
      </c>
      <c r="I182" s="32" t="str">
        <f t="array" ref="I182">IF(
MOD(ROW()-2,6)=0,
INDEX('Form Responses'!J:J,INT((ROW()-2)/6)+2),
"-- NA --"
)</f>
        <v>kaviyasri.a2025cse@sece.ac.in</v>
      </c>
      <c r="J182" s="29" t="str">
        <f t="array" ref="J182">INDEX('Form Responses'!$D:$D,INT((ROW()-2)/6)+2)</f>
        <v>Software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26">
        <v>182.0</v>
      </c>
      <c r="B183" s="33"/>
      <c r="C183" s="26" t="s">
        <v>282</v>
      </c>
      <c r="D183" s="26" t="str">
        <f t="array" ref="D1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25CS094</v>
      </c>
      <c r="E183" s="32" t="str">
        <f t="array" ref="E1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KARNIKA P A</v>
      </c>
      <c r="F183" s="26" t="str">
        <f t="array" ref="F1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3" s="26" t="str">
        <f t="array" ref="G1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3" s="26" t="str">
        <f t="array" ref="H183">IF(
MOD(ROW()-2,6)=0,
INDEX('Form Responses'!I:I,INT((ROW()-2)/6)+2),
"-- NA --"
)</f>
        <v>-- NA --</v>
      </c>
      <c r="I183" s="32" t="str">
        <f t="array" ref="I183">IF(
MOD(ROW()-2,6)=0,
INDEX('Form Responses'!J:J,INT((ROW()-2)/6)+2),
"-- NA --"
)</f>
        <v>-- NA --</v>
      </c>
      <c r="J183" s="3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26">
        <v>183.0</v>
      </c>
      <c r="B184" s="33"/>
      <c r="C184" s="26" t="s">
        <v>385</v>
      </c>
      <c r="D184" s="26" t="str">
        <f t="array" ref="D1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25CS111</v>
      </c>
      <c r="E184" s="32" t="str">
        <f t="array" ref="E1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LAKKEYTHA S</v>
      </c>
      <c r="F184" s="26" t="str">
        <f t="array" ref="F1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4" s="26" t="str">
        <f t="array" ref="G1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4" s="26" t="str">
        <f t="array" ref="H184">IF(
MOD(ROW()-2,6)=0,
INDEX('Form Responses'!I:I,INT((ROW()-2)/6)+2),
"-- NA --"
)</f>
        <v>-- NA --</v>
      </c>
      <c r="I184" s="32" t="str">
        <f t="array" ref="I184">IF(
MOD(ROW()-2,6)=0,
INDEX('Form Responses'!J:J,INT((ROW()-2)/6)+2),
"-- NA --"
)</f>
        <v>-- NA --</v>
      </c>
      <c r="J184" s="3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26">
        <v>184.0</v>
      </c>
      <c r="B185" s="33"/>
      <c r="C185" s="26" t="s">
        <v>425</v>
      </c>
      <c r="D185" s="26" t="str">
        <f t="array" ref="D1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25CS112</v>
      </c>
      <c r="E185" s="32" t="str">
        <f t="array" ref="E1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LAKSHA S</v>
      </c>
      <c r="F185" s="26" t="str">
        <f t="array" ref="F1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5" s="26" t="str">
        <f t="array" ref="G1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5" s="26" t="str">
        <f t="array" ref="H185">IF(
MOD(ROW()-2,6)=0,
INDEX('Form Responses'!I:I,INT((ROW()-2)/6)+2),
"-- NA --"
)</f>
        <v>-- NA --</v>
      </c>
      <c r="I185" s="32" t="str">
        <f t="array" ref="I185">IF(
MOD(ROW()-2,6)=0,
INDEX('Form Responses'!J:J,INT((ROW()-2)/6)+2),
"-- NA --"
)</f>
        <v>-- NA --</v>
      </c>
      <c r="J185" s="3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26">
        <v>185.0</v>
      </c>
      <c r="B186" s="33"/>
      <c r="C186" s="26" t="s">
        <v>464</v>
      </c>
      <c r="D186" s="26" t="str">
        <f t="array" ref="D1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25CS109</v>
      </c>
      <c r="E186" s="32" t="str">
        <f t="array" ref="E1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KOWSHIKA K</v>
      </c>
      <c r="F186" s="26" t="str">
        <f t="array" ref="F1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6" s="26" t="str">
        <f t="array" ref="G1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86" s="26" t="str">
        <f t="array" ref="H186">IF(
MOD(ROW()-2,6)=0,
INDEX('Form Responses'!I:I,INT((ROW()-2)/6)+2),
"-- NA --"
)</f>
        <v>-- NA --</v>
      </c>
      <c r="I186" s="32" t="str">
        <f t="array" ref="I186">IF(
MOD(ROW()-2,6)=0,
INDEX('Form Responses'!J:J,INT((ROW()-2)/6)+2),
"-- NA --"
)</f>
        <v>-- NA --</v>
      </c>
      <c r="J186" s="3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26">
        <v>186.0</v>
      </c>
      <c r="B187" s="6"/>
      <c r="C187" s="26" t="s">
        <v>500</v>
      </c>
      <c r="D187" s="26" t="str">
        <f t="array" ref="D1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25EC060</v>
      </c>
      <c r="E187" s="32" t="str">
        <f t="array" ref="E1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ISWARYALAKSHMI R</v>
      </c>
      <c r="F187" s="26" t="str">
        <f t="array" ref="F1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7" s="26" t="str">
        <f t="array" ref="G1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87" s="26" t="str">
        <f t="array" ref="H187">IF(
MOD(ROW()-2,6)=0,
INDEX('Form Responses'!I:I,INT((ROW()-2)/6)+2),
"-- NA --"
)</f>
        <v>-- NA --</v>
      </c>
      <c r="I187" s="32" t="str">
        <f t="array" ref="I187">IF(
MOD(ROW()-2,6)=0,
INDEX('Form Responses'!J:J,INT((ROW()-2)/6)+2),
"-- NA --"
)</f>
        <v>-- NA --</v>
      </c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26">
        <v>187.0</v>
      </c>
      <c r="B188" s="29" t="str">
        <f t="array" ref="B188">INDEX('Form Responses'!$C:$C,INT((ROW()-2)/6)+2)</f>
        <v>FORGEX</v>
      </c>
      <c r="C188" s="31" t="s">
        <v>140</v>
      </c>
      <c r="D188" s="26" t="str">
        <f t="array" ref="D1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25EC141</v>
      </c>
      <c r="E188" s="32" t="str">
        <f t="array" ref="E1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SANJANAA S R</v>
      </c>
      <c r="F188" s="26" t="str">
        <f t="array" ref="F1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8" s="26" t="str">
        <f t="array" ref="G1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88" s="26">
        <f t="array" ref="H188">IF(
MOD(ROW()-2,6)=0,
INDEX('Form Responses'!I:I,INT((ROW()-2)/6)+2),
"-- NA --"
)</f>
        <v>6381417054</v>
      </c>
      <c r="I188" s="32" t="str">
        <f t="array" ref="I188">IF(
MOD(ROW()-2,6)=0,
INDEX('Form Responses'!J:J,INT((ROW()-2)/6)+2),
"-- NA --"
)</f>
        <v>sanjanaa.sr2025ece@sece.ac.in</v>
      </c>
      <c r="J188" s="29" t="str">
        <f t="array" ref="J188">INDEX('Form Responses'!$D:$D,INT((ROW()-2)/6)+2)</f>
        <v>Hardware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26">
        <v>188.0</v>
      </c>
      <c r="B189" s="33"/>
      <c r="C189" s="26" t="s">
        <v>282</v>
      </c>
      <c r="D189" s="26" t="str">
        <f t="array" ref="D1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25EC162</v>
      </c>
      <c r="E189" s="32" t="str">
        <f t="array" ref="E1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SRIRAM G</v>
      </c>
      <c r="F189" s="26" t="str">
        <f t="array" ref="F1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89" s="26" t="str">
        <f t="array" ref="G1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89" s="26" t="str">
        <f t="array" ref="H189">IF(
MOD(ROW()-2,6)=0,
INDEX('Form Responses'!I:I,INT((ROW()-2)/6)+2),
"-- NA --"
)</f>
        <v>-- NA --</v>
      </c>
      <c r="I189" s="32" t="str">
        <f t="array" ref="I189">IF(
MOD(ROW()-2,6)=0,
INDEX('Form Responses'!J:J,INT((ROW()-2)/6)+2),
"-- NA --"
)</f>
        <v>-- NA --</v>
      </c>
      <c r="J189" s="3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26">
        <v>189.0</v>
      </c>
      <c r="B190" s="33"/>
      <c r="C190" s="26" t="s">
        <v>385</v>
      </c>
      <c r="D190" s="26" t="str">
        <f t="array" ref="D1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25EC185</v>
      </c>
      <c r="E190" s="32" t="str">
        <f t="array" ref="E1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VISHWA S</v>
      </c>
      <c r="F190" s="26" t="str">
        <f t="array" ref="F1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90" s="26" t="str">
        <f t="array" ref="G1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90" s="26" t="str">
        <f t="array" ref="H190">IF(
MOD(ROW()-2,6)=0,
INDEX('Form Responses'!I:I,INT((ROW()-2)/6)+2),
"-- NA --"
)</f>
        <v>-- NA --</v>
      </c>
      <c r="I190" s="32" t="str">
        <f t="array" ref="I190">IF(
MOD(ROW()-2,6)=0,
INDEX('Form Responses'!J:J,INT((ROW()-2)/6)+2),
"-- NA --"
)</f>
        <v>-- NA --</v>
      </c>
      <c r="J190" s="3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26">
        <v>190.0</v>
      </c>
      <c r="B191" s="33"/>
      <c r="C191" s="26" t="s">
        <v>425</v>
      </c>
      <c r="D191" s="26" t="str">
        <f t="array" ref="D1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25AD184</v>
      </c>
      <c r="E191" s="32" t="str">
        <f t="array" ref="E1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SANTHOSH KUMAR P</v>
      </c>
      <c r="F191" s="26" t="str">
        <f t="array" ref="F1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91" s="26" t="str">
        <f t="array" ref="G1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91" s="26" t="str">
        <f t="array" ref="H191">IF(
MOD(ROW()-2,6)=0,
INDEX('Form Responses'!I:I,INT((ROW()-2)/6)+2),
"-- NA --"
)</f>
        <v>-- NA --</v>
      </c>
      <c r="I191" s="32" t="str">
        <f t="array" ref="I191">IF(
MOD(ROW()-2,6)=0,
INDEX('Form Responses'!J:J,INT((ROW()-2)/6)+2),
"-- NA --"
)</f>
        <v>-- NA --</v>
      </c>
      <c r="J191" s="3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26">
        <v>191.0</v>
      </c>
      <c r="B192" s="33"/>
      <c r="C192" s="26" t="s">
        <v>464</v>
      </c>
      <c r="D192" s="26" t="str">
        <f t="array" ref="D1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25AD188</v>
      </c>
      <c r="E192" s="32" t="str">
        <f t="array" ref="E1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SASMITHA R</v>
      </c>
      <c r="F192" s="26" t="str">
        <f t="array" ref="F1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92" s="26" t="str">
        <f t="array" ref="G1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92" s="26" t="str">
        <f t="array" ref="H192">IF(
MOD(ROW()-2,6)=0,
INDEX('Form Responses'!I:I,INT((ROW()-2)/6)+2),
"-- NA --"
)</f>
        <v>-- NA --</v>
      </c>
      <c r="I192" s="32" t="str">
        <f t="array" ref="I192">IF(
MOD(ROW()-2,6)=0,
INDEX('Form Responses'!J:J,INT((ROW()-2)/6)+2),
"-- NA --"
)</f>
        <v>-- NA --</v>
      </c>
      <c r="J192" s="3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26">
        <v>192.0</v>
      </c>
      <c r="B193" s="6"/>
      <c r="C193" s="26" t="s">
        <v>500</v>
      </c>
      <c r="D193" s="26" t="str">
        <f t="array" ref="D1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25EC130</v>
      </c>
      <c r="E193" s="32" t="str">
        <f t="array" ref="E1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PRISCILLA D</v>
      </c>
      <c r="F193" s="26" t="str">
        <f t="array" ref="F1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93" s="26" t="str">
        <f t="array" ref="G1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93" s="26" t="str">
        <f t="array" ref="H193">IF(
MOD(ROW()-2,6)=0,
INDEX('Form Responses'!I:I,INT((ROW()-2)/6)+2),
"-- NA --"
)</f>
        <v>-- NA --</v>
      </c>
      <c r="I193" s="32" t="str">
        <f t="array" ref="I193">IF(
MOD(ROW()-2,6)=0,
INDEX('Form Responses'!J:J,INT((ROW()-2)/6)+2),
"-- NA --"
)</f>
        <v>-- NA --</v>
      </c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26">
        <v>193.0</v>
      </c>
      <c r="B194" s="29" t="str">
        <f t="array" ref="B194">INDEX('Form Responses'!$C:$C,INT((ROW()-2)/6)+2)</f>
        <v>PROJECT POSSIBLE </v>
      </c>
      <c r="C194" s="31" t="s">
        <v>140</v>
      </c>
      <c r="D194" s="26" t="str">
        <f t="array" ref="D1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24CS129</v>
      </c>
      <c r="E194" s="32" t="str">
        <f t="array" ref="E1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MANISH BASNET</v>
      </c>
      <c r="F194" s="26" t="str">
        <f t="array" ref="F1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4" s="26" t="str">
        <f t="array" ref="G1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4" s="26">
        <f t="array" ref="H194">IF(
MOD(ROW()-2,6)=0,
INDEX('Form Responses'!I:I,INT((ROW()-2)/6)+2),
"-- NA --"
)</f>
        <v>7342718702</v>
      </c>
      <c r="I194" s="32" t="str">
        <f t="array" ref="I194">IF(
MOD(ROW()-2,6)=0,
INDEX('Form Responses'!J:J,INT((ROW()-2)/6)+2),
"-- NA --"
)</f>
        <v>manishbasnet.2024cse@sece.ac.in</v>
      </c>
      <c r="J194" s="29" t="str">
        <f t="array" ref="J194">INDEX('Form Responses'!$D:$D,INT((ROW()-2)/6)+2)</f>
        <v>Software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26">
        <v>194.0</v>
      </c>
      <c r="B195" s="33"/>
      <c r="C195" s="26" t="s">
        <v>282</v>
      </c>
      <c r="D195" s="26" t="str">
        <f t="array" ref="D1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24CS025</v>
      </c>
      <c r="E195" s="32" t="str">
        <f t="array" ref="E1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ASHOK TAMATA</v>
      </c>
      <c r="F195" s="26" t="str">
        <f t="array" ref="F1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5" s="26" t="str">
        <f t="array" ref="G1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5" s="26" t="str">
        <f t="array" ref="H195">IF(
MOD(ROW()-2,6)=0,
INDEX('Form Responses'!I:I,INT((ROW()-2)/6)+2),
"-- NA --"
)</f>
        <v>-- NA --</v>
      </c>
      <c r="I195" s="32" t="str">
        <f t="array" ref="I195">IF(
MOD(ROW()-2,6)=0,
INDEX('Form Responses'!J:J,INT((ROW()-2)/6)+2),
"-- NA --"
)</f>
        <v>-- NA --</v>
      </c>
      <c r="J195" s="3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26">
        <v>195.0</v>
      </c>
      <c r="B196" s="33"/>
      <c r="C196" s="26" t="s">
        <v>385</v>
      </c>
      <c r="D196" s="26" t="str">
        <f t="array" ref="D1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24CS015</v>
      </c>
      <c r="E196" s="32" t="str">
        <f t="array" ref="E1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AMAN KARN</v>
      </c>
      <c r="F196" s="26" t="str">
        <f t="array" ref="F1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6" s="26" t="str">
        <f t="array" ref="G1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6" s="26" t="str">
        <f t="array" ref="H196">IF(
MOD(ROW()-2,6)=0,
INDEX('Form Responses'!I:I,INT((ROW()-2)/6)+2),
"-- NA --"
)</f>
        <v>-- NA --</v>
      </c>
      <c r="I196" s="32" t="str">
        <f t="array" ref="I196">IF(
MOD(ROW()-2,6)=0,
INDEX('Form Responses'!J:J,INT((ROW()-2)/6)+2),
"-- NA --"
)</f>
        <v>-- NA --</v>
      </c>
      <c r="J196" s="3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26">
        <v>196.0</v>
      </c>
      <c r="B197" s="33"/>
      <c r="C197" s="26" t="s">
        <v>425</v>
      </c>
      <c r="D197" s="26" t="str">
        <f t="array" ref="D1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24CS029</v>
      </c>
      <c r="E197" s="32" t="str">
        <f t="array" ref="E1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BARANEETHARAN</v>
      </c>
      <c r="F197" s="26" t="str">
        <f t="array" ref="F1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7" s="26" t="str">
        <f t="array" ref="G1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7" s="26" t="str">
        <f t="array" ref="H197">IF(
MOD(ROW()-2,6)=0,
INDEX('Form Responses'!I:I,INT((ROW()-2)/6)+2),
"-- NA --"
)</f>
        <v>-- NA --</v>
      </c>
      <c r="I197" s="32" t="str">
        <f t="array" ref="I197">IF(
MOD(ROW()-2,6)=0,
INDEX('Form Responses'!J:J,INT((ROW()-2)/6)+2),
"-- NA --"
)</f>
        <v>-- NA --</v>
      </c>
      <c r="J197" s="3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26">
        <v>197.0</v>
      </c>
      <c r="B198" s="33"/>
      <c r="C198" s="26" t="s">
        <v>464</v>
      </c>
      <c r="D198" s="26" t="str">
        <f t="array" ref="D1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24CS002</v>
      </c>
      <c r="E198" s="32" t="str">
        <f t="array" ref="E1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AASTHA GUPTA</v>
      </c>
      <c r="F198" s="26" t="str">
        <f t="array" ref="F1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8" s="26" t="str">
        <f t="array" ref="G1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8" s="26" t="str">
        <f t="array" ref="H198">IF(
MOD(ROW()-2,6)=0,
INDEX('Form Responses'!I:I,INT((ROW()-2)/6)+2),
"-- NA --"
)</f>
        <v>-- NA --</v>
      </c>
      <c r="I198" s="32" t="str">
        <f t="array" ref="I198">IF(
MOD(ROW()-2,6)=0,
INDEX('Form Responses'!J:J,INT((ROW()-2)/6)+2),
"-- NA --"
)</f>
        <v>-- NA --</v>
      </c>
      <c r="J198" s="3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26">
        <v>198.0</v>
      </c>
      <c r="B199" s="6"/>
      <c r="C199" s="26" t="s">
        <v>500</v>
      </c>
      <c r="D199" s="26" t="str">
        <f t="array" ref="D1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24CS044</v>
      </c>
      <c r="E199" s="32" t="str">
        <f t="array" ref="E1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B</v>
      </c>
      <c r="F199" s="26" t="str">
        <f t="array" ref="F1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99" s="26" t="str">
        <f t="array" ref="G1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99" s="26" t="str">
        <f t="array" ref="H199">IF(
MOD(ROW()-2,6)=0,
INDEX('Form Responses'!I:I,INT((ROW()-2)/6)+2),
"-- NA --"
)</f>
        <v>-- NA --</v>
      </c>
      <c r="I199" s="32" t="str">
        <f t="array" ref="I199">IF(
MOD(ROW()-2,6)=0,
INDEX('Form Responses'!J:J,INT((ROW()-2)/6)+2),
"-- NA --"
)</f>
        <v>-- NA --</v>
      </c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26">
        <v>199.0</v>
      </c>
      <c r="B200" s="29" t="str">
        <f t="array" ref="B200">INDEX('Form Responses'!$C:$C,INT((ROW()-2)/6)+2)</f>
        <v>AQUAVISION</v>
      </c>
      <c r="C200" s="31" t="s">
        <v>140</v>
      </c>
      <c r="D200" s="26" t="str">
        <f t="array" ref="D2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25EC074</v>
      </c>
      <c r="E200" s="32" t="str">
        <f t="array" ref="E2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 S S G </v>
      </c>
      <c r="F200" s="26" t="str">
        <f t="array" ref="F2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0" s="26" t="str">
        <f t="array" ref="G2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0" s="26">
        <f t="array" ref="H200">IF(
MOD(ROW()-2,6)=0,
INDEX('Form Responses'!I:I,INT((ROW()-2)/6)+2),
"-- NA --"
)</f>
        <v>8778893145</v>
      </c>
      <c r="I200" s="32" t="str">
        <f t="array" ref="I200">IF(
MOD(ROW()-2,6)=0,
INDEX('Form Responses'!J:J,INT((ROW()-2)/6)+2),
"-- NA --"
)</f>
        <v>Kavin.ssg2025ece@sece.ac.in</v>
      </c>
      <c r="J200" s="29" t="str">
        <f t="array" ref="J200">INDEX('Form Responses'!$D:$D,INT((ROW()-2)/6)+2)</f>
        <v>Hardware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26">
        <v>200.0</v>
      </c>
      <c r="B201" s="33"/>
      <c r="C201" s="26" t="s">
        <v>282</v>
      </c>
      <c r="D201" s="26" t="str">
        <f t="array" ref="D2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25EC003</v>
      </c>
      <c r="E201" s="32" t="str">
        <f t="array" ref="E2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ABHISHEK C</v>
      </c>
      <c r="F201" s="26" t="str">
        <f t="array" ref="F2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1" s="26" t="str">
        <f t="array" ref="G2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1" s="26" t="str">
        <f t="array" ref="H201">IF(
MOD(ROW()-2,6)=0,
INDEX('Form Responses'!I:I,INT((ROW()-2)/6)+2),
"-- NA --"
)</f>
        <v>-- NA --</v>
      </c>
      <c r="I201" s="32" t="str">
        <f t="array" ref="I201">IF(
MOD(ROW()-2,6)=0,
INDEX('Form Responses'!J:J,INT((ROW()-2)/6)+2),
"-- NA --"
)</f>
        <v>-- NA --</v>
      </c>
      <c r="J201" s="3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26">
        <v>201.0</v>
      </c>
      <c r="B202" s="33"/>
      <c r="C202" s="26" t="s">
        <v>385</v>
      </c>
      <c r="D202" s="26" t="str">
        <f t="array" ref="D2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25EC073</v>
      </c>
      <c r="E202" s="32" t="str">
        <f t="array" ref="E2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 G S</v>
      </c>
      <c r="F202" s="26" t="str">
        <f t="array" ref="F2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2" s="26" t="str">
        <f t="array" ref="G2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2" s="26" t="str">
        <f t="array" ref="H202">IF(
MOD(ROW()-2,6)=0,
INDEX('Form Responses'!I:I,INT((ROW()-2)/6)+2),
"-- NA --"
)</f>
        <v>-- NA --</v>
      </c>
      <c r="I202" s="32" t="str">
        <f t="array" ref="I202">IF(
MOD(ROW()-2,6)=0,
INDEX('Form Responses'!J:J,INT((ROW()-2)/6)+2),
"-- NA --"
)</f>
        <v>-- NA --</v>
      </c>
      <c r="J202" s="3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26">
        <v>202.0</v>
      </c>
      <c r="B203" s="33"/>
      <c r="C203" s="26" t="s">
        <v>425</v>
      </c>
      <c r="D203" s="26" t="str">
        <f t="array" ref="D2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25EC069</v>
      </c>
      <c r="E203" s="32" t="str">
        <f t="array" ref="E2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KARTHEGAEYEN K</v>
      </c>
      <c r="F203" s="26" t="str">
        <f t="array" ref="F2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3" s="26" t="str">
        <f t="array" ref="G2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3" s="26" t="str">
        <f t="array" ref="H203">IF(
MOD(ROW()-2,6)=0,
INDEX('Form Responses'!I:I,INT((ROW()-2)/6)+2),
"-- NA --"
)</f>
        <v>-- NA --</v>
      </c>
      <c r="I203" s="32" t="str">
        <f t="array" ref="I203">IF(
MOD(ROW()-2,6)=0,
INDEX('Form Responses'!J:J,INT((ROW()-2)/6)+2),
"-- NA --"
)</f>
        <v>-- NA --</v>
      </c>
      <c r="J203" s="3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26">
        <v>203.0</v>
      </c>
      <c r="B204" s="33"/>
      <c r="C204" s="26" t="s">
        <v>464</v>
      </c>
      <c r="D204" s="26" t="str">
        <f t="array" ref="D2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25AD073</v>
      </c>
      <c r="E204" s="32" t="str">
        <f t="array" ref="E2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INFANT CELSIYA T</v>
      </c>
      <c r="F204" s="26" t="str">
        <f t="array" ref="F2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4" s="26" t="str">
        <f t="array" ref="G2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04" s="26" t="str">
        <f t="array" ref="H204">IF(
MOD(ROW()-2,6)=0,
INDEX('Form Responses'!I:I,INT((ROW()-2)/6)+2),
"-- NA --"
)</f>
        <v>-- NA --</v>
      </c>
      <c r="I204" s="32" t="str">
        <f t="array" ref="I204">IF(
MOD(ROW()-2,6)=0,
INDEX('Form Responses'!J:J,INT((ROW()-2)/6)+2),
"-- NA --"
)</f>
        <v>-- NA --</v>
      </c>
      <c r="J204" s="3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26">
        <v>204.0</v>
      </c>
      <c r="B205" s="6"/>
      <c r="C205" s="26" t="s">
        <v>500</v>
      </c>
      <c r="D205" s="26" t="str">
        <f t="array" ref="D2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25AM097</v>
      </c>
      <c r="E205" s="32" t="str">
        <f t="array" ref="E2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SHREE VARSHINI L </v>
      </c>
      <c r="F205" s="26" t="str">
        <f t="array" ref="F2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05" s="26" t="str">
        <f t="array" ref="G2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05" s="26" t="str">
        <f t="array" ref="H205">IF(
MOD(ROW()-2,6)=0,
INDEX('Form Responses'!I:I,INT((ROW()-2)/6)+2),
"-- NA --"
)</f>
        <v>-- NA --</v>
      </c>
      <c r="I205" s="32" t="str">
        <f t="array" ref="I205">IF(
MOD(ROW()-2,6)=0,
INDEX('Form Responses'!J:J,INT((ROW()-2)/6)+2),
"-- NA --"
)</f>
        <v>-- NA --</v>
      </c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26">
        <v>205.0</v>
      </c>
      <c r="B206" s="29" t="str">
        <f t="array" ref="B206">INDEX('Form Responses'!$C:$C,INT((ROW()-2)/6)+2)</f>
        <v>SUBHAM KUMAR BEHERA </v>
      </c>
      <c r="C206" s="31" t="s">
        <v>140</v>
      </c>
      <c r="D206" s="26" t="str">
        <f t="array" ref="D2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24EC162</v>
      </c>
      <c r="E206" s="32" t="str">
        <f t="array" ref="E2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SUBHAM KUMAR BEHERA </v>
      </c>
      <c r="F206" s="26" t="str">
        <f t="array" ref="F2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06" s="26" t="str">
        <f t="array" ref="G2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6" s="26">
        <f t="array" ref="H206">IF(
MOD(ROW()-2,6)=0,
INDEX('Form Responses'!I:I,INT((ROW()-2)/6)+2),
"-- NA --"
)</f>
        <v>8778609310</v>
      </c>
      <c r="I206" s="32" t="str">
        <f t="array" ref="I206">IF(
MOD(ROW()-2,6)=0,
INDEX('Form Responses'!J:J,INT((ROW()-2)/6)+2),
"-- NA --"
)</f>
        <v>subhamkumarbehera.2024ece@sece.ac.in</v>
      </c>
      <c r="J206" s="29" t="str">
        <f t="array" ref="J206">INDEX('Form Responses'!$D:$D,INT((ROW()-2)/6)+2)</f>
        <v>Hardware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26">
        <v>206.0</v>
      </c>
      <c r="B207" s="33"/>
      <c r="C207" s="26" t="s">
        <v>282</v>
      </c>
      <c r="D207" s="26" t="str">
        <f t="array" ref="D2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24EC156</v>
      </c>
      <c r="E207" s="32" t="str">
        <f t="array" ref="E2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Sridharan S</v>
      </c>
      <c r="F207" s="26" t="str">
        <f t="array" ref="F2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07" s="26" t="str">
        <f t="array" ref="G2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7" s="26" t="str">
        <f t="array" ref="H207">IF(
MOD(ROW()-2,6)=0,
INDEX('Form Responses'!I:I,INT((ROW()-2)/6)+2),
"-- NA --"
)</f>
        <v>-- NA --</v>
      </c>
      <c r="I207" s="32" t="str">
        <f t="array" ref="I207">IF(
MOD(ROW()-2,6)=0,
INDEX('Form Responses'!J:J,INT((ROW()-2)/6)+2),
"-- NA --"
)</f>
        <v>-- NA --</v>
      </c>
      <c r="J207" s="3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26">
        <v>207.0</v>
      </c>
      <c r="B208" s="33"/>
      <c r="C208" s="26" t="s">
        <v>385</v>
      </c>
      <c r="D208" s="26" t="str">
        <f t="array" ref="D2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24EC155</v>
      </c>
      <c r="E208" s="32" t="str">
        <f t="array" ref="E2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Sridhar E</v>
      </c>
      <c r="F208" s="26" t="str">
        <f t="array" ref="F2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08" s="26" t="str">
        <f t="array" ref="G2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8" s="26" t="str">
        <f t="array" ref="H208">IF(
MOD(ROW()-2,6)=0,
INDEX('Form Responses'!I:I,INT((ROW()-2)/6)+2),
"-- NA --"
)</f>
        <v>-- NA --</v>
      </c>
      <c r="I208" s="32" t="str">
        <f t="array" ref="I208">IF(
MOD(ROW()-2,6)=0,
INDEX('Form Responses'!J:J,INT((ROW()-2)/6)+2),
"-- NA --"
)</f>
        <v>-- NA --</v>
      </c>
      <c r="J208" s="3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26">
        <v>208.0</v>
      </c>
      <c r="B209" s="33"/>
      <c r="C209" s="26" t="s">
        <v>425</v>
      </c>
      <c r="D209" s="26" t="str">
        <f t="array" ref="D2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24EC302</v>
      </c>
      <c r="E209" s="32" t="str">
        <f t="array" ref="E2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Dharaneesh M</v>
      </c>
      <c r="F209" s="26" t="str">
        <f t="array" ref="F2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09" s="26" t="str">
        <f t="array" ref="G2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09" s="26" t="str">
        <f t="array" ref="H209">IF(
MOD(ROW()-2,6)=0,
INDEX('Form Responses'!I:I,INT((ROW()-2)/6)+2),
"-- NA --"
)</f>
        <v>-- NA --</v>
      </c>
      <c r="I209" s="32" t="str">
        <f t="array" ref="I209">IF(
MOD(ROW()-2,6)=0,
INDEX('Form Responses'!J:J,INT((ROW()-2)/6)+2),
"-- NA --"
)</f>
        <v>-- NA --</v>
      </c>
      <c r="J209" s="3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26">
        <v>209.0</v>
      </c>
      <c r="B210" s="33"/>
      <c r="C210" s="26" t="s">
        <v>464</v>
      </c>
      <c r="D210" s="26" t="str">
        <f t="array" ref="D2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24AD011</v>
      </c>
      <c r="E210" s="32" t="str">
        <f t="array" ref="E2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Ahamed Atheep K</v>
      </c>
      <c r="F210" s="26" t="str">
        <f t="array" ref="F2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10" s="26" t="str">
        <f t="array" ref="G2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0" s="26" t="str">
        <f t="array" ref="H210">IF(
MOD(ROW()-2,6)=0,
INDEX('Form Responses'!I:I,INT((ROW()-2)/6)+2),
"-- NA --"
)</f>
        <v>-- NA --</v>
      </c>
      <c r="I210" s="32" t="str">
        <f t="array" ref="I210">IF(
MOD(ROW()-2,6)=0,
INDEX('Form Responses'!J:J,INT((ROW()-2)/6)+2),
"-- NA --"
)</f>
        <v>-- NA --</v>
      </c>
      <c r="J210" s="3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26">
        <v>210.0</v>
      </c>
      <c r="B211" s="6"/>
      <c r="C211" s="26" t="s">
        <v>500</v>
      </c>
      <c r="D211" s="26" t="str">
        <f t="array" ref="D2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24AD130</v>
      </c>
      <c r="E211" s="32" t="str">
        <f t="array" ref="E2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Monika S</v>
      </c>
      <c r="F211" s="26" t="str">
        <f t="array" ref="F2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11" s="26" t="str">
        <f t="array" ref="G2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1" s="26" t="str">
        <f t="array" ref="H211">IF(
MOD(ROW()-2,6)=0,
INDEX('Form Responses'!I:I,INT((ROW()-2)/6)+2),
"-- NA --"
)</f>
        <v>-- NA --</v>
      </c>
      <c r="I211" s="32" t="str">
        <f t="array" ref="I211">IF(
MOD(ROW()-2,6)=0,
INDEX('Form Responses'!J:J,INT((ROW()-2)/6)+2),
"-- NA --"
)</f>
        <v>-- NA --</v>
      </c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26">
        <v>211.0</v>
      </c>
      <c r="B212" s="29" t="str">
        <f t="array" ref="B212">INDEX('Form Responses'!$C:$C,INT((ROW()-2)/6)+2)</f>
        <v>TRIFID CODERS</v>
      </c>
      <c r="C212" s="31" t="s">
        <v>140</v>
      </c>
      <c r="D212" s="26" t="str">
        <f t="array" ref="D2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24AD187</v>
      </c>
      <c r="E212" s="32" t="str">
        <f t="array" ref="E2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VIKAS R</v>
      </c>
      <c r="F212" s="26" t="str">
        <f t="array" ref="F2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12" s="26" t="str">
        <f t="array" ref="G2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2" s="26">
        <f t="array" ref="H212">IF(
MOD(ROW()-2,6)=0,
INDEX('Form Responses'!I:I,INT((ROW()-2)/6)+2),
"-- NA --"
)</f>
        <v>9361006457</v>
      </c>
      <c r="I212" s="32" t="str">
        <f t="array" ref="I212">IF(
MOD(ROW()-2,6)=0,
INDEX('Form Responses'!J:J,INT((ROW()-2)/6)+2),
"-- NA --"
)</f>
        <v>sanjayvikas.r2024aids@sece.ac.in</v>
      </c>
      <c r="J212" s="29" t="str">
        <f t="array" ref="J212">INDEX('Form Responses'!$D:$D,INT((ROW()-2)/6)+2)</f>
        <v>Software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26">
        <v>212.0</v>
      </c>
      <c r="B213" s="33"/>
      <c r="C213" s="26" t="s">
        <v>282</v>
      </c>
      <c r="D213" s="26" t="str">
        <f t="array" ref="D2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25AD212</v>
      </c>
      <c r="E213" s="32" t="str">
        <f t="array" ref="E2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SUPPRIYAA T </v>
      </c>
      <c r="F213" s="26" t="str">
        <f t="array" ref="F2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3" s="26" t="str">
        <f t="array" ref="G2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3" s="26" t="str">
        <f t="array" ref="H213">IF(
MOD(ROW()-2,6)=0,
INDEX('Form Responses'!I:I,INT((ROW()-2)/6)+2),
"-- NA --"
)</f>
        <v>-- NA --</v>
      </c>
      <c r="I213" s="32" t="str">
        <f t="array" ref="I213">IF(
MOD(ROW()-2,6)=0,
INDEX('Form Responses'!J:J,INT((ROW()-2)/6)+2),
"-- NA --"
)</f>
        <v>-- NA --</v>
      </c>
      <c r="J213" s="3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26">
        <v>213.0</v>
      </c>
      <c r="B214" s="33"/>
      <c r="C214" s="26" t="s">
        <v>385</v>
      </c>
      <c r="D214" s="26" t="str">
        <f t="array" ref="D2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25EC163</v>
      </c>
      <c r="E214" s="32" t="str">
        <f t="array" ref="E2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SRITIKA</v>
      </c>
      <c r="F214" s="26" t="str">
        <f t="array" ref="F2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4" s="26" t="str">
        <f t="array" ref="G2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14" s="26" t="str">
        <f t="array" ref="H214">IF(
MOD(ROW()-2,6)=0,
INDEX('Form Responses'!I:I,INT((ROW()-2)/6)+2),
"-- NA --"
)</f>
        <v>-- NA --</v>
      </c>
      <c r="I214" s="32" t="str">
        <f t="array" ref="I214">IF(
MOD(ROW()-2,6)=0,
INDEX('Form Responses'!J:J,INT((ROW()-2)/6)+2),
"-- NA --"
)</f>
        <v>-- NA --</v>
      </c>
      <c r="J214" s="3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26">
        <v>214.0</v>
      </c>
      <c r="B215" s="33"/>
      <c r="C215" s="26" t="s">
        <v>425</v>
      </c>
      <c r="D215" s="26" t="str">
        <f t="array" ref="D2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24AD304</v>
      </c>
      <c r="E215" s="32" t="str">
        <f t="array" ref="E2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KIRUBA SANKAR </v>
      </c>
      <c r="F215" s="26" t="str">
        <f t="array" ref="F2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15" s="26" t="str">
        <f t="array" ref="G2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5" s="26" t="str">
        <f t="array" ref="H215">IF(
MOD(ROW()-2,6)=0,
INDEX('Form Responses'!I:I,INT((ROW()-2)/6)+2),
"-- NA --"
)</f>
        <v>-- NA --</v>
      </c>
      <c r="I215" s="32" t="str">
        <f t="array" ref="I215">IF(
MOD(ROW()-2,6)=0,
INDEX('Form Responses'!J:J,INT((ROW()-2)/6)+2),
"-- NA --"
)</f>
        <v>-- NA --</v>
      </c>
      <c r="J215" s="3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26">
        <v>215.0</v>
      </c>
      <c r="B216" s="33"/>
      <c r="C216" s="26" t="s">
        <v>464</v>
      </c>
      <c r="D216" s="26" t="str">
        <f t="array" ref="D2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25EC160</v>
      </c>
      <c r="E216" s="32" t="str">
        <f t="array" ref="E2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HARI VARSHINI </v>
      </c>
      <c r="F216" s="26" t="str">
        <f t="array" ref="F2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6" s="26" t="str">
        <f t="array" ref="G2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16" s="26" t="str">
        <f t="array" ref="H216">IF(
MOD(ROW()-2,6)=0,
INDEX('Form Responses'!I:I,INT((ROW()-2)/6)+2),
"-- NA --"
)</f>
        <v>-- NA --</v>
      </c>
      <c r="I216" s="32" t="str">
        <f t="array" ref="I216">IF(
MOD(ROW()-2,6)=0,
INDEX('Form Responses'!J:J,INT((ROW()-2)/6)+2),
"-- NA --"
)</f>
        <v>-- NA --</v>
      </c>
      <c r="J216" s="3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26">
        <v>216.0</v>
      </c>
      <c r="B217" s="6"/>
      <c r="C217" s="26" t="s">
        <v>500</v>
      </c>
      <c r="D217" s="26" t="str">
        <f t="array" ref="D2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entry </v>
      </c>
      <c r="E217" s="32" t="str">
        <f t="array" ref="E2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RAGAV AANANTH S K</v>
      </c>
      <c r="F217" s="26" t="str">
        <f t="array" ref="F2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7" s="26" t="str">
        <f t="array" ref="G2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17" s="26" t="str">
        <f t="array" ref="H217">IF(
MOD(ROW()-2,6)=0,
INDEX('Form Responses'!I:I,INT((ROW()-2)/6)+2),
"-- NA --"
)</f>
        <v>-- NA --</v>
      </c>
      <c r="I217" s="32" t="str">
        <f t="array" ref="I217">IF(
MOD(ROW()-2,6)=0,
INDEX('Form Responses'!J:J,INT((ROW()-2)/6)+2),
"-- NA --"
)</f>
        <v>-- NA --</v>
      </c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26">
        <v>217.0</v>
      </c>
      <c r="B218" s="29" t="str">
        <f t="array" ref="B218">INDEX('Form Responses'!$C:$C,INT((ROW()-2)/6)+2)</f>
        <v>CRIMSON GUARDIANS</v>
      </c>
      <c r="C218" s="31" t="s">
        <v>140</v>
      </c>
      <c r="D218" s="26" t="str">
        <f t="array" ref="D2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25IT018</v>
      </c>
      <c r="E218" s="32" t="str">
        <f t="array" ref="E2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HARIHARAN B</v>
      </c>
      <c r="F218" s="26" t="str">
        <f t="array" ref="F2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8" s="26" t="str">
        <f t="array" ref="G2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18" s="26">
        <f t="array" ref="H218">IF(
MOD(ROW()-2,6)=0,
INDEX('Form Responses'!I:I,INT((ROW()-2)/6)+2),
"-- NA --"
)</f>
        <v>6385343034</v>
      </c>
      <c r="I218" s="32" t="str">
        <f t="array" ref="I218">IF(
MOD(ROW()-2,6)=0,
INDEX('Form Responses'!J:J,INT((ROW()-2)/6)+2),
"-- NA --"
)</f>
        <v>hariharan.b2025it@sece.ac.in</v>
      </c>
      <c r="J218" s="29" t="str">
        <f t="array" ref="J218">INDEX('Form Responses'!$D:$D,INT((ROW()-2)/6)+2)</f>
        <v>Software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26">
        <v>218.0</v>
      </c>
      <c r="B219" s="33"/>
      <c r="C219" s="26" t="s">
        <v>282</v>
      </c>
      <c r="D219" s="26" t="str">
        <f t="array" ref="D2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25AM049</v>
      </c>
      <c r="E219" s="32" t="str">
        <f t="array" ref="E2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KARTHIKA DEVI M</v>
      </c>
      <c r="F219" s="26" t="str">
        <f t="array" ref="F2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19" s="26" t="str">
        <f t="array" ref="G2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19" s="26" t="str">
        <f t="array" ref="H219">IF(
MOD(ROW()-2,6)=0,
INDEX('Form Responses'!I:I,INT((ROW()-2)/6)+2),
"-- NA --"
)</f>
        <v>-- NA --</v>
      </c>
      <c r="I219" s="32" t="str">
        <f t="array" ref="I219">IF(
MOD(ROW()-2,6)=0,
INDEX('Form Responses'!J:J,INT((ROW()-2)/6)+2),
"-- NA --"
)</f>
        <v>-- NA --</v>
      </c>
      <c r="J219" s="3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26">
        <v>219.0</v>
      </c>
      <c r="B220" s="33"/>
      <c r="C220" s="26" t="s">
        <v>385</v>
      </c>
      <c r="D220" s="26" t="str">
        <f t="array" ref="D2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25IT002</v>
      </c>
      <c r="E220" s="32" t="str">
        <f t="array" ref="E2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ALTRINE JONES F</v>
      </c>
      <c r="F220" s="26" t="str">
        <f t="array" ref="F2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20" s="26" t="str">
        <f t="array" ref="G2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0" s="26" t="str">
        <f t="array" ref="H220">IF(
MOD(ROW()-2,6)=0,
INDEX('Form Responses'!I:I,INT((ROW()-2)/6)+2),
"-- NA --"
)</f>
        <v>-- NA --</v>
      </c>
      <c r="I220" s="32" t="str">
        <f t="array" ref="I220">IF(
MOD(ROW()-2,6)=0,
INDEX('Form Responses'!J:J,INT((ROW()-2)/6)+2),
"-- NA --"
)</f>
        <v>-- NA --</v>
      </c>
      <c r="J220" s="3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26">
        <v>220.0</v>
      </c>
      <c r="B221" s="33"/>
      <c r="C221" s="26" t="s">
        <v>425</v>
      </c>
      <c r="D221" s="26" t="str">
        <f t="array" ref="D2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25AM048</v>
      </c>
      <c r="E221" s="32" t="str">
        <f t="array" ref="E2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KANIMOZHI U </v>
      </c>
      <c r="F221" s="26" t="str">
        <f t="array" ref="F2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21" s="26" t="str">
        <f t="array" ref="G2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21" s="26" t="str">
        <f t="array" ref="H221">IF(
MOD(ROW()-2,6)=0,
INDEX('Form Responses'!I:I,INT((ROW()-2)/6)+2),
"-- NA --"
)</f>
        <v>-- NA --</v>
      </c>
      <c r="I221" s="32" t="str">
        <f t="array" ref="I221">IF(
MOD(ROW()-2,6)=0,
INDEX('Form Responses'!J:J,INT((ROW()-2)/6)+2),
"-- NA --"
)</f>
        <v>-- NA --</v>
      </c>
      <c r="J221" s="3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26">
        <v>221.0</v>
      </c>
      <c r="B222" s="33"/>
      <c r="C222" s="26" t="s">
        <v>464</v>
      </c>
      <c r="D222" s="26" t="str">
        <f t="array" ref="D2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25IT305</v>
      </c>
      <c r="E222" s="32" t="str">
        <f t="array" ref="E2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V</v>
      </c>
      <c r="F222" s="26" t="str">
        <f t="array" ref="F2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22" s="26" t="str">
        <f t="array" ref="G2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22" s="26" t="str">
        <f t="array" ref="H222">IF(
MOD(ROW()-2,6)=0,
INDEX('Form Responses'!I:I,INT((ROW()-2)/6)+2),
"-- NA --"
)</f>
        <v>-- NA --</v>
      </c>
      <c r="I222" s="32" t="str">
        <f t="array" ref="I222">IF(
MOD(ROW()-2,6)=0,
INDEX('Form Responses'!J:J,INT((ROW()-2)/6)+2),
"-- NA --"
)</f>
        <v>-- NA --</v>
      </c>
      <c r="J222" s="3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26">
        <v>222.0</v>
      </c>
      <c r="B223" s="6"/>
      <c r="C223" s="26" t="s">
        <v>500</v>
      </c>
      <c r="D223" s="26" t="str">
        <f t="array" ref="D2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25IT017</v>
      </c>
      <c r="E223" s="32" t="str">
        <f t="array" ref="E2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GOPALAKRISHNAN P</v>
      </c>
      <c r="F223" s="26" t="str">
        <f t="array" ref="F2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23" s="26" t="str">
        <f t="array" ref="G2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3" s="26" t="str">
        <f t="array" ref="H223">IF(
MOD(ROW()-2,6)=0,
INDEX('Form Responses'!I:I,INT((ROW()-2)/6)+2),
"-- NA --"
)</f>
        <v>-- NA --</v>
      </c>
      <c r="I223" s="32" t="str">
        <f t="array" ref="I223">IF(
MOD(ROW()-2,6)=0,
INDEX('Form Responses'!J:J,INT((ROW()-2)/6)+2),
"-- NA --"
)</f>
        <v>-- NA --</v>
      </c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26">
        <v>223.0</v>
      </c>
      <c r="B224" s="29" t="str">
        <f t="array" ref="B224">INDEX('Form Responses'!$C:$C,INT((ROW()-2)/6)+2)</f>
        <v>Brogrammers</v>
      </c>
      <c r="C224" s="31" t="s">
        <v>140</v>
      </c>
      <c r="D224" s="26" t="str">
        <f t="array" ref="D2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24IT051</v>
      </c>
      <c r="E224" s="32" t="str">
        <f t="array" ref="E2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SHARUKHESH S</v>
      </c>
      <c r="F224" s="26" t="str">
        <f t="array" ref="F2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4" s="26" t="str">
        <f t="array" ref="G2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4" s="26">
        <f t="array" ref="H224">IF(
MOD(ROW()-2,6)=0,
INDEX('Form Responses'!I:I,INT((ROW()-2)/6)+2),
"-- NA --"
)</f>
        <v>8110875768</v>
      </c>
      <c r="I224" s="32" t="str">
        <f t="array" ref="I224">IF(
MOD(ROW()-2,6)=0,
INDEX('Form Responses'!J:J,INT((ROW()-2)/6)+2),
"-- NA --"
)</f>
        <v>sharukhesh.s2024it@sece.ac.in</v>
      </c>
      <c r="J224" s="29" t="str">
        <f t="array" ref="J224">INDEX('Form Responses'!$D:$D,INT((ROW()-2)/6)+2)</f>
        <v>Software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26">
        <v>224.0</v>
      </c>
      <c r="B225" s="33"/>
      <c r="C225" s="26" t="s">
        <v>282</v>
      </c>
      <c r="D225" s="26" t="str">
        <f t="array" ref="D2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24IT028</v>
      </c>
      <c r="E225" s="32" t="str">
        <f t="array" ref="E2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ASIF I</v>
      </c>
      <c r="F225" s="26" t="str">
        <f t="array" ref="F2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5" s="26" t="str">
        <f t="array" ref="G2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5" s="26" t="str">
        <f t="array" ref="H225">IF(
MOD(ROW()-2,6)=0,
INDEX('Form Responses'!I:I,INT((ROW()-2)/6)+2),
"-- NA --"
)</f>
        <v>-- NA --</v>
      </c>
      <c r="I225" s="32" t="str">
        <f t="array" ref="I225">IF(
MOD(ROW()-2,6)=0,
INDEX('Form Responses'!J:J,INT((ROW()-2)/6)+2),
"-- NA --"
)</f>
        <v>-- NA --</v>
      </c>
      <c r="J225" s="3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26">
        <v>225.0</v>
      </c>
      <c r="B226" s="33"/>
      <c r="C226" s="26" t="s">
        <v>385</v>
      </c>
      <c r="D226" s="26" t="str">
        <f t="array" ref="D2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24IT027</v>
      </c>
      <c r="E226" s="32" t="str">
        <f t="array" ref="E2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MOGANAVASUDEV P</v>
      </c>
      <c r="F226" s="26" t="str">
        <f t="array" ref="F2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6" s="26" t="str">
        <f t="array" ref="G2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6" s="26" t="str">
        <f t="array" ref="H226">IF(
MOD(ROW()-2,6)=0,
INDEX('Form Responses'!I:I,INT((ROW()-2)/6)+2),
"-- NA --"
)</f>
        <v>-- NA --</v>
      </c>
      <c r="I226" s="32" t="str">
        <f t="array" ref="I226">IF(
MOD(ROW()-2,6)=0,
INDEX('Form Responses'!J:J,INT((ROW()-2)/6)+2),
"-- NA --"
)</f>
        <v>-- NA --</v>
      </c>
      <c r="J226" s="3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26">
        <v>226.0</v>
      </c>
      <c r="B227" s="33"/>
      <c r="C227" s="26" t="s">
        <v>425</v>
      </c>
      <c r="D227" s="26" t="str">
        <f t="array" ref="D2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24IT058</v>
      </c>
      <c r="E227" s="32" t="str">
        <f t="array" ref="E2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SUWETHA B</v>
      </c>
      <c r="F227" s="26" t="str">
        <f t="array" ref="F2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7" s="26" t="str">
        <f t="array" ref="G2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27" s="26" t="str">
        <f t="array" ref="H227">IF(
MOD(ROW()-2,6)=0,
INDEX('Form Responses'!I:I,INT((ROW()-2)/6)+2),
"-- NA --"
)</f>
        <v>-- NA --</v>
      </c>
      <c r="I227" s="32" t="str">
        <f t="array" ref="I227">IF(
MOD(ROW()-2,6)=0,
INDEX('Form Responses'!J:J,INT((ROW()-2)/6)+2),
"-- NA --"
)</f>
        <v>-- NA --</v>
      </c>
      <c r="J227" s="3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26">
        <v>227.0</v>
      </c>
      <c r="B228" s="33"/>
      <c r="C228" s="26" t="s">
        <v>464</v>
      </c>
      <c r="D228" s="26" t="str">
        <f t="array" ref="D2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24CC001</v>
      </c>
      <c r="E228" s="32" t="str">
        <f t="array" ref="E2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ADITHYAN R</v>
      </c>
      <c r="F228" s="26" t="str">
        <f t="array" ref="F2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8" s="26" t="str">
        <f t="array" ref="G2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228" s="26" t="str">
        <f t="array" ref="H228">IF(
MOD(ROW()-2,6)=0,
INDEX('Form Responses'!I:I,INT((ROW()-2)/6)+2),
"-- NA --"
)</f>
        <v>-- NA --</v>
      </c>
      <c r="I228" s="32" t="str">
        <f t="array" ref="I228">IF(
MOD(ROW()-2,6)=0,
INDEX('Form Responses'!J:J,INT((ROW()-2)/6)+2),
"-- NA --"
)</f>
        <v>-- NA --</v>
      </c>
      <c r="J228" s="3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26">
        <v>228.0</v>
      </c>
      <c r="B229" s="6"/>
      <c r="C229" s="26" t="s">
        <v>500</v>
      </c>
      <c r="D229" s="26" t="str">
        <f t="array" ref="D2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24CC039</v>
      </c>
      <c r="E229" s="32" t="str">
        <f t="array" ref="E2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PRANAW SOMESH R</v>
      </c>
      <c r="F229" s="26" t="str">
        <f t="array" ref="F2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29" s="26" t="str">
        <f t="array" ref="G2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229" s="26" t="str">
        <f t="array" ref="H229">IF(
MOD(ROW()-2,6)=0,
INDEX('Form Responses'!I:I,INT((ROW()-2)/6)+2),
"-- NA --"
)</f>
        <v>-- NA --</v>
      </c>
      <c r="I229" s="32" t="str">
        <f t="array" ref="I229">IF(
MOD(ROW()-2,6)=0,
INDEX('Form Responses'!J:J,INT((ROW()-2)/6)+2),
"-- NA --"
)</f>
        <v>-- NA --</v>
      </c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26">
        <v>229.0</v>
      </c>
      <c r="B230" s="29" t="str">
        <f t="array" ref="B230">INDEX('Form Responses'!$C:$C,INT((ROW()-2)/6)+2)</f>
        <v>SyncverseX </v>
      </c>
      <c r="C230" s="31" t="s">
        <v>140</v>
      </c>
      <c r="D230" s="26" t="str">
        <f t="array" ref="D2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25aiml301</v>
      </c>
      <c r="E230" s="32" t="str">
        <f t="array" ref="E2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JAYASRI.B</v>
      </c>
      <c r="F230" s="26" t="str">
        <f t="array" ref="F2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0" s="26" t="str">
        <f t="array" ref="G2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30" s="26">
        <f t="array" ref="H230">IF(
MOD(ROW()-2,6)=0,
INDEX('Form Responses'!I:I,INT((ROW()-2)/6)+2),
"-- NA --"
)</f>
        <v>9629815118</v>
      </c>
      <c r="I230" s="32" t="str">
        <f t="array" ref="I230">IF(
MOD(ROW()-2,6)=0,
INDEX('Form Responses'!J:J,INT((ROW()-2)/6)+2),
"-- NA --"
)</f>
        <v>jayasri.b2025laiml@sece.ac.in</v>
      </c>
      <c r="J230" s="29" t="str">
        <f t="array" ref="J230">INDEX('Form Responses'!$D:$D,INT((ROW()-2)/6)+2)</f>
        <v>Software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26">
        <v>230.0</v>
      </c>
      <c r="B231" s="33"/>
      <c r="C231" s="26" t="s">
        <v>282</v>
      </c>
      <c r="D231" s="26" t="str">
        <f t="array" ref="D2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25aiml302</v>
      </c>
      <c r="E231" s="32" t="str">
        <f t="array" ref="E2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SRUTHIMITHRA.S</v>
      </c>
      <c r="F231" s="26" t="str">
        <f t="array" ref="F2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1" s="26" t="str">
        <f t="array" ref="G2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31" s="26" t="str">
        <f t="array" ref="H231">IF(
MOD(ROW()-2,6)=0,
INDEX('Form Responses'!I:I,INT((ROW()-2)/6)+2),
"-- NA --"
)</f>
        <v>-- NA --</v>
      </c>
      <c r="I231" s="32" t="str">
        <f t="array" ref="I231">IF(
MOD(ROW()-2,6)=0,
INDEX('Form Responses'!J:J,INT((ROW()-2)/6)+2),
"-- NA --"
)</f>
        <v>-- NA --</v>
      </c>
      <c r="J231" s="3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26">
        <v>231.0</v>
      </c>
      <c r="B232" s="33"/>
      <c r="C232" s="26" t="s">
        <v>385</v>
      </c>
      <c r="D232" s="26" t="str">
        <f t="array" ref="D2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25IT301</v>
      </c>
      <c r="E232" s="32" t="str">
        <f t="array" ref="E2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DEVESH.N</v>
      </c>
      <c r="F232" s="26" t="str">
        <f t="array" ref="F2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2" s="26" t="str">
        <f t="array" ref="G2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32" s="26" t="str">
        <f t="array" ref="H232">IF(
MOD(ROW()-2,6)=0,
INDEX('Form Responses'!I:I,INT((ROW()-2)/6)+2),
"-- NA --"
)</f>
        <v>-- NA --</v>
      </c>
      <c r="I232" s="32" t="str">
        <f t="array" ref="I232">IF(
MOD(ROW()-2,6)=0,
INDEX('Form Responses'!J:J,INT((ROW()-2)/6)+2),
"-- NA --"
)</f>
        <v>-- NA --</v>
      </c>
      <c r="J232" s="3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26">
        <v>232.0</v>
      </c>
      <c r="B233" s="33"/>
      <c r="C233" s="26" t="s">
        <v>425</v>
      </c>
      <c r="D233" s="26" t="str">
        <f t="array" ref="D2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IC26BTecL0081</v>
      </c>
      <c r="E233" s="32" t="str">
        <f t="array" ref="E2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Kowshigan.S</v>
      </c>
      <c r="F233" s="26" t="str">
        <f t="array" ref="F2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3" s="26" t="str">
        <f t="array" ref="G2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33" s="26" t="str">
        <f t="array" ref="H233">IF(
MOD(ROW()-2,6)=0,
INDEX('Form Responses'!I:I,INT((ROW()-2)/6)+2),
"-- NA --"
)</f>
        <v>-- NA --</v>
      </c>
      <c r="I233" s="32" t="str">
        <f t="array" ref="I233">IF(
MOD(ROW()-2,6)=0,
INDEX('Form Responses'!J:J,INT((ROW()-2)/6)+2),
"-- NA --"
)</f>
        <v>-- NA --</v>
      </c>
      <c r="J233" s="3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26">
        <v>233.0</v>
      </c>
      <c r="B234" s="33"/>
      <c r="C234" s="26" t="s">
        <v>464</v>
      </c>
      <c r="D234" s="26" t="str">
        <f t="array" ref="D2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IC26BTecL0035</v>
      </c>
      <c r="E234" s="32" t="str">
        <f t="array" ref="E2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234" s="26" t="str">
        <f t="array" ref="F2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4" s="26" t="str">
        <f t="array" ref="G2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234" s="26" t="str">
        <f t="array" ref="H234">IF(
MOD(ROW()-2,6)=0,
INDEX('Form Responses'!I:I,INT((ROW()-2)/6)+2),
"-- NA --"
)</f>
        <v>-- NA --</v>
      </c>
      <c r="I234" s="32" t="str">
        <f t="array" ref="I234">IF(
MOD(ROW()-2,6)=0,
INDEX('Form Responses'!J:J,INT((ROW()-2)/6)+2),
"-- NA --"
)</f>
        <v>-- NA --</v>
      </c>
      <c r="J234" s="3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26">
        <v>234.0</v>
      </c>
      <c r="B235" s="6"/>
      <c r="C235" s="26" t="s">
        <v>500</v>
      </c>
      <c r="D235" s="26" t="str">
        <f t="array" ref="D2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IC26BTecL0068</v>
      </c>
      <c r="E235" s="32" t="str">
        <f t="array" ref="E2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 Visnu sivam A </v>
      </c>
      <c r="F235" s="26" t="str">
        <f t="array" ref="F2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5" s="26" t="str">
        <f t="array" ref="G2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35" s="26" t="str">
        <f t="array" ref="H235">IF(
MOD(ROW()-2,6)=0,
INDEX('Form Responses'!I:I,INT((ROW()-2)/6)+2),
"-- NA --"
)</f>
        <v>-- NA --</v>
      </c>
      <c r="I235" s="32" t="str">
        <f t="array" ref="I235">IF(
MOD(ROW()-2,6)=0,
INDEX('Form Responses'!J:J,INT((ROW()-2)/6)+2),
"-- NA --"
)</f>
        <v>-- NA --</v>
      </c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26">
        <v>235.0</v>
      </c>
      <c r="B236" s="29" t="str">
        <f t="array" ref="B236">INDEX('Form Responses'!$C:$C,INT((ROW()-2)/6)+2)</f>
        <v>NEXACORE</v>
      </c>
      <c r="C236" s="31" t="s">
        <v>140</v>
      </c>
      <c r="D236" s="26" t="str">
        <f t="array" ref="D2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25AD193</v>
      </c>
      <c r="E236" s="32" t="str">
        <f t="array" ref="E2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SHAKEER F</v>
      </c>
      <c r="F236" s="26" t="str">
        <f t="array" ref="F2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6" s="26" t="str">
        <f t="array" ref="G2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36" s="26" t="str">
        <f t="array" ref="H236">IF(
MOD(ROW()-2,6)=0,
INDEX('Form Responses'!I:I,INT((ROW()-2)/6)+2),
"-- NA --"
)</f>
        <v>Ph.no=7539902139 &amp; whatsapp=9994488314</v>
      </c>
      <c r="I236" s="32" t="str">
        <f t="array" ref="I236">IF(
MOD(ROW()-2,6)=0,
INDEX('Form Responses'!J:J,INT((ROW()-2)/6)+2),
"-- NA --"
)</f>
        <v>shakeer.f2025aids@sece.ac.in</v>
      </c>
      <c r="J236" s="29" t="str">
        <f t="array" ref="J236">INDEX('Form Responses'!$D:$D,INT((ROW()-2)/6)+2)</f>
        <v>Software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26">
        <v>236.0</v>
      </c>
      <c r="B237" s="33"/>
      <c r="C237" s="26" t="s">
        <v>282</v>
      </c>
      <c r="D237" s="26" t="str">
        <f t="array" ref="D2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25AD183</v>
      </c>
      <c r="E237" s="32" t="str">
        <f t="array" ref="E2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SANJANA R</v>
      </c>
      <c r="F237" s="26" t="str">
        <f t="array" ref="F2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7" s="26" t="str">
        <f t="array" ref="G2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37" s="26" t="str">
        <f t="array" ref="H237">IF(
MOD(ROW()-2,6)=0,
INDEX('Form Responses'!I:I,INT((ROW()-2)/6)+2),
"-- NA --"
)</f>
        <v>-- NA --</v>
      </c>
      <c r="I237" s="32" t="str">
        <f t="array" ref="I237">IF(
MOD(ROW()-2,6)=0,
INDEX('Form Responses'!J:J,INT((ROW()-2)/6)+2),
"-- NA --"
)</f>
        <v>-- NA --</v>
      </c>
      <c r="J237" s="3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26">
        <v>237.0</v>
      </c>
      <c r="B238" s="33"/>
      <c r="C238" s="26" t="s">
        <v>385</v>
      </c>
      <c r="D238" s="26" t="str">
        <f t="array" ref="D2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25AD169</v>
      </c>
      <c r="E238" s="32" t="str">
        <f t="array" ref="E2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RASHIKA E</v>
      </c>
      <c r="F238" s="26" t="str">
        <f t="array" ref="F2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8" s="26" t="str">
        <f t="array" ref="G2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38" s="26" t="str">
        <f t="array" ref="H238">IF(
MOD(ROW()-2,6)=0,
INDEX('Form Responses'!I:I,INT((ROW()-2)/6)+2),
"-- NA --"
)</f>
        <v>-- NA --</v>
      </c>
      <c r="I238" s="32" t="str">
        <f t="array" ref="I238">IF(
MOD(ROW()-2,6)=0,
INDEX('Form Responses'!J:J,INT((ROW()-2)/6)+2),
"-- NA --"
)</f>
        <v>-- NA --</v>
      </c>
      <c r="J238" s="3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26">
        <v>238.0</v>
      </c>
      <c r="B239" s="33"/>
      <c r="C239" s="26" t="s">
        <v>425</v>
      </c>
      <c r="D239" s="26" t="str">
        <f t="array" ref="D2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25EC075</v>
      </c>
      <c r="E239" s="32" t="str">
        <f t="array" ref="E2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 V</v>
      </c>
      <c r="F239" s="26" t="str">
        <f t="array" ref="F2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39" s="26" t="str">
        <f t="array" ref="G2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39" s="26" t="str">
        <f t="array" ref="H239">IF(
MOD(ROW()-2,6)=0,
INDEX('Form Responses'!I:I,INT((ROW()-2)/6)+2),
"-- NA --"
)</f>
        <v>-- NA --</v>
      </c>
      <c r="I239" s="32" t="str">
        <f t="array" ref="I239">IF(
MOD(ROW()-2,6)=0,
INDEX('Form Responses'!J:J,INT((ROW()-2)/6)+2),
"-- NA --"
)</f>
        <v>-- NA --</v>
      </c>
      <c r="J239" s="3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26">
        <v>239.0</v>
      </c>
      <c r="B240" s="33"/>
      <c r="C240" s="26" t="s">
        <v>464</v>
      </c>
      <c r="D240" s="26" t="str">
        <f t="array" ref="D2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25EC076</v>
      </c>
      <c r="E240" s="32" t="str">
        <f t="array" ref="E2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KAVINESHWAR S R</v>
      </c>
      <c r="F240" s="26" t="str">
        <f t="array" ref="F2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0" s="26" t="str">
        <f t="array" ref="G2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40" s="26" t="str">
        <f t="array" ref="H240">IF(
MOD(ROW()-2,6)=0,
INDEX('Form Responses'!I:I,INT((ROW()-2)/6)+2),
"-- NA --"
)</f>
        <v>-- NA --</v>
      </c>
      <c r="I240" s="32" t="str">
        <f t="array" ref="I240">IF(
MOD(ROW()-2,6)=0,
INDEX('Form Responses'!J:J,INT((ROW()-2)/6)+2),
"-- NA --"
)</f>
        <v>-- NA --</v>
      </c>
      <c r="J240" s="3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26">
        <v>240.0</v>
      </c>
      <c r="B241" s="6"/>
      <c r="C241" s="26" t="s">
        <v>500</v>
      </c>
      <c r="D241" s="26" t="str">
        <f t="array" ref="D2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25EC122</v>
      </c>
      <c r="E241" s="32" t="str">
        <f t="array" ref="E2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NITHIN VASAN M A</v>
      </c>
      <c r="F241" s="26" t="str">
        <f t="array" ref="F2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1" s="26" t="str">
        <f t="array" ref="G2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41" s="26" t="str">
        <f t="array" ref="H241">IF(
MOD(ROW()-2,6)=0,
INDEX('Form Responses'!I:I,INT((ROW()-2)/6)+2),
"-- NA --"
)</f>
        <v>-- NA --</v>
      </c>
      <c r="I241" s="32" t="str">
        <f t="array" ref="I241">IF(
MOD(ROW()-2,6)=0,
INDEX('Form Responses'!J:J,INT((ROW()-2)/6)+2),
"-- NA --"
)</f>
        <v>-- NA --</v>
      </c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26">
        <v>241.0</v>
      </c>
      <c r="B242" s="29" t="str">
        <f t="array" ref="B242">INDEX('Form Responses'!$C:$C,INT((ROW()-2)/6)+2)</f>
        <v>SMASHERS</v>
      </c>
      <c r="C242" s="31" t="s">
        <v>140</v>
      </c>
      <c r="D242" s="26" t="str">
        <f t="array" ref="D2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25CS213</v>
      </c>
      <c r="E242" s="32" t="str">
        <f t="array" ref="E2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SIDDHESH.L</v>
      </c>
      <c r="F242" s="26" t="str">
        <f t="array" ref="F2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2" s="26" t="str">
        <f t="array" ref="G2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42" s="26">
        <f t="array" ref="H242">IF(
MOD(ROW()-2,6)=0,
INDEX('Form Responses'!I:I,INT((ROW()-2)/6)+2),
"-- NA --"
)</f>
        <v>9486682048</v>
      </c>
      <c r="I242" s="32" t="str">
        <f t="array" ref="I242">IF(
MOD(ROW()-2,6)=0,
INDEX('Form Responses'!J:J,INT((ROW()-2)/6)+2),
"-- NA --"
)</f>
        <v>siddhesh.l2025cse@sece.ac.in</v>
      </c>
      <c r="J242" s="29" t="str">
        <f t="array" ref="J242">INDEX('Form Responses'!$D:$D,INT((ROW()-2)/6)+2)</f>
        <v>Software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26">
        <v>242.0</v>
      </c>
      <c r="B243" s="33"/>
      <c r="C243" s="26" t="s">
        <v>282</v>
      </c>
      <c r="D243" s="26" t="str">
        <f t="array" ref="D2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25CS226</v>
      </c>
      <c r="E243" s="32" t="str">
        <f t="array" ref="E2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SUHA MOHAN</v>
      </c>
      <c r="F243" s="26" t="str">
        <f t="array" ref="F2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3" s="26" t="str">
        <f t="array" ref="G2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43" s="26" t="str">
        <f t="array" ref="H243">IF(
MOD(ROW()-2,6)=0,
INDEX('Form Responses'!I:I,INT((ROW()-2)/6)+2),
"-- NA --"
)</f>
        <v>-- NA --</v>
      </c>
      <c r="I243" s="32" t="str">
        <f t="array" ref="I243">IF(
MOD(ROW()-2,6)=0,
INDEX('Form Responses'!J:J,INT((ROW()-2)/6)+2),
"-- NA --"
)</f>
        <v>-- NA --</v>
      </c>
      <c r="J243" s="3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26">
        <v>243.0</v>
      </c>
      <c r="B244" s="33"/>
      <c r="C244" s="26" t="s">
        <v>385</v>
      </c>
      <c r="D244" s="26" t="str">
        <f t="array" ref="D2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25CS236</v>
      </c>
      <c r="E244" s="32" t="str">
        <f t="array" ref="E2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THREGA . S </v>
      </c>
      <c r="F244" s="26" t="str">
        <f t="array" ref="F2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4" s="26" t="str">
        <f t="array" ref="G2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44" s="26" t="str">
        <f t="array" ref="H244">IF(
MOD(ROW()-2,6)=0,
INDEX('Form Responses'!I:I,INT((ROW()-2)/6)+2),
"-- NA --"
)</f>
        <v>-- NA --</v>
      </c>
      <c r="I244" s="32" t="str">
        <f t="array" ref="I244">IF(
MOD(ROW()-2,6)=0,
INDEX('Form Responses'!J:J,INT((ROW()-2)/6)+2),
"-- NA --"
)</f>
        <v>-- NA --</v>
      </c>
      <c r="J244" s="3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26">
        <v>244.0</v>
      </c>
      <c r="B245" s="33"/>
      <c r="C245" s="26" t="s">
        <v>425</v>
      </c>
      <c r="D245" s="26" t="str">
        <f t="array" ref="D2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25CS214</v>
      </c>
      <c r="E245" s="32" t="str">
        <f t="array" ref="E2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SINDHU . V </v>
      </c>
      <c r="F245" s="26" t="str">
        <f t="array" ref="F2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5" s="26" t="str">
        <f t="array" ref="G2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45" s="26" t="str">
        <f t="array" ref="H245">IF(
MOD(ROW()-2,6)=0,
INDEX('Form Responses'!I:I,INT((ROW()-2)/6)+2),
"-- NA --"
)</f>
        <v>-- NA --</v>
      </c>
      <c r="I245" s="32" t="str">
        <f t="array" ref="I245">IF(
MOD(ROW()-2,6)=0,
INDEX('Form Responses'!J:J,INT((ROW()-2)/6)+2),
"-- NA --"
)</f>
        <v>-- NA --</v>
      </c>
      <c r="J245" s="3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26">
        <v>245.0</v>
      </c>
      <c r="B246" s="33"/>
      <c r="C246" s="26" t="s">
        <v>464</v>
      </c>
      <c r="D246" s="26" t="str">
        <f t="array" ref="D2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25AM087</v>
      </c>
      <c r="E246" s="32" t="str">
        <f t="array" ref="E2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Prasath  C B</v>
      </c>
      <c r="F246" s="26" t="str">
        <f t="array" ref="F2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6" s="26" t="str">
        <f t="array" ref="G2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46" s="26" t="str">
        <f t="array" ref="H246">IF(
MOD(ROW()-2,6)=0,
INDEX('Form Responses'!I:I,INT((ROW()-2)/6)+2),
"-- NA --"
)</f>
        <v>-- NA --</v>
      </c>
      <c r="I246" s="32" t="str">
        <f t="array" ref="I246">IF(
MOD(ROW()-2,6)=0,
INDEX('Form Responses'!J:J,INT((ROW()-2)/6)+2),
"-- NA --"
)</f>
        <v>-- NA --</v>
      </c>
      <c r="J246" s="3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26">
        <v>246.0</v>
      </c>
      <c r="B247" s="6"/>
      <c r="C247" s="26" t="s">
        <v>500</v>
      </c>
      <c r="D247" s="26" t="str">
        <f t="array" ref="D2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25AD228</v>
      </c>
      <c r="E247" s="32" t="str">
        <f t="array" ref="E2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UnninKrishnan M</v>
      </c>
      <c r="F247" s="26" t="str">
        <f t="array" ref="F2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 </v>
      </c>
      <c r="G247" s="26" t="str">
        <f t="array" ref="G2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AIDS</v>
      </c>
      <c r="H247" s="26" t="str">
        <f t="array" ref="H247">IF(
MOD(ROW()-2,6)=0,
INDEX('Form Responses'!I:I,INT((ROW()-2)/6)+2),
"-- NA --"
)</f>
        <v>-- NA --</v>
      </c>
      <c r="I247" s="32" t="str">
        <f t="array" ref="I247">IF(
MOD(ROW()-2,6)=0,
INDEX('Form Responses'!J:J,INT((ROW()-2)/6)+2),
"-- NA --"
)</f>
        <v>-- NA --</v>
      </c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26">
        <v>247.0</v>
      </c>
      <c r="B248" s="29" t="str">
        <f t="array" ref="B248">INDEX('Form Responses'!$C:$C,INT((ROW()-2)/6)+2)</f>
        <v>ZENTRIX </v>
      </c>
      <c r="C248" s="31" t="s">
        <v>140</v>
      </c>
      <c r="D248" s="26" t="str">
        <f t="array" ref="D2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22EE060</v>
      </c>
      <c r="E248" s="32" t="str">
        <f t="array" ref="E2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VINOODHAN E</v>
      </c>
      <c r="F248" s="26" t="str">
        <f t="array" ref="F2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8" s="26" t="str">
        <f t="array" ref="G2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48" s="26" t="str">
        <f t="array" ref="H248">IF(
MOD(ROW()-2,6)=0,
INDEX('Form Responses'!I:I,INT((ROW()-2)/6)+2),
"-- NA --"
)</f>
        <v>99659 66696</v>
      </c>
      <c r="I248" s="32" t="str">
        <f t="array" ref="I248">IF(
MOD(ROW()-2,6)=0,
INDEX('Form Responses'!J:J,INT((ROW()-2)/6)+2),
"-- NA --"
)</f>
        <v>vinoodhan.e2025eee@sece.ac.in</v>
      </c>
      <c r="J248" s="29" t="str">
        <f t="array" ref="J248">INDEX('Form Responses'!$D:$D,INT((ROW()-2)/6)+2)</f>
        <v>Hardware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26">
        <v>248.0</v>
      </c>
      <c r="B249" s="33"/>
      <c r="C249" s="26" t="s">
        <v>282</v>
      </c>
      <c r="D249" s="26" t="str">
        <f t="array" ref="D2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25AM047</v>
      </c>
      <c r="E249" s="32" t="str">
        <f t="array" ref="E2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JOSHNA HASEEN R </v>
      </c>
      <c r="F249" s="26" t="str">
        <f t="array" ref="F2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49" s="26" t="str">
        <f t="array" ref="G2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49" s="26" t="str">
        <f t="array" ref="H249">IF(
MOD(ROW()-2,6)=0,
INDEX('Form Responses'!I:I,INT((ROW()-2)/6)+2),
"-- NA --"
)</f>
        <v>-- NA --</v>
      </c>
      <c r="I249" s="32" t="str">
        <f t="array" ref="I249">IF(
MOD(ROW()-2,6)=0,
INDEX('Form Responses'!J:J,INT((ROW()-2)/6)+2),
"-- NA --"
)</f>
        <v>-- NA --</v>
      </c>
      <c r="J249" s="3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26">
        <v>249.0</v>
      </c>
      <c r="B250" s="33"/>
      <c r="C250" s="26" t="s">
        <v>385</v>
      </c>
      <c r="D250" s="26" t="str">
        <f t="array" ref="D2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25AM024</v>
      </c>
      <c r="E250" s="32" t="str">
        <f t="array" ref="E2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DHIVYA DHARSHINI K</v>
      </c>
      <c r="F250" s="26" t="str">
        <f t="array" ref="F2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0" s="26" t="str">
        <f t="array" ref="G2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50" s="26" t="str">
        <f t="array" ref="H250">IF(
MOD(ROW()-2,6)=0,
INDEX('Form Responses'!I:I,INT((ROW()-2)/6)+2),
"-- NA --"
)</f>
        <v>-- NA --</v>
      </c>
      <c r="I250" s="32" t="str">
        <f t="array" ref="I250">IF(
MOD(ROW()-2,6)=0,
INDEX('Form Responses'!J:J,INT((ROW()-2)/6)+2),
"-- NA --"
)</f>
        <v>-- NA --</v>
      </c>
      <c r="J250" s="3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26">
        <v>250.0</v>
      </c>
      <c r="B251" s="33"/>
      <c r="C251" s="26" t="s">
        <v>425</v>
      </c>
      <c r="D251" s="26" t="str">
        <f t="array" ref="D2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25CC056</v>
      </c>
      <c r="E251" s="32" t="str">
        <f t="array" ref="E2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SRIBHAVAN V </v>
      </c>
      <c r="F251" s="26" t="str">
        <f t="array" ref="F2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1" s="26" t="str">
        <f t="array" ref="G2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251" s="26" t="str">
        <f t="array" ref="H251">IF(
MOD(ROW()-2,6)=0,
INDEX('Form Responses'!I:I,INT((ROW()-2)/6)+2),
"-- NA --"
)</f>
        <v>-- NA --</v>
      </c>
      <c r="I251" s="32" t="str">
        <f t="array" ref="I251">IF(
MOD(ROW()-2,6)=0,
INDEX('Form Responses'!J:J,INT((ROW()-2)/6)+2),
"-- NA --"
)</f>
        <v>-- NA --</v>
      </c>
      <c r="J251" s="3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26">
        <v>251.0</v>
      </c>
      <c r="B252" s="33"/>
      <c r="C252" s="26" t="s">
        <v>464</v>
      </c>
      <c r="D252" s="26" t="str">
        <f t="array" ref="D2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25EE004</v>
      </c>
      <c r="E252" s="32" t="str">
        <f t="array" ref="E2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BHAVANA G</v>
      </c>
      <c r="F252" s="26" t="str">
        <f t="array" ref="F2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2" s="26" t="str">
        <f t="array" ref="G2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52" s="26" t="str">
        <f t="array" ref="H252">IF(
MOD(ROW()-2,6)=0,
INDEX('Form Responses'!I:I,INT((ROW()-2)/6)+2),
"-- NA --"
)</f>
        <v>-- NA --</v>
      </c>
      <c r="I252" s="32" t="str">
        <f t="array" ref="I252">IF(
MOD(ROW()-2,6)=0,
INDEX('Form Responses'!J:J,INT((ROW()-2)/6)+2),
"-- NA --"
)</f>
        <v>-- NA --</v>
      </c>
      <c r="J252" s="3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26">
        <v>252.0</v>
      </c>
      <c r="B253" s="6"/>
      <c r="C253" s="26" t="s">
        <v>500</v>
      </c>
      <c r="D253" s="26" t="str">
        <f t="array" ref="D2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25EE036</v>
      </c>
      <c r="E253" s="32" t="str">
        <f t="array" ref="E2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NITHILESH V</v>
      </c>
      <c r="F253" s="26" t="str">
        <f t="array" ref="F2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3" s="26" t="str">
        <f t="array" ref="G2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53" s="26" t="str">
        <f t="array" ref="H253">IF(
MOD(ROW()-2,6)=0,
INDEX('Form Responses'!I:I,INT((ROW()-2)/6)+2),
"-- NA --"
)</f>
        <v>-- NA --</v>
      </c>
      <c r="I253" s="32" t="str">
        <f t="array" ref="I253">IF(
MOD(ROW()-2,6)=0,
INDEX('Form Responses'!J:J,INT((ROW()-2)/6)+2),
"-- NA --"
)</f>
        <v>-- NA --</v>
      </c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26">
        <v>253.0</v>
      </c>
      <c r="B254" s="29" t="str">
        <f t="array" ref="B254">INDEX('Form Responses'!$C:$C,INT((ROW()-2)/6)+2)</f>
        <v>URBANO</v>
      </c>
      <c r="C254" s="31" t="s">
        <v>140</v>
      </c>
      <c r="D254" s="26" t="str">
        <f t="array" ref="D2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25CS192</v>
      </c>
      <c r="E254" s="32" t="str">
        <f t="array" ref="E2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Samriddhi R</v>
      </c>
      <c r="F254" s="26" t="str">
        <f t="array" ref="F2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4" s="26" t="str">
        <f t="array" ref="G2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54" s="26">
        <f t="array" ref="H254">IF(
MOD(ROW()-2,6)=0,
INDEX('Form Responses'!I:I,INT((ROW()-2)/6)+2),
"-- NA --"
)</f>
        <v>7200959585</v>
      </c>
      <c r="I254" s="32" t="str">
        <f t="array" ref="I254">IF(
MOD(ROW()-2,6)=0,
INDEX('Form Responses'!J:J,INT((ROW()-2)/6)+2),
"-- NA --"
)</f>
        <v>samriddhi.r2025cse@sece.ac.in</v>
      </c>
      <c r="J254" s="29" t="str">
        <f t="array" ref="J254">INDEX('Form Responses'!$D:$D,INT((ROW()-2)/6)+2)</f>
        <v>Software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26">
        <v>254.0</v>
      </c>
      <c r="B255" s="33"/>
      <c r="C255" s="26" t="s">
        <v>282</v>
      </c>
      <c r="D255" s="26" t="str">
        <f t="array" ref="D2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25CS247</v>
      </c>
      <c r="E255" s="32" t="str">
        <f t="array" ref="E2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S</v>
      </c>
      <c r="F255" s="26" t="str">
        <f t="array" ref="F2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5" s="26" t="str">
        <f t="array" ref="G2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55" s="26" t="str">
        <f t="array" ref="H255">IF(
MOD(ROW()-2,6)=0,
INDEX('Form Responses'!I:I,INT((ROW()-2)/6)+2),
"-- NA --"
)</f>
        <v>-- NA --</v>
      </c>
      <c r="I255" s="32" t="str">
        <f t="array" ref="I255">IF(
MOD(ROW()-2,6)=0,
INDEX('Form Responses'!J:J,INT((ROW()-2)/6)+2),
"-- NA --"
)</f>
        <v>-- NA --</v>
      </c>
      <c r="J255" s="3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26">
        <v>255.0</v>
      </c>
      <c r="B256" s="33"/>
      <c r="C256" s="26" t="s">
        <v>385</v>
      </c>
      <c r="D256" s="26" t="str">
        <f t="array" ref="D2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25CS199</v>
      </c>
      <c r="E256" s="32" t="str">
        <f t="array" ref="E2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Sanjit SR</v>
      </c>
      <c r="F256" s="26" t="str">
        <f t="array" ref="F2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6" s="26" t="str">
        <f t="array" ref="G2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56" s="26" t="str">
        <f t="array" ref="H256">IF(
MOD(ROW()-2,6)=0,
INDEX('Form Responses'!I:I,INT((ROW()-2)/6)+2),
"-- NA --"
)</f>
        <v>-- NA --</v>
      </c>
      <c r="I256" s="32" t="str">
        <f t="array" ref="I256">IF(
MOD(ROW()-2,6)=0,
INDEX('Form Responses'!J:J,INT((ROW()-2)/6)+2),
"-- NA --"
)</f>
        <v>-- NA --</v>
      </c>
      <c r="J256" s="3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26">
        <v>256.0</v>
      </c>
      <c r="B257" s="33"/>
      <c r="C257" s="26" t="s">
        <v>425</v>
      </c>
      <c r="D257" s="26" t="str">
        <f t="array" ref="D2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25CS217</v>
      </c>
      <c r="E257" s="32" t="str">
        <f t="array" ref="E2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Nambi Rajan M</v>
      </c>
      <c r="F257" s="26" t="str">
        <f t="array" ref="F2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7" s="26" t="str">
        <f t="array" ref="G2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57" s="26" t="str">
        <f t="array" ref="H257">IF(
MOD(ROW()-2,6)=0,
INDEX('Form Responses'!I:I,INT((ROW()-2)/6)+2),
"-- NA --"
)</f>
        <v>-- NA --</v>
      </c>
      <c r="I257" s="32" t="str">
        <f t="array" ref="I257">IF(
MOD(ROW()-2,6)=0,
INDEX('Form Responses'!J:J,INT((ROW()-2)/6)+2),
"-- NA --"
)</f>
        <v>-- NA --</v>
      </c>
      <c r="J257" s="3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26">
        <v>257.0</v>
      </c>
      <c r="B258" s="33"/>
      <c r="C258" s="26" t="s">
        <v>464</v>
      </c>
      <c r="D258" s="26" t="str">
        <f t="array" ref="D2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25EC012</v>
      </c>
      <c r="E258" s="32" t="str">
        <f t="array" ref="E2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Akshaya V</v>
      </c>
      <c r="F258" s="26" t="str">
        <f t="array" ref="F2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8" s="26" t="str">
        <f t="array" ref="G2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58" s="26" t="str">
        <f t="array" ref="H258">IF(
MOD(ROW()-2,6)=0,
INDEX('Form Responses'!I:I,INT((ROW()-2)/6)+2),
"-- NA --"
)</f>
        <v>-- NA --</v>
      </c>
      <c r="I258" s="32" t="str">
        <f t="array" ref="I258">IF(
MOD(ROW()-2,6)=0,
INDEX('Form Responses'!J:J,INT((ROW()-2)/6)+2),
"-- NA --"
)</f>
        <v>-- NA --</v>
      </c>
      <c r="J258" s="3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26">
        <v>258.0</v>
      </c>
      <c r="B259" s="6"/>
      <c r="C259" s="26" t="s">
        <v>500</v>
      </c>
      <c r="D259" s="26" t="str">
        <f t="array" ref="D2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25EC028</v>
      </c>
      <c r="E259" s="32" t="str">
        <f t="array" ref="E2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Carolyn Stefina S</v>
      </c>
      <c r="F259" s="26" t="str">
        <f t="array" ref="F2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59" s="26" t="str">
        <f t="array" ref="G2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59" s="26" t="str">
        <f t="array" ref="H259">IF(
MOD(ROW()-2,6)=0,
INDEX('Form Responses'!I:I,INT((ROW()-2)/6)+2),
"-- NA --"
)</f>
        <v>-- NA --</v>
      </c>
      <c r="I259" s="32" t="str">
        <f t="array" ref="I259">IF(
MOD(ROW()-2,6)=0,
INDEX('Form Responses'!J:J,INT((ROW()-2)/6)+2),
"-- NA --"
)</f>
        <v>-- NA --</v>
      </c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26">
        <v>259.0</v>
      </c>
      <c r="B260" s="29" t="str">
        <f t="array" ref="B260">INDEX('Form Responses'!$C:$C,INT((ROW()-2)/6)+2)</f>
        <v>LarvaX</v>
      </c>
      <c r="C260" s="31" t="s">
        <v>140</v>
      </c>
      <c r="D260" s="26" t="str">
        <f t="array" ref="D2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24IT035</v>
      </c>
      <c r="E260" s="32" t="str">
        <f t="array" ref="E2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Nivetha L G</v>
      </c>
      <c r="F260" s="26" t="str">
        <f t="array" ref="F2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60" s="26" t="str">
        <f t="array" ref="G2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60" s="26">
        <f t="array" ref="H260">IF(
MOD(ROW()-2,6)=0,
INDEX('Form Responses'!I:I,INT((ROW()-2)/6)+2),
"-- NA --"
)</f>
        <v>9500535206</v>
      </c>
      <c r="I260" s="32" t="str">
        <f t="array" ref="I260">IF(
MOD(ROW()-2,6)=0,
INDEX('Form Responses'!J:J,INT((ROW()-2)/6)+2),
"-- NA --"
)</f>
        <v>nivetha.lg2024it@sece.ac.in</v>
      </c>
      <c r="J260" s="29" t="str">
        <f t="array" ref="J260">INDEX('Form Responses'!$D:$D,INT((ROW()-2)/6)+2)</f>
        <v>Software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26">
        <v>260.0</v>
      </c>
      <c r="B261" s="33"/>
      <c r="C261" s="26" t="s">
        <v>282</v>
      </c>
      <c r="D261" s="26" t="str">
        <f t="array" ref="D2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24IT041</v>
      </c>
      <c r="E261" s="32" t="str">
        <f t="array" ref="E2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Roshini K R</v>
      </c>
      <c r="F261" s="26" t="str">
        <f t="array" ref="F2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61" s="26" t="str">
        <f t="array" ref="G2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61" s="26" t="str">
        <f t="array" ref="H261">IF(
MOD(ROW()-2,6)=0,
INDEX('Form Responses'!I:I,INT((ROW()-2)/6)+2),
"-- NA --"
)</f>
        <v>-- NA --</v>
      </c>
      <c r="I261" s="32" t="str">
        <f t="array" ref="I261">IF(
MOD(ROW()-2,6)=0,
INDEX('Form Responses'!J:J,INT((ROW()-2)/6)+2),
"-- NA --"
)</f>
        <v>-- NA --</v>
      </c>
      <c r="J261" s="3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26">
        <v>261.0</v>
      </c>
      <c r="B262" s="33"/>
      <c r="C262" s="26" t="s">
        <v>385</v>
      </c>
      <c r="D262" s="26" t="str">
        <f t="array" ref="D2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24CS169</v>
      </c>
      <c r="E262" s="32" t="str">
        <f t="array" ref="E2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M</v>
      </c>
      <c r="F262" s="26" t="str">
        <f t="array" ref="F2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62" s="26" t="str">
        <f t="array" ref="G2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2" s="26" t="str">
        <f t="array" ref="H262">IF(
MOD(ROW()-2,6)=0,
INDEX('Form Responses'!I:I,INT((ROW()-2)/6)+2),
"-- NA --"
)</f>
        <v>-- NA --</v>
      </c>
      <c r="I262" s="32" t="str">
        <f t="array" ref="I262">IF(
MOD(ROW()-2,6)=0,
INDEX('Form Responses'!J:J,INT((ROW()-2)/6)+2),
"-- NA --"
)</f>
        <v>-- NA --</v>
      </c>
      <c r="J262" s="3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26">
        <v>262.0</v>
      </c>
      <c r="B263" s="33"/>
      <c r="C263" s="26" t="s">
        <v>425</v>
      </c>
      <c r="D263" s="26" t="str">
        <f t="array" ref="D2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24CS182</v>
      </c>
      <c r="E263" s="32" t="str">
        <f t="array" ref="E2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Priyadharshini V A</v>
      </c>
      <c r="F263" s="26" t="str">
        <f t="array" ref="F2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63" s="26" t="str">
        <f t="array" ref="G2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3" s="26" t="str">
        <f t="array" ref="H263">IF(
MOD(ROW()-2,6)=0,
INDEX('Form Responses'!I:I,INT((ROW()-2)/6)+2),
"-- NA --"
)</f>
        <v>-- NA --</v>
      </c>
      <c r="I263" s="32" t="str">
        <f t="array" ref="I263">IF(
MOD(ROW()-2,6)=0,
INDEX('Form Responses'!J:J,INT((ROW()-2)/6)+2),
"-- NA --"
)</f>
        <v>-- NA --</v>
      </c>
      <c r="J263" s="3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26">
        <v>263.0</v>
      </c>
      <c r="B264" s="33"/>
      <c r="C264" s="26" t="s">
        <v>464</v>
      </c>
      <c r="D264" s="26" t="str">
        <f t="array" ref="D2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24CS183</v>
      </c>
      <c r="E264" s="32" t="str">
        <f t="array" ref="E2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Priyanka T</v>
      </c>
      <c r="F264" s="26" t="str">
        <f t="array" ref="F2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64" s="26" t="str">
        <f t="array" ref="G2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4" s="26" t="str">
        <f t="array" ref="H264">IF(
MOD(ROW()-2,6)=0,
INDEX('Form Responses'!I:I,INT((ROW()-2)/6)+2),
"-- NA --"
)</f>
        <v>-- NA --</v>
      </c>
      <c r="I264" s="32" t="str">
        <f t="array" ref="I264">IF(
MOD(ROW()-2,6)=0,
INDEX('Form Responses'!J:J,INT((ROW()-2)/6)+2),
"-- NA --"
)</f>
        <v>-- NA --</v>
      </c>
      <c r="J264" s="3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26">
        <v>264.0</v>
      </c>
      <c r="B265" s="6"/>
      <c r="C265" s="26" t="s">
        <v>500</v>
      </c>
      <c r="D265" s="26" t="str">
        <f t="array" ref="D2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25AM088</v>
      </c>
      <c r="E265" s="32" t="str">
        <f t="array" ref="E2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Sanjeev.M</v>
      </c>
      <c r="F265" s="26" t="str">
        <f t="array" ref="F2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5" s="26" t="str">
        <f t="array" ref="G2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265" s="26" t="str">
        <f t="array" ref="H265">IF(
MOD(ROW()-2,6)=0,
INDEX('Form Responses'!I:I,INT((ROW()-2)/6)+2),
"-- NA --"
)</f>
        <v>-- NA --</v>
      </c>
      <c r="I265" s="32" t="str">
        <f t="array" ref="I265">IF(
MOD(ROW()-2,6)=0,
INDEX('Form Responses'!J:J,INT((ROW()-2)/6)+2),
"-- NA --"
)</f>
        <v>-- NA --</v>
      </c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26">
        <v>265.0</v>
      </c>
      <c r="B266" s="29" t="str">
        <f t="array" ref="B266">INDEX('Form Responses'!$C:$C,INT((ROW()-2)/6)+2)</f>
        <v>MARVELX</v>
      </c>
      <c r="C266" s="31" t="s">
        <v>140</v>
      </c>
      <c r="D266" s="26" t="str">
        <f t="array" ref="D2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25CS016</v>
      </c>
      <c r="E266" s="32" t="str">
        <f t="array" ref="E2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ASHMITHA P</v>
      </c>
      <c r="F266" s="26" t="str">
        <f t="array" ref="F2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6" s="26" t="str">
        <f t="array" ref="G2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6" s="26">
        <f t="array" ref="H266">IF(
MOD(ROW()-2,6)=0,
INDEX('Form Responses'!I:I,INT((ROW()-2)/6)+2),
"-- NA --"
)</f>
        <v>9095023302</v>
      </c>
      <c r="I266" s="32" t="str">
        <f t="array" ref="I266">IF(
MOD(ROW()-2,6)=0,
INDEX('Form Responses'!J:J,INT((ROW()-2)/6)+2),
"-- NA --"
)</f>
        <v>ashmitha. p2025cse@sece.ac.in</v>
      </c>
      <c r="J266" s="29" t="str">
        <f t="array" ref="J266">INDEX('Form Responses'!$D:$D,INT((ROW()-2)/6)+2)</f>
        <v>Software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26">
        <v>266.0</v>
      </c>
      <c r="B267" s="33"/>
      <c r="C267" s="26" t="s">
        <v>282</v>
      </c>
      <c r="D267" s="26" t="str">
        <f t="array" ref="D2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25CS037 </v>
      </c>
      <c r="E267" s="32" t="str">
        <f t="array" ref="E2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DHANYASRI P </v>
      </c>
      <c r="F267" s="26" t="str">
        <f t="array" ref="F2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7" s="26" t="str">
        <f t="array" ref="G2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7" s="26" t="str">
        <f t="array" ref="H267">IF(
MOD(ROW()-2,6)=0,
INDEX('Form Responses'!I:I,INT((ROW()-2)/6)+2),
"-- NA --"
)</f>
        <v>-- NA --</v>
      </c>
      <c r="I267" s="32" t="str">
        <f t="array" ref="I267">IF(
MOD(ROW()-2,6)=0,
INDEX('Form Responses'!J:J,INT((ROW()-2)/6)+2),
"-- NA --"
)</f>
        <v>-- NA --</v>
      </c>
      <c r="J267" s="3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26">
        <v>267.0</v>
      </c>
      <c r="B268" s="33"/>
      <c r="C268" s="26" t="s">
        <v>385</v>
      </c>
      <c r="D268" s="26" t="str">
        <f t="array" ref="D2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25CS034</v>
      </c>
      <c r="E268" s="32" t="str">
        <f t="array" ref="E2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DHANAPRIYA V</v>
      </c>
      <c r="F268" s="26" t="str">
        <f t="array" ref="F2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8" s="26" t="str">
        <f t="array" ref="G2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8" s="26" t="str">
        <f t="array" ref="H268">IF(
MOD(ROW()-2,6)=0,
INDEX('Form Responses'!I:I,INT((ROW()-2)/6)+2),
"-- NA --"
)</f>
        <v>-- NA --</v>
      </c>
      <c r="I268" s="32" t="str">
        <f t="array" ref="I268">IF(
MOD(ROW()-2,6)=0,
INDEX('Form Responses'!J:J,INT((ROW()-2)/6)+2),
"-- NA --"
)</f>
        <v>-- NA --</v>
      </c>
      <c r="J268" s="3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26">
        <v>268.0</v>
      </c>
      <c r="B269" s="33"/>
      <c r="C269" s="26" t="s">
        <v>425</v>
      </c>
      <c r="D269" s="26" t="str">
        <f t="array" ref="D2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</v>
      </c>
      <c r="E269" s="32" t="str">
        <f t="array" ref="E2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N</v>
      </c>
      <c r="F269" s="26" t="str">
        <f t="array" ref="F2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69" s="26" t="str">
        <f t="array" ref="G2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69" s="26" t="str">
        <f t="array" ref="H269">IF(
MOD(ROW()-2,6)=0,
INDEX('Form Responses'!I:I,INT((ROW()-2)/6)+2),
"-- NA --"
)</f>
        <v>-- NA --</v>
      </c>
      <c r="I269" s="32" t="str">
        <f t="array" ref="I269">IF(
MOD(ROW()-2,6)=0,
INDEX('Form Responses'!J:J,INT((ROW()-2)/6)+2),
"-- NA --"
)</f>
        <v>-- NA --</v>
      </c>
      <c r="J269" s="3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26">
        <v>269.0</v>
      </c>
      <c r="B270" s="33"/>
      <c r="C270" s="26" t="s">
        <v>464</v>
      </c>
      <c r="D270" s="26" t="str">
        <f t="array" ref="D2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25CS005</v>
      </c>
      <c r="E270" s="32" t="str">
        <f t="array" ref="E2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AISHWARYA LAKSHMI P</v>
      </c>
      <c r="F270" s="26" t="str">
        <f t="array" ref="F2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70" s="26" t="str">
        <f t="array" ref="G2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0" s="26" t="str">
        <f t="array" ref="H270">IF(
MOD(ROW()-2,6)=0,
INDEX('Form Responses'!I:I,INT((ROW()-2)/6)+2),
"-- NA --"
)</f>
        <v>-- NA --</v>
      </c>
      <c r="I270" s="32" t="str">
        <f t="array" ref="I270">IF(
MOD(ROW()-2,6)=0,
INDEX('Form Responses'!J:J,INT((ROW()-2)/6)+2),
"-- NA --"
)</f>
        <v>-- NA --</v>
      </c>
      <c r="J270" s="3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26">
        <v>270.0</v>
      </c>
      <c r="B271" s="6"/>
      <c r="C271" s="26" t="s">
        <v>500</v>
      </c>
      <c r="D271" s="26" t="str">
        <f t="array" ref="D2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25CS011</v>
      </c>
      <c r="E271" s="32" t="str">
        <f t="array" ref="E2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ANITHA K</v>
      </c>
      <c r="F271" s="26" t="str">
        <f t="array" ref="F2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71" s="26" t="str">
        <f t="array" ref="G2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1" s="26" t="str">
        <f t="array" ref="H271">IF(
MOD(ROW()-2,6)=0,
INDEX('Form Responses'!I:I,INT((ROW()-2)/6)+2),
"-- NA --"
)</f>
        <v>-- NA --</v>
      </c>
      <c r="I271" s="32" t="str">
        <f t="array" ref="I271">IF(
MOD(ROW()-2,6)=0,
INDEX('Form Responses'!J:J,INT((ROW()-2)/6)+2),
"-- NA --"
)</f>
        <v>-- NA --</v>
      </c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26">
        <v>271.0</v>
      </c>
      <c r="B272" s="29" t="str">
        <f t="array" ref="B272">INDEX('Form Responses'!$C:$C,INT((ROW()-2)/6)+2)</f>
        <v>BINARY BEATS</v>
      </c>
      <c r="C272" s="31" t="s">
        <v>140</v>
      </c>
      <c r="D272" s="26" t="str">
        <f t="array" ref="D2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24CS191</v>
      </c>
      <c r="E272" s="32" t="str">
        <f t="array" ref="E2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Ravishankar AG</v>
      </c>
      <c r="F272" s="26" t="str">
        <f t="array" ref="F2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2" s="26" t="str">
        <f t="array" ref="G2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2" s="26">
        <f t="array" ref="H272">IF(
MOD(ROW()-2,6)=0,
INDEX('Form Responses'!I:I,INT((ROW()-2)/6)+2),
"-- NA --"
)</f>
        <v>8148449502</v>
      </c>
      <c r="I272" s="32" t="str">
        <f t="array" ref="I272">IF(
MOD(ROW()-2,6)=0,
INDEX('Form Responses'!J:J,INT((ROW()-2)/6)+2),
"-- NA --"
)</f>
        <v>ravishankar.ag2024cse@sece.ac.in</v>
      </c>
      <c r="J272" s="29" t="str">
        <f t="array" ref="J272">INDEX('Form Responses'!$D:$D,INT((ROW()-2)/6)+2)</f>
        <v>Software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26">
        <v>272.0</v>
      </c>
      <c r="B273" s="33"/>
      <c r="C273" s="26" t="s">
        <v>282</v>
      </c>
      <c r="D273" s="26" t="str">
        <f t="array" ref="D2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24CS196</v>
      </c>
      <c r="E273" s="32" t="str">
        <f t="array" ref="E2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Rishivardhan J</v>
      </c>
      <c r="F273" s="26" t="str">
        <f t="array" ref="F2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3" s="26" t="str">
        <f t="array" ref="G2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3" s="26" t="str">
        <f t="array" ref="H273">IF(
MOD(ROW()-2,6)=0,
INDEX('Form Responses'!I:I,INT((ROW()-2)/6)+2),
"-- NA --"
)</f>
        <v>-- NA --</v>
      </c>
      <c r="I273" s="32" t="str">
        <f t="array" ref="I273">IF(
MOD(ROW()-2,6)=0,
INDEX('Form Responses'!J:J,INT((ROW()-2)/6)+2),
"-- NA --"
)</f>
        <v>-- NA --</v>
      </c>
      <c r="J273" s="3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26">
        <v>273.0</v>
      </c>
      <c r="B274" s="33"/>
      <c r="C274" s="26" t="s">
        <v>385</v>
      </c>
      <c r="D274" s="26" t="str">
        <f t="array" ref="D2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24CS186</v>
      </c>
      <c r="E274" s="32" t="str">
        <f t="array" ref="E2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Ramvishnu P</v>
      </c>
      <c r="F274" s="26" t="str">
        <f t="array" ref="F2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4" s="26" t="str">
        <f t="array" ref="G2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4" s="26" t="str">
        <f t="array" ref="H274">IF(
MOD(ROW()-2,6)=0,
INDEX('Form Responses'!I:I,INT((ROW()-2)/6)+2),
"-- NA --"
)</f>
        <v>-- NA --</v>
      </c>
      <c r="I274" s="32" t="str">
        <f t="array" ref="I274">IF(
MOD(ROW()-2,6)=0,
INDEX('Form Responses'!J:J,INT((ROW()-2)/6)+2),
"-- NA --"
)</f>
        <v>-- NA --</v>
      </c>
      <c r="J274" s="3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26">
        <v>274.0</v>
      </c>
      <c r="B275" s="33"/>
      <c r="C275" s="26" t="s">
        <v>425</v>
      </c>
      <c r="D275" s="26" t="str">
        <f t="array" ref="D2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24CS166</v>
      </c>
      <c r="E275" s="32" t="str">
        <f t="array" ref="E2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Parameshwaran P</v>
      </c>
      <c r="F275" s="26" t="str">
        <f t="array" ref="F2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5" s="26" t="str">
        <f t="array" ref="G2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75" s="26" t="str">
        <f t="array" ref="H275">IF(
MOD(ROW()-2,6)=0,
INDEX('Form Responses'!I:I,INT((ROW()-2)/6)+2),
"-- NA --"
)</f>
        <v>-- NA --</v>
      </c>
      <c r="I275" s="32" t="str">
        <f t="array" ref="I275">IF(
MOD(ROW()-2,6)=0,
INDEX('Form Responses'!J:J,INT((ROW()-2)/6)+2),
"-- NA --"
)</f>
        <v>-- NA --</v>
      </c>
      <c r="J275" s="3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26">
        <v>275.0</v>
      </c>
      <c r="B276" s="33"/>
      <c r="C276" s="26" t="s">
        <v>464</v>
      </c>
      <c r="D276" s="26" t="str">
        <f t="array" ref="D2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24AD042</v>
      </c>
      <c r="E276" s="32" t="str">
        <f t="array" ref="E2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Dharshana M</v>
      </c>
      <c r="F276" s="26" t="str">
        <f t="array" ref="F2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6" s="26" t="str">
        <f t="array" ref="G2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76" s="26" t="str">
        <f t="array" ref="H276">IF(
MOD(ROW()-2,6)=0,
INDEX('Form Responses'!I:I,INT((ROW()-2)/6)+2),
"-- NA --"
)</f>
        <v>-- NA --</v>
      </c>
      <c r="I276" s="32" t="str">
        <f t="array" ref="I276">IF(
MOD(ROW()-2,6)=0,
INDEX('Form Responses'!J:J,INT((ROW()-2)/6)+2),
"-- NA --"
)</f>
        <v>-- NA --</v>
      </c>
      <c r="J276" s="3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26">
        <v>276.0</v>
      </c>
      <c r="B277" s="6"/>
      <c r="C277" s="26" t="s">
        <v>500</v>
      </c>
      <c r="D277" s="26" t="str">
        <f t="array" ref="D2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24EC074</v>
      </c>
      <c r="E277" s="32" t="str">
        <f t="array" ref="E2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Keerthishree M</v>
      </c>
      <c r="F277" s="26" t="str">
        <f t="array" ref="F2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77" s="26" t="str">
        <f t="array" ref="G2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277" s="26" t="str">
        <f t="array" ref="H277">IF(
MOD(ROW()-2,6)=0,
INDEX('Form Responses'!I:I,INT((ROW()-2)/6)+2),
"-- NA --"
)</f>
        <v>-- NA --</v>
      </c>
      <c r="I277" s="32" t="str">
        <f t="array" ref="I277">IF(
MOD(ROW()-2,6)=0,
INDEX('Form Responses'!J:J,INT((ROW()-2)/6)+2),
"-- NA --"
)</f>
        <v>-- NA --</v>
      </c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26">
        <v>277.0</v>
      </c>
      <c r="B278" s="29" t="str">
        <f t="array" ref="B278">INDEX('Form Responses'!$C:$C,INT((ROW()-2)/6)+2)</f>
        <v>LEO DAS</v>
      </c>
      <c r="C278" s="31" t="s">
        <v>140</v>
      </c>
      <c r="D278" s="26" t="str">
        <f t="array" ref="D2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25AD210</v>
      </c>
      <c r="E278" s="32" t="str">
        <f t="array" ref="E2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SUJAY M</v>
      </c>
      <c r="F278" s="26" t="str">
        <f t="array" ref="F2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78" s="26" t="str">
        <f t="array" ref="G2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78" s="26">
        <f t="array" ref="H278">IF(
MOD(ROW()-2,6)=0,
INDEX('Form Responses'!I:I,INT((ROW()-2)/6)+2),
"-- NA --"
)</f>
        <v>9342295008</v>
      </c>
      <c r="I278" s="32" t="str">
        <f t="array" ref="I278">IF(
MOD(ROW()-2,6)=0,
INDEX('Form Responses'!J:J,INT((ROW()-2)/6)+2),
"-- NA --"
)</f>
        <v>sujay.m2025aids@sece.ac.in</v>
      </c>
      <c r="J278" s="29" t="str">
        <f t="array" ref="J278">INDEX('Form Responses'!$D:$D,INT((ROW()-2)/6)+2)</f>
        <v>Hardware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26">
        <v>278.0</v>
      </c>
      <c r="B279" s="33"/>
      <c r="C279" s="26" t="s">
        <v>282</v>
      </c>
      <c r="D279" s="26" t="str">
        <f t="array" ref="D2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25AD226</v>
      </c>
      <c r="E279" s="32" t="str">
        <f t="array" ref="E2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THIANESH H</v>
      </c>
      <c r="F279" s="26" t="str">
        <f t="array" ref="F2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79" s="26" t="str">
        <f t="array" ref="G2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79" s="26" t="str">
        <f t="array" ref="H279">IF(
MOD(ROW()-2,6)=0,
INDEX('Form Responses'!I:I,INT((ROW()-2)/6)+2),
"-- NA --"
)</f>
        <v>-- NA --</v>
      </c>
      <c r="I279" s="32" t="str">
        <f t="array" ref="I279">IF(
MOD(ROW()-2,6)=0,
INDEX('Form Responses'!J:J,INT((ROW()-2)/6)+2),
"-- NA --"
)</f>
        <v>-- NA --</v>
      </c>
      <c r="J279" s="3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26">
        <v>279.0</v>
      </c>
      <c r="B280" s="33"/>
      <c r="C280" s="26" t="s">
        <v>385</v>
      </c>
      <c r="D280" s="26" t="str">
        <f t="array" ref="D2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25AD163</v>
      </c>
      <c r="E280" s="32" t="str">
        <f t="array" ref="E2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RAJAPANDI D</v>
      </c>
      <c r="F280" s="26" t="str">
        <f t="array" ref="F2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80" s="26" t="str">
        <f t="array" ref="G2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80" s="26" t="str">
        <f t="array" ref="H280">IF(
MOD(ROW()-2,6)=0,
INDEX('Form Responses'!I:I,INT((ROW()-2)/6)+2),
"-- NA --"
)</f>
        <v>-- NA --</v>
      </c>
      <c r="I280" s="32" t="str">
        <f t="array" ref="I280">IF(
MOD(ROW()-2,6)=0,
INDEX('Form Responses'!J:J,INT((ROW()-2)/6)+2),
"-- NA --"
)</f>
        <v>-- NA --</v>
      </c>
      <c r="J280" s="3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26">
        <v>280.0</v>
      </c>
      <c r="B281" s="33"/>
      <c r="C281" s="26" t="s">
        <v>425</v>
      </c>
      <c r="D281" s="26" t="str">
        <f t="array" ref="D2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25CS175</v>
      </c>
      <c r="E281" s="32" t="str">
        <f t="array" ref="E2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 R</v>
      </c>
      <c r="F281" s="26" t="str">
        <f t="array" ref="F2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81" s="26" t="str">
        <f t="array" ref="G2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81" s="26" t="str">
        <f t="array" ref="H281">IF(
MOD(ROW()-2,6)=0,
INDEX('Form Responses'!I:I,INT((ROW()-2)/6)+2),
"-- NA --"
)</f>
        <v>-- NA --</v>
      </c>
      <c r="I281" s="32" t="str">
        <f t="array" ref="I281">IF(
MOD(ROW()-2,6)=0,
INDEX('Form Responses'!J:J,INT((ROW()-2)/6)+2),
"-- NA --"
)</f>
        <v>-- NA --</v>
      </c>
      <c r="J281" s="3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26">
        <v>281.0</v>
      </c>
      <c r="B282" s="33"/>
      <c r="C282" s="26" t="s">
        <v>464</v>
      </c>
      <c r="D282" s="26" t="str">
        <f t="array" ref="D2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25EE023</v>
      </c>
      <c r="E282" s="32" t="str">
        <f t="array" ref="E2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 LESHMI V</v>
      </c>
      <c r="F282" s="26" t="str">
        <f t="array" ref="F2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82" s="26" t="str">
        <f t="array" ref="G2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82" s="26" t="str">
        <f t="array" ref="H282">IF(
MOD(ROW()-2,6)=0,
INDEX('Form Responses'!I:I,INT((ROW()-2)/6)+2),
"-- NA --"
)</f>
        <v>-- NA --</v>
      </c>
      <c r="I282" s="32" t="str">
        <f t="array" ref="I282">IF(
MOD(ROW()-2,6)=0,
INDEX('Form Responses'!J:J,INT((ROW()-2)/6)+2),
"-- NA --"
)</f>
        <v>-- NA --</v>
      </c>
      <c r="J282" s="3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26">
        <v>282.0</v>
      </c>
      <c r="B283" s="6"/>
      <c r="C283" s="26" t="s">
        <v>500</v>
      </c>
      <c r="D283" s="26" t="str">
        <f t="array" ref="D2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25EE049</v>
      </c>
      <c r="E283" s="32" t="str">
        <f t="array" ref="E2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SHARMILA MARY I</v>
      </c>
      <c r="F283" s="26" t="str">
        <f t="array" ref="F2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83" s="26" t="str">
        <f t="array" ref="G2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83" s="26" t="str">
        <f t="array" ref="H283">IF(
MOD(ROW()-2,6)=0,
INDEX('Form Responses'!I:I,INT((ROW()-2)/6)+2),
"-- NA --"
)</f>
        <v>-- NA --</v>
      </c>
      <c r="I283" s="32" t="str">
        <f t="array" ref="I283">IF(
MOD(ROW()-2,6)=0,
INDEX('Form Responses'!J:J,INT((ROW()-2)/6)+2),
"-- NA --"
)</f>
        <v>-- NA --</v>
      </c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26">
        <v>283.0</v>
      </c>
      <c r="B284" s="29" t="str">
        <f t="array" ref="B284">INDEX('Form Responses'!$C:$C,INT((ROW()-2)/6)+2)</f>
        <v>Phoenix Alpha Squad</v>
      </c>
      <c r="C284" s="31" t="s">
        <v>140</v>
      </c>
      <c r="D284" s="26" t="str">
        <f t="array" ref="D2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24CB048</v>
      </c>
      <c r="E284" s="32" t="str">
        <f t="array" ref="E2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Sneha T D</v>
      </c>
      <c r="F284" s="26" t="str">
        <f t="array" ref="F2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4" s="26" t="str">
        <f t="array" ref="G2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84" s="26">
        <f t="array" ref="H284">IF(
MOD(ROW()-2,6)=0,
INDEX('Form Responses'!I:I,INT((ROW()-2)/6)+2),
"-- NA --"
)</f>
        <v>9865977796</v>
      </c>
      <c r="I284" s="32" t="str">
        <f t="array" ref="I284">IF(
MOD(ROW()-2,6)=0,
INDEX('Form Responses'!J:J,INT((ROW()-2)/6)+2),
"-- NA --"
)</f>
        <v>sneha.td2024csbs@sece.ac.in</v>
      </c>
      <c r="J284" s="29" t="str">
        <f t="array" ref="J284">INDEX('Form Responses'!$D:$D,INT((ROW()-2)/6)+2)</f>
        <v>Software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26">
        <v>284.0</v>
      </c>
      <c r="B285" s="33"/>
      <c r="C285" s="26" t="s">
        <v>282</v>
      </c>
      <c r="D285" s="26" t="str">
        <f t="array" ref="D2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24CB003</v>
      </c>
      <c r="E285" s="32" t="str">
        <f t="array" ref="E2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 Vidhya R</v>
      </c>
      <c r="F285" s="26" t="str">
        <f t="array" ref="F2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5" s="26" t="str">
        <f t="array" ref="G2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285" s="26" t="str">
        <f t="array" ref="H285">IF(
MOD(ROW()-2,6)=0,
INDEX('Form Responses'!I:I,INT((ROW()-2)/6)+2),
"-- NA --"
)</f>
        <v>-- NA --</v>
      </c>
      <c r="I285" s="32" t="str">
        <f t="array" ref="I285">IF(
MOD(ROW()-2,6)=0,
INDEX('Form Responses'!J:J,INT((ROW()-2)/6)+2),
"-- NA --"
)</f>
        <v>-- NA --</v>
      </c>
      <c r="J285" s="3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26">
        <v>285.0</v>
      </c>
      <c r="B286" s="33"/>
      <c r="C286" s="26" t="s">
        <v>385</v>
      </c>
      <c r="D286" s="26" t="str">
        <f t="array" ref="D2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</v>
      </c>
      <c r="E286" s="32" t="str">
        <f t="array" ref="E2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Prithivi R</v>
      </c>
      <c r="F286" s="26" t="str">
        <f t="array" ref="F2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6" s="26" t="str">
        <f t="array" ref="G2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86" s="26" t="str">
        <f t="array" ref="H286">IF(
MOD(ROW()-2,6)=0,
INDEX('Form Responses'!I:I,INT((ROW()-2)/6)+2),
"-- NA --"
)</f>
        <v>-- NA --</v>
      </c>
      <c r="I286" s="32" t="str">
        <f t="array" ref="I286">IF(
MOD(ROW()-2,6)=0,
INDEX('Form Responses'!J:J,INT((ROW()-2)/6)+2),
"-- NA --"
)</f>
        <v>-- NA --</v>
      </c>
      <c r="J286" s="3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26">
        <v>286.0</v>
      </c>
      <c r="B287" s="33"/>
      <c r="C287" s="26" t="s">
        <v>425</v>
      </c>
      <c r="D287" s="26" t="str">
        <f t="array" ref="D2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24CS167</v>
      </c>
      <c r="E287" s="32" t="str">
        <f t="array" ref="E2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B</v>
      </c>
      <c r="F287" s="26" t="str">
        <f t="array" ref="F2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7" s="26" t="str">
        <f t="array" ref="G2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287" s="26" t="str">
        <f t="array" ref="H287">IF(
MOD(ROW()-2,6)=0,
INDEX('Form Responses'!I:I,INT((ROW()-2)/6)+2),
"-- NA --"
)</f>
        <v>-- NA --</v>
      </c>
      <c r="I287" s="32" t="str">
        <f t="array" ref="I287">IF(
MOD(ROW()-2,6)=0,
INDEX('Form Responses'!J:J,INT((ROW()-2)/6)+2),
"-- NA --"
)</f>
        <v>-- NA --</v>
      </c>
      <c r="J287" s="3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26">
        <v>287.0</v>
      </c>
      <c r="B288" s="33"/>
      <c r="C288" s="26" t="s">
        <v>464</v>
      </c>
      <c r="D288" s="26" t="str">
        <f t="array" ref="D2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24EE058</v>
      </c>
      <c r="E288" s="32" t="str">
        <f t="array" ref="E2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Thensree S</v>
      </c>
      <c r="F288" s="26" t="str">
        <f t="array" ref="F2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8" s="26" t="str">
        <f t="array" ref="G2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88" s="26" t="str">
        <f t="array" ref="H288">IF(
MOD(ROW()-2,6)=0,
INDEX('Form Responses'!I:I,INT((ROW()-2)/6)+2),
"-- NA --"
)</f>
        <v>-- NA --</v>
      </c>
      <c r="I288" s="32" t="str">
        <f t="array" ref="I288">IF(
MOD(ROW()-2,6)=0,
INDEX('Form Responses'!J:J,INT((ROW()-2)/6)+2),
"-- NA --"
)</f>
        <v>-- NA --</v>
      </c>
      <c r="J288" s="3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26">
        <v>288.0</v>
      </c>
      <c r="B289" s="6"/>
      <c r="C289" s="26" t="s">
        <v>500</v>
      </c>
      <c r="D289" s="26" t="str">
        <f t="array" ref="D2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24EE019</v>
      </c>
      <c r="E289" s="32" t="str">
        <f t="array" ref="E2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Kavindhra S</v>
      </c>
      <c r="F289" s="26" t="str">
        <f t="array" ref="F2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89" s="26" t="str">
        <f t="array" ref="G2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89" s="26" t="str">
        <f t="array" ref="H289">IF(
MOD(ROW()-2,6)=0,
INDEX('Form Responses'!I:I,INT((ROW()-2)/6)+2),
"-- NA --"
)</f>
        <v>-- NA --</v>
      </c>
      <c r="I289" s="32" t="str">
        <f t="array" ref="I289">IF(
MOD(ROW()-2,6)=0,
INDEX('Form Responses'!J:J,INT((ROW()-2)/6)+2),
"-- NA --"
)</f>
        <v>-- NA --</v>
      </c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26">
        <v>289.0</v>
      </c>
      <c r="B290" s="29" t="str">
        <f t="array" ref="B290">INDEX('Form Responses'!$C:$C,INT((ROW()-2)/6)+2)</f>
        <v>HexaMinds</v>
      </c>
      <c r="C290" s="31" t="s">
        <v>140</v>
      </c>
      <c r="D290" s="26" t="str">
        <f t="array" ref="D2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24AD123</v>
      </c>
      <c r="E290" s="32" t="str">
        <f t="array" ref="E2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Midhuna R</v>
      </c>
      <c r="F290" s="26" t="str">
        <f t="array" ref="F2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0" s="26" t="str">
        <f t="array" ref="G2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0" s="26">
        <f t="array" ref="H290">IF(
MOD(ROW()-2,6)=0,
INDEX('Form Responses'!I:I,INT((ROW()-2)/6)+2),
"-- NA --"
)</f>
        <v>8524862209</v>
      </c>
      <c r="I290" s="32" t="str">
        <f t="array" ref="I290">IF(
MOD(ROW()-2,6)=0,
INDEX('Form Responses'!J:J,INT((ROW()-2)/6)+2),
"-- NA --"
)</f>
        <v>midhuna.r2024aids@sece.ac.in</v>
      </c>
      <c r="J290" s="29" t="str">
        <f t="array" ref="J290">INDEX('Form Responses'!$D:$D,INT((ROW()-2)/6)+2)</f>
        <v>Hardware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26">
        <v>290.0</v>
      </c>
      <c r="B291" s="33"/>
      <c r="C291" s="26" t="s">
        <v>282</v>
      </c>
      <c r="D291" s="26" t="str">
        <f t="array" ref="D2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24AD108</v>
      </c>
      <c r="E291" s="32" t="str">
        <f t="array" ref="E2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Lakshana S</v>
      </c>
      <c r="F291" s="26" t="str">
        <f t="array" ref="F2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1" s="26" t="str">
        <f t="array" ref="G2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1" s="26" t="str">
        <f t="array" ref="H291">IF(
MOD(ROW()-2,6)=0,
INDEX('Form Responses'!I:I,INT((ROW()-2)/6)+2),
"-- NA --"
)</f>
        <v>-- NA --</v>
      </c>
      <c r="I291" s="32" t="str">
        <f t="array" ref="I291">IF(
MOD(ROW()-2,6)=0,
INDEX('Form Responses'!J:J,INT((ROW()-2)/6)+2),
"-- NA --"
)</f>
        <v>-- NA --</v>
      </c>
      <c r="J291" s="3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26">
        <v>291.0</v>
      </c>
      <c r="B292" s="33"/>
      <c r="C292" s="26" t="s">
        <v>385</v>
      </c>
      <c r="D292" s="26" t="str">
        <f t="array" ref="D2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24AD111</v>
      </c>
      <c r="E292" s="32" t="str">
        <f t="array" ref="E2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Lalitha SV</v>
      </c>
      <c r="F292" s="26" t="str">
        <f t="array" ref="F2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2" s="26" t="str">
        <f t="array" ref="G2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2" s="26" t="str">
        <f t="array" ref="H292">IF(
MOD(ROW()-2,6)=0,
INDEX('Form Responses'!I:I,INT((ROW()-2)/6)+2),
"-- NA --"
)</f>
        <v>-- NA --</v>
      </c>
      <c r="I292" s="32" t="str">
        <f t="array" ref="I292">IF(
MOD(ROW()-2,6)=0,
INDEX('Form Responses'!J:J,INT((ROW()-2)/6)+2),
"-- NA --"
)</f>
        <v>-- NA --</v>
      </c>
      <c r="J292" s="3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26">
        <v>292.0</v>
      </c>
      <c r="B293" s="33"/>
      <c r="C293" s="26" t="s">
        <v>425</v>
      </c>
      <c r="D293" s="26" t="str">
        <f t="array" ref="D2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24AD118</v>
      </c>
      <c r="E293" s="32" t="str">
        <f t="array" ref="E2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Mathan Prasath S</v>
      </c>
      <c r="F293" s="26" t="str">
        <f t="array" ref="F2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3" s="26" t="str">
        <f t="array" ref="G2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3" s="26" t="str">
        <f t="array" ref="H293">IF(
MOD(ROW()-2,6)=0,
INDEX('Form Responses'!I:I,INT((ROW()-2)/6)+2),
"-- NA --"
)</f>
        <v>-- NA --</v>
      </c>
      <c r="I293" s="32" t="str">
        <f t="array" ref="I293">IF(
MOD(ROW()-2,6)=0,
INDEX('Form Responses'!J:J,INT((ROW()-2)/6)+2),
"-- NA --"
)</f>
        <v>-- NA --</v>
      </c>
      <c r="J293" s="3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26">
        <v>293.0</v>
      </c>
      <c r="B294" s="33"/>
      <c r="C294" s="26" t="s">
        <v>464</v>
      </c>
      <c r="D294" s="26" t="str">
        <f t="array" ref="D2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24IT014</v>
      </c>
      <c r="E294" s="32" t="str">
        <f t="array" ref="E2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Kesavan </v>
      </c>
      <c r="F294" s="26" t="str">
        <f t="array" ref="F2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4" s="26" t="str">
        <f t="array" ref="G2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294" s="26" t="str">
        <f t="array" ref="H294">IF(
MOD(ROW()-2,6)=0,
INDEX('Form Responses'!I:I,INT((ROW()-2)/6)+2),
"-- NA --"
)</f>
        <v>-- NA --</v>
      </c>
      <c r="I294" s="32" t="str">
        <f t="array" ref="I294">IF(
MOD(ROW()-2,6)=0,
INDEX('Form Responses'!J:J,INT((ROW()-2)/6)+2),
"-- NA --"
)</f>
        <v>-- NA --</v>
      </c>
      <c r="J294" s="3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26">
        <v>294.0</v>
      </c>
      <c r="B295" s="6"/>
      <c r="C295" s="26" t="s">
        <v>500</v>
      </c>
      <c r="D295" s="26" t="str">
        <f t="array" ref="D2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24EE059</v>
      </c>
      <c r="E295" s="32" t="str">
        <f t="array" ref="E2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Threga S</v>
      </c>
      <c r="F295" s="26" t="str">
        <f t="array" ref="F2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295" s="26" t="str">
        <f t="array" ref="G2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295" s="26" t="str">
        <f t="array" ref="H295">IF(
MOD(ROW()-2,6)=0,
INDEX('Form Responses'!I:I,INT((ROW()-2)/6)+2),
"-- NA --"
)</f>
        <v>-- NA --</v>
      </c>
      <c r="I295" s="32" t="str">
        <f t="array" ref="I295">IF(
MOD(ROW()-2,6)=0,
INDEX('Form Responses'!J:J,INT((ROW()-2)/6)+2),
"-- NA --"
)</f>
        <v>-- NA --</v>
      </c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26">
        <v>295.0</v>
      </c>
      <c r="B296" s="29" t="str">
        <f t="array" ref="B296">INDEX('Form Responses'!$C:$C,INT((ROW()-2)/6)+2)</f>
        <v>Nexora Technologies</v>
      </c>
      <c r="C296" s="31" t="s">
        <v>140</v>
      </c>
      <c r="D296" s="26" t="str">
        <f t="array" ref="D2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25AD190</v>
      </c>
      <c r="E296" s="32" t="str">
        <f t="array" ref="E2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Sevvanthi T S</v>
      </c>
      <c r="F296" s="26" t="str">
        <f t="array" ref="F2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96" s="26" t="str">
        <f t="array" ref="G2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6" s="26">
        <f t="array" ref="H296">IF(
MOD(ROW()-2,6)=0,
INDEX('Form Responses'!I:I,INT((ROW()-2)/6)+2),
"-- NA --"
)</f>
        <v>9976323150</v>
      </c>
      <c r="I296" s="32" t="str">
        <f t="array" ref="I296">IF(
MOD(ROW()-2,6)=0,
INDEX('Form Responses'!J:J,INT((ROW()-2)/6)+2),
"-- NA --"
)</f>
        <v>Sevvanthi.ts2025aids@sece.ac.in</v>
      </c>
      <c r="J296" s="29" t="str">
        <f t="array" ref="J296">INDEX('Form Responses'!$D:$D,INT((ROW()-2)/6)+2)</f>
        <v>Hardware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26">
        <v>296.0</v>
      </c>
      <c r="B297" s="33"/>
      <c r="C297" s="26" t="s">
        <v>282</v>
      </c>
      <c r="D297" s="26" t="str">
        <f t="array" ref="D2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25AD223</v>
      </c>
      <c r="E297" s="32" t="str">
        <f t="array" ref="E2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Thamira H</v>
      </c>
      <c r="F297" s="26" t="str">
        <f t="array" ref="F2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97" s="26" t="str">
        <f t="array" ref="G2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7" s="26" t="str">
        <f t="array" ref="H297">IF(
MOD(ROW()-2,6)=0,
INDEX('Form Responses'!I:I,INT((ROW()-2)/6)+2),
"-- NA --"
)</f>
        <v>-- NA --</v>
      </c>
      <c r="I297" s="32" t="str">
        <f t="array" ref="I297">IF(
MOD(ROW()-2,6)=0,
INDEX('Form Responses'!J:J,INT((ROW()-2)/6)+2),
"-- NA --"
)</f>
        <v>-- NA --</v>
      </c>
      <c r="J297" s="3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26">
        <v>297.0</v>
      </c>
      <c r="B298" s="33"/>
      <c r="C298" s="26" t="s">
        <v>385</v>
      </c>
      <c r="D298" s="26" t="str">
        <f t="array" ref="D2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23AD231</v>
      </c>
      <c r="E298" s="32" t="str">
        <f t="array" ref="E2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S</v>
      </c>
      <c r="F298" s="26" t="str">
        <f t="array" ref="F2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98" s="26" t="str">
        <f t="array" ref="G2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8" s="26" t="str">
        <f t="array" ref="H298">IF(
MOD(ROW()-2,6)=0,
INDEX('Form Responses'!I:I,INT((ROW()-2)/6)+2),
"-- NA --"
)</f>
        <v>-- NA --</v>
      </c>
      <c r="I298" s="32" t="str">
        <f t="array" ref="I298">IF(
MOD(ROW()-2,6)=0,
INDEX('Form Responses'!J:J,INT((ROW()-2)/6)+2),
"-- NA --"
)</f>
        <v>-- NA --</v>
      </c>
      <c r="J298" s="3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26">
        <v>298.0</v>
      </c>
      <c r="B299" s="33"/>
      <c r="C299" s="26" t="s">
        <v>425</v>
      </c>
      <c r="D299" s="26" t="str">
        <f t="array" ref="D2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25AD232</v>
      </c>
      <c r="E299" s="32" t="str">
        <f t="array" ref="E2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T</v>
      </c>
      <c r="F299" s="26" t="str">
        <f t="array" ref="F2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299" s="26" t="str">
        <f t="array" ref="G2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299" s="26" t="str">
        <f t="array" ref="H299">IF(
MOD(ROW()-2,6)=0,
INDEX('Form Responses'!I:I,INT((ROW()-2)/6)+2),
"-- NA --"
)</f>
        <v>-- NA --</v>
      </c>
      <c r="I299" s="32" t="str">
        <f t="array" ref="I299">IF(
MOD(ROW()-2,6)=0,
INDEX('Form Responses'!J:J,INT((ROW()-2)/6)+2),
"-- NA --"
)</f>
        <v>-- NA --</v>
      </c>
      <c r="J299" s="3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26">
        <v>299.0</v>
      </c>
      <c r="B300" s="33"/>
      <c r="C300" s="26" t="s">
        <v>464</v>
      </c>
      <c r="D300" s="26" t="str">
        <f t="array" ref="D3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25CB008</v>
      </c>
      <c r="E300" s="32" t="str">
        <f t="array" ref="E3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 S</v>
      </c>
      <c r="F300" s="26" t="str">
        <f t="array" ref="F3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0" s="26" t="str">
        <f t="array" ref="G3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00" s="26" t="str">
        <f t="array" ref="H300">IF(
MOD(ROW()-2,6)=0,
INDEX('Form Responses'!I:I,INT((ROW()-2)/6)+2),
"-- NA --"
)</f>
        <v>-- NA --</v>
      </c>
      <c r="I300" s="32" t="str">
        <f t="array" ref="I300">IF(
MOD(ROW()-2,6)=0,
INDEX('Form Responses'!J:J,INT((ROW()-2)/6)+2),
"-- NA --"
)</f>
        <v>-- NA --</v>
      </c>
      <c r="J300" s="3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26">
        <v>300.0</v>
      </c>
      <c r="B301" s="6"/>
      <c r="C301" s="26" t="s">
        <v>500</v>
      </c>
      <c r="D301" s="26" t="str">
        <f t="array" ref="D3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25CB060</v>
      </c>
      <c r="E301" s="32" t="str">
        <f t="array" ref="E3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Viswa Mahesh K</v>
      </c>
      <c r="F301" s="26" t="str">
        <f t="array" ref="F3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1" s="26" t="str">
        <f t="array" ref="G3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01" s="26" t="str">
        <f t="array" ref="H301">IF(
MOD(ROW()-2,6)=0,
INDEX('Form Responses'!I:I,INT((ROW()-2)/6)+2),
"-- NA --"
)</f>
        <v>-- NA --</v>
      </c>
      <c r="I301" s="32" t="str">
        <f t="array" ref="I301">IF(
MOD(ROW()-2,6)=0,
INDEX('Form Responses'!J:J,INT((ROW()-2)/6)+2),
"-- NA --"
)</f>
        <v>-- NA --</v>
      </c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26">
        <v>301.0</v>
      </c>
      <c r="B302" s="29" t="str">
        <f t="array" ref="B302">INDEX('Form Responses'!$C:$C,INT((ROW()-2)/6)+2)</f>
        <v>INVICTA </v>
      </c>
      <c r="C302" s="31" t="s">
        <v>140</v>
      </c>
      <c r="D302" s="26" t="str">
        <f t="array" ref="D3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25CS066</v>
      </c>
      <c r="E302" s="32" t="str">
        <f t="array" ref="E3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G</v>
      </c>
      <c r="F302" s="26" t="str">
        <f t="array" ref="F3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2" s="26" t="str">
        <f t="array" ref="G3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02" s="26">
        <f t="array" ref="H302">IF(
MOD(ROW()-2,6)=0,
INDEX('Form Responses'!I:I,INT((ROW()-2)/6)+2),
"-- NA --"
)</f>
        <v>9655883378</v>
      </c>
      <c r="I302" s="32" t="str">
        <f t="array" ref="I302">IF(
MOD(ROW()-2,6)=0,
INDEX('Form Responses'!J:J,INT((ROW()-2)/6)+2),
"-- NA --"
)</f>
        <v>harini.g2025cse@sece.ac.in</v>
      </c>
      <c r="J302" s="29" t="str">
        <f t="array" ref="J302">INDEX('Form Responses'!$D:$D,INT((ROW()-2)/6)+2)</f>
        <v>Software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26">
        <v>302.0</v>
      </c>
      <c r="B303" s="33"/>
      <c r="C303" s="26" t="s">
        <v>282</v>
      </c>
      <c r="D303" s="26" t="str">
        <f t="array" ref="D3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25CS072</v>
      </c>
      <c r="E303" s="32" t="str">
        <f t="array" ref="E3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P K </v>
      </c>
      <c r="F303" s="26" t="str">
        <f t="array" ref="F3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3" s="26" t="str">
        <f t="array" ref="G3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03" s="26" t="str">
        <f t="array" ref="H303">IF(
MOD(ROW()-2,6)=0,
INDEX('Form Responses'!I:I,INT((ROW()-2)/6)+2),
"-- NA --"
)</f>
        <v>-- NA --</v>
      </c>
      <c r="I303" s="32" t="str">
        <f t="array" ref="I303">IF(
MOD(ROW()-2,6)=0,
INDEX('Form Responses'!J:J,INT((ROW()-2)/6)+2),
"-- NA --"
)</f>
        <v>-- NA --</v>
      </c>
      <c r="J303" s="3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26">
        <v>303.0</v>
      </c>
      <c r="B304" s="33"/>
      <c r="C304" s="26" t="s">
        <v>385</v>
      </c>
      <c r="D304" s="26" t="str">
        <f t="array" ref="D3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25CS069</v>
      </c>
      <c r="E304" s="32" t="str">
        <f t="array" ref="E3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HARINISRI S</v>
      </c>
      <c r="F304" s="26" t="str">
        <f t="array" ref="F3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4" s="26" t="str">
        <f t="array" ref="G3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04" s="26" t="str">
        <f t="array" ref="H304">IF(
MOD(ROW()-2,6)=0,
INDEX('Form Responses'!I:I,INT((ROW()-2)/6)+2),
"-- NA --"
)</f>
        <v>-- NA --</v>
      </c>
      <c r="I304" s="32" t="str">
        <f t="array" ref="I304">IF(
MOD(ROW()-2,6)=0,
INDEX('Form Responses'!J:J,INT((ROW()-2)/6)+2),
"-- NA --"
)</f>
        <v>-- NA --</v>
      </c>
      <c r="J304" s="3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26">
        <v>304.0</v>
      </c>
      <c r="B305" s="33"/>
      <c r="C305" s="26" t="s">
        <v>425</v>
      </c>
      <c r="D305" s="26" t="str">
        <f t="array" ref="D3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25CS085</v>
      </c>
      <c r="E305" s="32" t="str">
        <f t="array" ref="E3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JEGASHREE A</v>
      </c>
      <c r="F305" s="26" t="str">
        <f t="array" ref="F3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5" s="26" t="str">
        <f t="array" ref="G3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05" s="26" t="str">
        <f t="array" ref="H305">IF(
MOD(ROW()-2,6)=0,
INDEX('Form Responses'!I:I,INT((ROW()-2)/6)+2),
"-- NA --"
)</f>
        <v>-- NA --</v>
      </c>
      <c r="I305" s="32" t="str">
        <f t="array" ref="I305">IF(
MOD(ROW()-2,6)=0,
INDEX('Form Responses'!J:J,INT((ROW()-2)/6)+2),
"-- NA --"
)</f>
        <v>-- NA --</v>
      </c>
      <c r="J305" s="3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26">
        <v>305.0</v>
      </c>
      <c r="B306" s="33"/>
      <c r="C306" s="26" t="s">
        <v>464</v>
      </c>
      <c r="D306" s="26" t="str">
        <f t="array" ref="D3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25CS129</v>
      </c>
      <c r="E306" s="32" t="str">
        <f t="array" ref="E3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MOGITHA G</v>
      </c>
      <c r="F306" s="26" t="str">
        <f t="array" ref="F3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6" s="26" t="str">
        <f t="array" ref="G3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06" s="26" t="str">
        <f t="array" ref="H306">IF(
MOD(ROW()-2,6)=0,
INDEX('Form Responses'!I:I,INT((ROW()-2)/6)+2),
"-- NA --"
)</f>
        <v>-- NA --</v>
      </c>
      <c r="I306" s="32" t="str">
        <f t="array" ref="I306">IF(
MOD(ROW()-2,6)=0,
INDEX('Form Responses'!J:J,INT((ROW()-2)/6)+2),
"-- NA --"
)</f>
        <v>-- NA --</v>
      </c>
      <c r="J306" s="3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26">
        <v>306.0</v>
      </c>
      <c r="B307" s="6"/>
      <c r="C307" s="26" t="s">
        <v>500</v>
      </c>
      <c r="D307" s="26" t="str">
        <f t="array" ref="D3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25CC038</v>
      </c>
      <c r="E307" s="32" t="str">
        <f t="array" ref="E3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PRANEETHA S</v>
      </c>
      <c r="F307" s="26" t="str">
        <f t="array" ref="F3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7" s="26" t="str">
        <f t="array" ref="G3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307" s="26" t="str">
        <f t="array" ref="H307">IF(
MOD(ROW()-2,6)=0,
INDEX('Form Responses'!I:I,INT((ROW()-2)/6)+2),
"-- NA --"
)</f>
        <v>-- NA --</v>
      </c>
      <c r="I307" s="32" t="str">
        <f t="array" ref="I307">IF(
MOD(ROW()-2,6)=0,
INDEX('Form Responses'!J:J,INT((ROW()-2)/6)+2),
"-- NA --"
)</f>
        <v>-- NA --</v>
      </c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26">
        <v>307.0</v>
      </c>
      <c r="B308" s="29" t="str">
        <f t="array" ref="B308">INDEX('Form Responses'!$C:$C,INT((ROW()-2)/6)+2)</f>
        <v>HEXA CATALYST</v>
      </c>
      <c r="C308" s="31" t="s">
        <v>140</v>
      </c>
      <c r="D308" s="26" t="str">
        <f t="array" ref="D3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25AD083</v>
      </c>
      <c r="E308" s="32" t="str">
        <f t="array" ref="E3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JELTRIN D</v>
      </c>
      <c r="F308" s="26" t="str">
        <f t="array" ref="F3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8" s="26" t="str">
        <f t="array" ref="G3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08" s="26">
        <f t="array" ref="H308">IF(
MOD(ROW()-2,6)=0,
INDEX('Form Responses'!I:I,INT((ROW()-2)/6)+2),
"-- NA --"
)</f>
        <v>6379793089</v>
      </c>
      <c r="I308" s="32" t="str">
        <f t="array" ref="I308">IF(
MOD(ROW()-2,6)=0,
INDEX('Form Responses'!J:J,INT((ROW()-2)/6)+2),
"-- NA --"
)</f>
        <v>jeltrin.d2025aids@sece.ac.in</v>
      </c>
      <c r="J308" s="29" t="str">
        <f t="array" ref="J308">INDEX('Form Responses'!$D:$D,INT((ROW()-2)/6)+2)</f>
        <v>Software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26">
        <v>308.0</v>
      </c>
      <c r="B309" s="33"/>
      <c r="C309" s="26" t="s">
        <v>282</v>
      </c>
      <c r="D309" s="26" t="str">
        <f t="array" ref="D3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25AD037</v>
      </c>
      <c r="E309" s="32" t="str">
        <f t="array" ref="E3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DHARSANI G</v>
      </c>
      <c r="F309" s="26" t="str">
        <f t="array" ref="F3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09" s="26" t="str">
        <f t="array" ref="G3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09" s="26" t="str">
        <f t="array" ref="H309">IF(
MOD(ROW()-2,6)=0,
INDEX('Form Responses'!I:I,INT((ROW()-2)/6)+2),
"-- NA --"
)</f>
        <v>-- NA --</v>
      </c>
      <c r="I309" s="32" t="str">
        <f t="array" ref="I309">IF(
MOD(ROW()-2,6)=0,
INDEX('Form Responses'!J:J,INT((ROW()-2)/6)+2),
"-- NA --"
)</f>
        <v>-- NA --</v>
      </c>
      <c r="J309" s="3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26">
        <v>309.0</v>
      </c>
      <c r="B310" s="33"/>
      <c r="C310" s="26" t="s">
        <v>385</v>
      </c>
      <c r="D310" s="26" t="str">
        <f t="array" ref="D3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25AD112</v>
      </c>
      <c r="E310" s="32" t="str">
        <f t="array" ref="E3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MADHAN M</v>
      </c>
      <c r="F310" s="26" t="str">
        <f t="array" ref="F3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0" s="26" t="str">
        <f t="array" ref="G3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10" s="26" t="str">
        <f t="array" ref="H310">IF(
MOD(ROW()-2,6)=0,
INDEX('Form Responses'!I:I,INT((ROW()-2)/6)+2),
"-- NA --"
)</f>
        <v>-- NA --</v>
      </c>
      <c r="I310" s="32" t="str">
        <f t="array" ref="I310">IF(
MOD(ROW()-2,6)=0,
INDEX('Form Responses'!J:J,INT((ROW()-2)/6)+2),
"-- NA --"
)</f>
        <v>-- NA --</v>
      </c>
      <c r="J310" s="3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26">
        <v>310.0</v>
      </c>
      <c r="B311" s="33"/>
      <c r="C311" s="26" t="s">
        <v>425</v>
      </c>
      <c r="D311" s="26" t="str">
        <f t="array" ref="D3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25AD240</v>
      </c>
      <c r="E311" s="32" t="str">
        <f t="array" ref="E3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VIKASH KRISHNAA R</v>
      </c>
      <c r="F311" s="26" t="str">
        <f t="array" ref="F3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1" s="26" t="str">
        <f t="array" ref="G3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11" s="26" t="str">
        <f t="array" ref="H311">IF(
MOD(ROW()-2,6)=0,
INDEX('Form Responses'!I:I,INT((ROW()-2)/6)+2),
"-- NA --"
)</f>
        <v>-- NA --</v>
      </c>
      <c r="I311" s="32" t="str">
        <f t="array" ref="I311">IF(
MOD(ROW()-2,6)=0,
INDEX('Form Responses'!J:J,INT((ROW()-2)/6)+2),
"-- NA --"
)</f>
        <v>-- NA --</v>
      </c>
      <c r="J311" s="3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26">
        <v>311.0</v>
      </c>
      <c r="B312" s="33"/>
      <c r="C312" s="26" t="s">
        <v>464</v>
      </c>
      <c r="D312" s="26" t="str">
        <f t="array" ref="D3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25AD072</v>
      </c>
      <c r="E312" s="32" t="str">
        <f t="array" ref="E3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INDIRESH P L</v>
      </c>
      <c r="F312" s="26" t="str">
        <f t="array" ref="F3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2" s="26" t="str">
        <f t="array" ref="G3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12" s="26" t="str">
        <f t="array" ref="H312">IF(
MOD(ROW()-2,6)=0,
INDEX('Form Responses'!I:I,INT((ROW()-2)/6)+2),
"-- NA --"
)</f>
        <v>-- NA --</v>
      </c>
      <c r="I312" s="32" t="str">
        <f t="array" ref="I312">IF(
MOD(ROW()-2,6)=0,
INDEX('Form Responses'!J:J,INT((ROW()-2)/6)+2),
"-- NA --"
)</f>
        <v>-- NA --</v>
      </c>
      <c r="J312" s="3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26">
        <v>312.0</v>
      </c>
      <c r="B313" s="6"/>
      <c r="C313" s="26" t="s">
        <v>500</v>
      </c>
      <c r="D313" s="26" t="str">
        <f t="array" ref="D3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25AD102</v>
      </c>
      <c r="E313" s="32" t="str">
        <f t="array" ref="E3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KESHAV K</v>
      </c>
      <c r="F313" s="26" t="str">
        <f t="array" ref="F3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3" s="26" t="str">
        <f t="array" ref="G3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13" s="26" t="str">
        <f t="array" ref="H313">IF(
MOD(ROW()-2,6)=0,
INDEX('Form Responses'!I:I,INT((ROW()-2)/6)+2),
"-- NA --"
)</f>
        <v>-- NA --</v>
      </c>
      <c r="I313" s="32" t="str">
        <f t="array" ref="I313">IF(
MOD(ROW()-2,6)=0,
INDEX('Form Responses'!J:J,INT((ROW()-2)/6)+2),
"-- NA --"
)</f>
        <v>-- NA --</v>
      </c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26">
        <v>313.0</v>
      </c>
      <c r="B314" s="29" t="str">
        <f t="array" ref="B314">INDEX('Form Responses'!$C:$C,INT((ROW()-2)/6)+2)</f>
        <v>CodeVerse</v>
      </c>
      <c r="C314" s="31" t="s">
        <v>140</v>
      </c>
      <c r="D314" s="26" t="str">
        <f t="array" ref="D3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25IT062 </v>
      </c>
      <c r="E314" s="32" t="str">
        <f t="array" ref="E3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VISHWA B</v>
      </c>
      <c r="F314" s="26" t="str">
        <f t="array" ref="F3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4" s="26" t="str">
        <f t="array" ref="G3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14" s="26">
        <f t="array" ref="H314">IF(
MOD(ROW()-2,6)=0,
INDEX('Form Responses'!I:I,INT((ROW()-2)/6)+2),
"-- NA --"
)</f>
        <v>6382255457</v>
      </c>
      <c r="I314" s="32" t="str">
        <f t="array" ref="I314">IF(
MOD(ROW()-2,6)=0,
INDEX('Form Responses'!J:J,INT((ROW()-2)/6)+2),
"-- NA --"
)</f>
        <v>Vishwa.b2025it@sece.ac.in</v>
      </c>
      <c r="J314" s="29" t="str">
        <f t="array" ref="J314">INDEX('Form Responses'!$D:$D,INT((ROW()-2)/6)+2)</f>
        <v>Software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26">
        <v>314.0</v>
      </c>
      <c r="B315" s="33"/>
      <c r="C315" s="26" t="s">
        <v>282</v>
      </c>
      <c r="D315" s="26" t="str">
        <f t="array" ref="D3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25IT034 </v>
      </c>
      <c r="E315" s="32" t="str">
        <f t="array" ref="E3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 KUMAR S</v>
      </c>
      <c r="F315" s="26" t="str">
        <f t="array" ref="F3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5" s="26" t="str">
        <f t="array" ref="G3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15" s="26" t="str">
        <f t="array" ref="H315">IF(
MOD(ROW()-2,6)=0,
INDEX('Form Responses'!I:I,INT((ROW()-2)/6)+2),
"-- NA --"
)</f>
        <v>-- NA --</v>
      </c>
      <c r="I315" s="32" t="str">
        <f t="array" ref="I315">IF(
MOD(ROW()-2,6)=0,
INDEX('Form Responses'!J:J,INT((ROW()-2)/6)+2),
"-- NA --"
)</f>
        <v>-- NA --</v>
      </c>
      <c r="J315" s="3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26">
        <v>315.0</v>
      </c>
      <c r="B316" s="33"/>
      <c r="C316" s="26" t="s">
        <v>385</v>
      </c>
      <c r="D316" s="26" t="str">
        <f t="array" ref="D3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25IT029</v>
      </c>
      <c r="E316" s="32" t="str">
        <f t="array" ref="E3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MADHUMITHA J R</v>
      </c>
      <c r="F316" s="26" t="str">
        <f t="array" ref="F3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6" s="26" t="str">
        <f t="array" ref="G3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16" s="26" t="str">
        <f t="array" ref="H316">IF(
MOD(ROW()-2,6)=0,
INDEX('Form Responses'!I:I,INT((ROW()-2)/6)+2),
"-- NA --"
)</f>
        <v>-- NA --</v>
      </c>
      <c r="I316" s="32" t="str">
        <f t="array" ref="I316">IF(
MOD(ROW()-2,6)=0,
INDEX('Form Responses'!J:J,INT((ROW()-2)/6)+2),
"-- NA --"
)</f>
        <v>-- NA --</v>
      </c>
      <c r="J316" s="3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26">
        <v>316.0</v>
      </c>
      <c r="B317" s="33"/>
      <c r="C317" s="26" t="s">
        <v>425</v>
      </c>
      <c r="D317" s="26" t="str">
        <f t="array" ref="D3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25IT059</v>
      </c>
      <c r="E317" s="32" t="str">
        <f t="array" ref="E3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THARANI V</v>
      </c>
      <c r="F317" s="26" t="str">
        <f t="array" ref="F3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7" s="26" t="str">
        <f t="array" ref="G3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17" s="26" t="str">
        <f t="array" ref="H317">IF(
MOD(ROW()-2,6)=0,
INDEX('Form Responses'!I:I,INT((ROW()-2)/6)+2),
"-- NA --"
)</f>
        <v>-- NA --</v>
      </c>
      <c r="I317" s="32" t="str">
        <f t="array" ref="I317">IF(
MOD(ROW()-2,6)=0,
INDEX('Form Responses'!J:J,INT((ROW()-2)/6)+2),
"-- NA --"
)</f>
        <v>-- NA --</v>
      </c>
      <c r="J317" s="3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26">
        <v>317.0</v>
      </c>
      <c r="B318" s="33"/>
      <c r="C318" s="26" t="s">
        <v>464</v>
      </c>
      <c r="D318" s="26" t="str">
        <f t="array" ref="D3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25IT023</v>
      </c>
      <c r="E318" s="32" t="str">
        <f t="array" ref="E3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JOANNA PRISCILLA R</v>
      </c>
      <c r="F318" s="26" t="str">
        <f t="array" ref="F3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8" s="26" t="str">
        <f t="array" ref="G3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18" s="26" t="str">
        <f t="array" ref="H318">IF(
MOD(ROW()-2,6)=0,
INDEX('Form Responses'!I:I,INT((ROW()-2)/6)+2),
"-- NA --"
)</f>
        <v>-- NA --</v>
      </c>
      <c r="I318" s="32" t="str">
        <f t="array" ref="I318">IF(
MOD(ROW()-2,6)=0,
INDEX('Form Responses'!J:J,INT((ROW()-2)/6)+2),
"-- NA --"
)</f>
        <v>-- NA --</v>
      </c>
      <c r="J318" s="3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26">
        <v>318.0</v>
      </c>
      <c r="B319" s="6"/>
      <c r="C319" s="26" t="s">
        <v>500</v>
      </c>
      <c r="D319" s="26" t="str">
        <f t="array" ref="D3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25CS017</v>
      </c>
      <c r="E319" s="32" t="str">
        <f t="array" ref="E3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ASHWIN RATSINGER R</v>
      </c>
      <c r="F319" s="26" t="str">
        <f t="array" ref="F3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19" s="26" t="str">
        <f t="array" ref="G3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19" s="26" t="str">
        <f t="array" ref="H319">IF(
MOD(ROW()-2,6)=0,
INDEX('Form Responses'!I:I,INT((ROW()-2)/6)+2),
"-- NA --"
)</f>
        <v>-- NA --</v>
      </c>
      <c r="I319" s="32" t="str">
        <f t="array" ref="I319">IF(
MOD(ROW()-2,6)=0,
INDEX('Form Responses'!J:J,INT((ROW()-2)/6)+2),
"-- NA --"
)</f>
        <v>-- NA --</v>
      </c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26">
        <v>319.0</v>
      </c>
      <c r="B320" s="29" t="str">
        <f t="array" ref="B320">INDEX('Form Responses'!$C:$C,INT((ROW()-2)/6)+2)</f>
        <v>ORION FORGE</v>
      </c>
      <c r="C320" s="31" t="s">
        <v>140</v>
      </c>
      <c r="D320" s="26" t="str">
        <f t="array" ref="D3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25AD167</v>
      </c>
      <c r="E320" s="32" t="str">
        <f t="array" ref="E3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RANJITH BALA B</v>
      </c>
      <c r="F320" s="26" t="str">
        <f t="array" ref="F3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0" s="26" t="str">
        <f t="array" ref="G3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20" s="26">
        <f t="array" ref="H320">IF(
MOD(ROW()-2,6)=0,
INDEX('Form Responses'!I:I,INT((ROW()-2)/6)+2),
"-- NA --"
)</f>
        <v>8825532022</v>
      </c>
      <c r="I320" s="32" t="str">
        <f t="array" ref="I320">IF(
MOD(ROW()-2,6)=0,
INDEX('Form Responses'!J:J,INT((ROW()-2)/6)+2),
"-- NA --"
)</f>
        <v>ranjithbala.b2025aids@sece.ac.in</v>
      </c>
      <c r="J320" s="29" t="str">
        <f t="array" ref="J320">INDEX('Form Responses'!$D:$D,INT((ROW()-2)/6)+2)</f>
        <v>Software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26">
        <v>320.0</v>
      </c>
      <c r="B321" s="33"/>
      <c r="C321" s="26" t="s">
        <v>282</v>
      </c>
      <c r="D321" s="26" t="str">
        <f t="array" ref="D3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25AD013</v>
      </c>
      <c r="E321" s="32" t="str">
        <f t="array" ref="E3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ARUL RAJ W</v>
      </c>
      <c r="F321" s="26" t="str">
        <f t="array" ref="F3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1" s="26" t="str">
        <f t="array" ref="G3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21" s="26" t="str">
        <f t="array" ref="H321">IF(
MOD(ROW()-2,6)=0,
INDEX('Form Responses'!I:I,INT((ROW()-2)/6)+2),
"-- NA --"
)</f>
        <v>-- NA --</v>
      </c>
      <c r="I321" s="32" t="str">
        <f t="array" ref="I321">IF(
MOD(ROW()-2,6)=0,
INDEX('Form Responses'!J:J,INT((ROW()-2)/6)+2),
"-- NA --"
)</f>
        <v>-- NA --</v>
      </c>
      <c r="J321" s="3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26">
        <v>321.0</v>
      </c>
      <c r="B322" s="33"/>
      <c r="C322" s="26" t="s">
        <v>385</v>
      </c>
      <c r="D322" s="26" t="str">
        <f t="array" ref="D3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25AD160</v>
      </c>
      <c r="E322" s="32" t="str">
        <f t="array" ref="E3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RAGUL S</v>
      </c>
      <c r="F322" s="26" t="str">
        <f t="array" ref="F3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2" s="26" t="str">
        <f t="array" ref="G3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22" s="26" t="str">
        <f t="array" ref="H322">IF(
MOD(ROW()-2,6)=0,
INDEX('Form Responses'!I:I,INT((ROW()-2)/6)+2),
"-- NA --"
)</f>
        <v>-- NA --</v>
      </c>
      <c r="I322" s="32" t="str">
        <f t="array" ref="I322">IF(
MOD(ROW()-2,6)=0,
INDEX('Form Responses'!J:J,INT((ROW()-2)/6)+2),
"-- NA --"
)</f>
        <v>-- NA --</v>
      </c>
      <c r="J322" s="3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26">
        <v>322.0</v>
      </c>
      <c r="B323" s="33"/>
      <c r="C323" s="26" t="s">
        <v>425</v>
      </c>
      <c r="D323" s="26" t="str">
        <f t="array" ref="D3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25AD246</v>
      </c>
      <c r="E323" s="32" t="str">
        <f t="array" ref="E3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M</v>
      </c>
      <c r="F323" s="26" t="str">
        <f t="array" ref="F3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3" s="26" t="str">
        <f t="array" ref="G3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23" s="26" t="str">
        <f t="array" ref="H323">IF(
MOD(ROW()-2,6)=0,
INDEX('Form Responses'!I:I,INT((ROW()-2)/6)+2),
"-- NA --"
)</f>
        <v>-- NA --</v>
      </c>
      <c r="I323" s="32" t="str">
        <f t="array" ref="I323">IF(
MOD(ROW()-2,6)=0,
INDEX('Form Responses'!J:J,INT((ROW()-2)/6)+2),
"-- NA --"
)</f>
        <v>-- NA --</v>
      </c>
      <c r="J323" s="3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26">
        <v>323.0</v>
      </c>
      <c r="B324" s="33"/>
      <c r="C324" s="26" t="s">
        <v>464</v>
      </c>
      <c r="D324" s="26" t="str">
        <f t="array" ref="D3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25AM112</v>
      </c>
      <c r="E324" s="32" t="str">
        <f t="array" ref="E3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VAISHAL SEKAR S</v>
      </c>
      <c r="F324" s="26" t="str">
        <f t="array" ref="F3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4" s="26" t="str">
        <f t="array" ref="G3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324" s="26" t="str">
        <f t="array" ref="H324">IF(
MOD(ROW()-2,6)=0,
INDEX('Form Responses'!I:I,INT((ROW()-2)/6)+2),
"-- NA --"
)</f>
        <v>-- NA --</v>
      </c>
      <c r="I324" s="32" t="str">
        <f t="array" ref="I324">IF(
MOD(ROW()-2,6)=0,
INDEX('Form Responses'!J:J,INT((ROW()-2)/6)+2),
"-- NA --"
)</f>
        <v>-- NA --</v>
      </c>
      <c r="J324" s="3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26">
        <v>324.0</v>
      </c>
      <c r="B325" s="6"/>
      <c r="C325" s="26" t="s">
        <v>500</v>
      </c>
      <c r="D325" s="26" t="str">
        <f t="array" ref="D3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25CS126</v>
      </c>
      <c r="E325" s="32" t="str">
        <f t="array" ref="E3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MATHIVATHANI N</v>
      </c>
      <c r="F325" s="26" t="str">
        <f t="array" ref="F3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5" s="26" t="str">
        <f t="array" ref="G3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25" s="26" t="str">
        <f t="array" ref="H325">IF(
MOD(ROW()-2,6)=0,
INDEX('Form Responses'!I:I,INT((ROW()-2)/6)+2),
"-- NA --"
)</f>
        <v>-- NA --</v>
      </c>
      <c r="I325" s="32" t="str">
        <f t="array" ref="I325">IF(
MOD(ROW()-2,6)=0,
INDEX('Form Responses'!J:J,INT((ROW()-2)/6)+2),
"-- NA --"
)</f>
        <v>-- NA --</v>
      </c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26">
        <v>325.0</v>
      </c>
      <c r="B326" s="29" t="str">
        <f t="array" ref="B326">INDEX('Form Responses'!$C:$C,INT((ROW()-2)/6)+2)</f>
        <v>Hackhorizon</v>
      </c>
      <c r="C326" s="31" t="s">
        <v>140</v>
      </c>
      <c r="D326" s="26" t="str">
        <f t="array" ref="D3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25IT048</v>
      </c>
      <c r="E326" s="32" t="str">
        <f t="array" ref="E3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Seenivasan k v</v>
      </c>
      <c r="F326" s="26" t="str">
        <f t="array" ref="F3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6" s="26" t="str">
        <f t="array" ref="G3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26" s="26">
        <f t="array" ref="H326">IF(
MOD(ROW()-2,6)=0,
INDEX('Form Responses'!I:I,INT((ROW()-2)/6)+2),
"-- NA --"
)</f>
        <v>7339506017</v>
      </c>
      <c r="I326" s="32" t="str">
        <f t="array" ref="I326">IF(
MOD(ROW()-2,6)=0,
INDEX('Form Responses'!J:J,INT((ROW()-2)/6)+2),
"-- NA --"
)</f>
        <v>seenivasan.kv2025it@sece.ac.in</v>
      </c>
      <c r="J326" s="29" t="str">
        <f t="array" ref="J326">INDEX('Form Responses'!$D:$D,INT((ROW()-2)/6)+2)</f>
        <v>Software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26">
        <v>326.0</v>
      </c>
      <c r="B327" s="33"/>
      <c r="C327" s="26" t="s">
        <v>282</v>
      </c>
      <c r="D327" s="26" t="str">
        <f t="array" ref="D3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25IT001</v>
      </c>
      <c r="E327" s="32" t="str">
        <f t="array" ref="E3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Allen paul P</v>
      </c>
      <c r="F327" s="26" t="str">
        <f t="array" ref="F3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7" s="26" t="str">
        <f t="array" ref="G3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27" s="26" t="str">
        <f t="array" ref="H327">IF(
MOD(ROW()-2,6)=0,
INDEX('Form Responses'!I:I,INT((ROW()-2)/6)+2),
"-- NA --"
)</f>
        <v>-- NA --</v>
      </c>
      <c r="I327" s="32" t="str">
        <f t="array" ref="I327">IF(
MOD(ROW()-2,6)=0,
INDEX('Form Responses'!J:J,INT((ROW()-2)/6)+2),
"-- NA --"
)</f>
        <v>-- NA --</v>
      </c>
      <c r="J327" s="3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26">
        <v>327.0</v>
      </c>
      <c r="B328" s="33"/>
      <c r="C328" s="26" t="s">
        <v>385</v>
      </c>
      <c r="D328" s="26" t="str">
        <f t="array" ref="D3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25IT030</v>
      </c>
      <c r="E328" s="32" t="str">
        <f t="array" ref="E3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Mirusna N</v>
      </c>
      <c r="F328" s="26" t="str">
        <f t="array" ref="F3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8" s="26" t="str">
        <f t="array" ref="G3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28" s="26" t="str">
        <f t="array" ref="H328">IF(
MOD(ROW()-2,6)=0,
INDEX('Form Responses'!I:I,INT((ROW()-2)/6)+2),
"-- NA --"
)</f>
        <v>-- NA --</v>
      </c>
      <c r="I328" s="32" t="str">
        <f t="array" ref="I328">IF(
MOD(ROW()-2,6)=0,
INDEX('Form Responses'!J:J,INT((ROW()-2)/6)+2),
"-- NA --"
)</f>
        <v>-- NA --</v>
      </c>
      <c r="J328" s="3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26">
        <v>328.0</v>
      </c>
      <c r="B329" s="33"/>
      <c r="C329" s="26" t="s">
        <v>425</v>
      </c>
      <c r="D329" s="26" t="str">
        <f t="array" ref="D3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25IT011</v>
      </c>
      <c r="E329" s="32" t="str">
        <f t="array" ref="E3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Christin jenilarani J</v>
      </c>
      <c r="F329" s="26" t="str">
        <f t="array" ref="F3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29" s="26" t="str">
        <f t="array" ref="G3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29" s="26" t="str">
        <f t="array" ref="H329">IF(
MOD(ROW()-2,6)=0,
INDEX('Form Responses'!I:I,INT((ROW()-2)/6)+2),
"-- NA --"
)</f>
        <v>-- NA --</v>
      </c>
      <c r="I329" s="32" t="str">
        <f t="array" ref="I329">IF(
MOD(ROW()-2,6)=0,
INDEX('Form Responses'!J:J,INT((ROW()-2)/6)+2),
"-- NA --"
)</f>
        <v>-- NA --</v>
      </c>
      <c r="J329" s="3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26">
        <v>329.0</v>
      </c>
      <c r="B330" s="33"/>
      <c r="C330" s="26" t="s">
        <v>464</v>
      </c>
      <c r="D330" s="26" t="str">
        <f t="array" ref="D3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25EC103</v>
      </c>
      <c r="E330" s="32" t="str">
        <f t="array" ref="E3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Moranram V</v>
      </c>
      <c r="F330" s="26" t="str">
        <f t="array" ref="F3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0" s="26" t="str">
        <f t="array" ref="G3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30" s="26" t="str">
        <f t="array" ref="H330">IF(
MOD(ROW()-2,6)=0,
INDEX('Form Responses'!I:I,INT((ROW()-2)/6)+2),
"-- NA --"
)</f>
        <v>-- NA --</v>
      </c>
      <c r="I330" s="32" t="str">
        <f t="array" ref="I330">IF(
MOD(ROW()-2,6)=0,
INDEX('Form Responses'!J:J,INT((ROW()-2)/6)+2),
"-- NA --"
)</f>
        <v>-- NA --</v>
      </c>
      <c r="J330" s="3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26">
        <v>330.0</v>
      </c>
      <c r="B331" s="6"/>
      <c r="C331" s="26" t="s">
        <v>500</v>
      </c>
      <c r="D331" s="26" t="str">
        <f t="array" ref="D3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25EC106</v>
      </c>
      <c r="E331" s="32" t="str">
        <f t="array" ref="E3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Mohammad Hussain A</v>
      </c>
      <c r="F331" s="26" t="str">
        <f t="array" ref="F3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1" s="26" t="str">
        <f t="array" ref="G3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31" s="26" t="str">
        <f t="array" ref="H331">IF(
MOD(ROW()-2,6)=0,
INDEX('Form Responses'!I:I,INT((ROW()-2)/6)+2),
"-- NA --"
)</f>
        <v>-- NA --</v>
      </c>
      <c r="I331" s="32" t="str">
        <f t="array" ref="I331">IF(
MOD(ROW()-2,6)=0,
INDEX('Form Responses'!J:J,INT((ROW()-2)/6)+2),
"-- NA --"
)</f>
        <v>-- NA --</v>
      </c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26">
        <v>331.0</v>
      </c>
      <c r="B332" s="29" t="str">
        <f t="array" ref="B332">INDEX('Form Responses'!$C:$C,INT((ROW()-2)/6)+2)</f>
        <v>InnovAltors</v>
      </c>
      <c r="C332" s="31" t="s">
        <v>140</v>
      </c>
      <c r="D332" s="26" t="str">
        <f t="array" ref="D3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25AD249</v>
      </c>
      <c r="E332" s="32" t="str">
        <f t="array" ref="E3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Mari N</v>
      </c>
      <c r="F332" s="26" t="str">
        <f t="array" ref="F3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2" s="26" t="str">
        <f t="array" ref="G3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32" s="26">
        <f t="array" ref="H332">IF(
MOD(ROW()-2,6)=0,
INDEX('Form Responses'!I:I,INT((ROW()-2)/6)+2),
"-- NA --"
)</f>
        <v>7010305945</v>
      </c>
      <c r="I332" s="32" t="str">
        <f t="array" ref="I332">IF(
MOD(ROW()-2,6)=0,
INDEX('Form Responses'!J:J,INT((ROW()-2)/6)+2),
"-- NA --"
)</f>
        <v>vishnumari.n2025aids@sece.ac.in</v>
      </c>
      <c r="J332" s="29" t="str">
        <f t="array" ref="J332">INDEX('Form Responses'!$D:$D,INT((ROW()-2)/6)+2)</f>
        <v>Hardware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26">
        <v>332.0</v>
      </c>
      <c r="B333" s="33"/>
      <c r="C333" s="26" t="s">
        <v>282</v>
      </c>
      <c r="D333" s="26" t="str">
        <f t="array" ref="D3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25AD205</v>
      </c>
      <c r="E333" s="32" t="str">
        <f t="array" ref="E3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SREE HARRINI A</v>
      </c>
      <c r="F333" s="26" t="str">
        <f t="array" ref="F3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3" s="26" t="str">
        <f t="array" ref="G3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33" s="26" t="str">
        <f t="array" ref="H333">IF(
MOD(ROW()-2,6)=0,
INDEX('Form Responses'!I:I,INT((ROW()-2)/6)+2),
"-- NA --"
)</f>
        <v>-- NA --</v>
      </c>
      <c r="I333" s="32" t="str">
        <f t="array" ref="I333">IF(
MOD(ROW()-2,6)=0,
INDEX('Form Responses'!J:J,INT((ROW()-2)/6)+2),
"-- NA --"
)</f>
        <v>-- NA --</v>
      </c>
      <c r="J333" s="3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26">
        <v>333.0</v>
      </c>
      <c r="B334" s="33"/>
      <c r="C334" s="26" t="s">
        <v>385</v>
      </c>
      <c r="D334" s="26" t="str">
        <f t="array" ref="D3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25AD229</v>
      </c>
      <c r="E334" s="32" t="str">
        <f t="array" ref="E3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Usha Bharathi L</v>
      </c>
      <c r="F334" s="26" t="str">
        <f t="array" ref="F3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4" s="26" t="str">
        <f t="array" ref="G3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34" s="26" t="str">
        <f t="array" ref="H334">IF(
MOD(ROW()-2,6)=0,
INDEX('Form Responses'!I:I,INT((ROW()-2)/6)+2),
"-- NA --"
)</f>
        <v>-- NA --</v>
      </c>
      <c r="I334" s="32" t="str">
        <f t="array" ref="I334">IF(
MOD(ROW()-2,6)=0,
INDEX('Form Responses'!J:J,INT((ROW()-2)/6)+2),
"-- NA --"
)</f>
        <v>-- NA --</v>
      </c>
      <c r="J334" s="3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26">
        <v>334.0</v>
      </c>
      <c r="B335" s="33"/>
      <c r="C335" s="26" t="s">
        <v>425</v>
      </c>
      <c r="D335" s="26" t="str">
        <f t="array" ref="D3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</v>
      </c>
      <c r="E335" s="32" t="str">
        <f t="array" ref="E3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 P</v>
      </c>
      <c r="F335" s="26" t="str">
        <f t="array" ref="F3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5" s="26" t="str">
        <f t="array" ref="G3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35" s="26" t="str">
        <f t="array" ref="H335">IF(
MOD(ROW()-2,6)=0,
INDEX('Form Responses'!I:I,INT((ROW()-2)/6)+2),
"-- NA --"
)</f>
        <v>-- NA --</v>
      </c>
      <c r="I335" s="32" t="str">
        <f t="array" ref="I335">IF(
MOD(ROW()-2,6)=0,
INDEX('Form Responses'!J:J,INT((ROW()-2)/6)+2),
"-- NA --"
)</f>
        <v>-- NA --</v>
      </c>
      <c r="J335" s="3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26">
        <v>335.0</v>
      </c>
      <c r="B336" s="33"/>
      <c r="C336" s="26" t="s">
        <v>464</v>
      </c>
      <c r="D336" s="26" t="str">
        <f t="array" ref="D3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25EC010</v>
      </c>
      <c r="E336" s="32" t="str">
        <f t="array" ref="E3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AKILAN K</v>
      </c>
      <c r="F336" s="26" t="str">
        <f t="array" ref="F3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6" s="26" t="str">
        <f t="array" ref="G3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36" s="26" t="str">
        <f t="array" ref="H336">IF(
MOD(ROW()-2,6)=0,
INDEX('Form Responses'!I:I,INT((ROW()-2)/6)+2),
"-- NA --"
)</f>
        <v>-- NA --</v>
      </c>
      <c r="I336" s="32" t="str">
        <f t="array" ref="I336">IF(
MOD(ROW()-2,6)=0,
INDEX('Form Responses'!J:J,INT((ROW()-2)/6)+2),
"-- NA --"
)</f>
        <v>-- NA --</v>
      </c>
      <c r="J336" s="3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26">
        <v>336.0</v>
      </c>
      <c r="B337" s="6"/>
      <c r="C337" s="26" t="s">
        <v>500</v>
      </c>
      <c r="D337" s="26" t="str">
        <f t="array" ref="D3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25EC150</v>
      </c>
      <c r="E337" s="32" t="str">
        <f t="array" ref="E3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SHAMITA</v>
      </c>
      <c r="F337" s="26" t="str">
        <f t="array" ref="F3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37" s="26" t="str">
        <f t="array" ref="G3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37" s="26" t="str">
        <f t="array" ref="H337">IF(
MOD(ROW()-2,6)=0,
INDEX('Form Responses'!I:I,INT((ROW()-2)/6)+2),
"-- NA --"
)</f>
        <v>-- NA --</v>
      </c>
      <c r="I337" s="32" t="str">
        <f t="array" ref="I337">IF(
MOD(ROW()-2,6)=0,
INDEX('Form Responses'!J:J,INT((ROW()-2)/6)+2),
"-- NA --"
)</f>
        <v>-- NA --</v>
      </c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26">
        <v>337.0</v>
      </c>
      <c r="B338" s="29" t="str">
        <f t="array" ref="B338">INDEX('Form Responses'!$C:$C,INT((ROW()-2)/6)+2)</f>
        <v>DETROIT </v>
      </c>
      <c r="C338" s="31" t="s">
        <v>140</v>
      </c>
      <c r="D338" s="26" t="str">
        <f t="array" ref="D3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24IT048</v>
      </c>
      <c r="E338" s="32" t="str">
        <f t="array" ref="E3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SARAVANAKUMAR G</v>
      </c>
      <c r="F338" s="26" t="str">
        <f t="array" ref="F3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38" s="26" t="str">
        <f t="array" ref="G3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38" s="26">
        <f t="array" ref="H338">IF(
MOD(ROW()-2,6)=0,
INDEX('Form Responses'!I:I,INT((ROW()-2)/6)+2),
"-- NA --"
)</f>
        <v>9600274526</v>
      </c>
      <c r="I338" s="32" t="str">
        <f t="array" ref="I338">IF(
MOD(ROW()-2,6)=0,
INDEX('Form Responses'!J:J,INT((ROW()-2)/6)+2),
"-- NA --"
)</f>
        <v>saravanakumar.g2024it@sece.ac.in</v>
      </c>
      <c r="J338" s="29" t="str">
        <f t="array" ref="J338">INDEX('Form Responses'!$D:$D,INT((ROW()-2)/6)+2)</f>
        <v>Software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26">
        <v>338.0</v>
      </c>
      <c r="B339" s="33"/>
      <c r="C339" s="26" t="s">
        <v>282</v>
      </c>
      <c r="D339" s="26" t="str">
        <f t="array" ref="D3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24AD197</v>
      </c>
      <c r="E339" s="32" t="str">
        <f t="array" ref="E3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SELVAPRAKASH V</v>
      </c>
      <c r="F339" s="26" t="str">
        <f t="array" ref="F3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39" s="26" t="str">
        <f t="array" ref="G3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39" s="26" t="str">
        <f t="array" ref="H339">IF(
MOD(ROW()-2,6)=0,
INDEX('Form Responses'!I:I,INT((ROW()-2)/6)+2),
"-- NA --"
)</f>
        <v>-- NA --</v>
      </c>
      <c r="I339" s="32" t="str">
        <f t="array" ref="I339">IF(
MOD(ROW()-2,6)=0,
INDEX('Form Responses'!J:J,INT((ROW()-2)/6)+2),
"-- NA --"
)</f>
        <v>-- NA --</v>
      </c>
      <c r="J339" s="3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26">
        <v>339.0</v>
      </c>
      <c r="B340" s="33"/>
      <c r="C340" s="26" t="s">
        <v>385</v>
      </c>
      <c r="D340" s="26" t="str">
        <f t="array" ref="D3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24AD255</v>
      </c>
      <c r="E340" s="32" t="str">
        <f t="array" ref="E3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YUGENDRA N</v>
      </c>
      <c r="F340" s="26" t="str">
        <f t="array" ref="F3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40" s="26" t="str">
        <f t="array" ref="G3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0" s="26" t="str">
        <f t="array" ref="H340">IF(
MOD(ROW()-2,6)=0,
INDEX('Form Responses'!I:I,INT((ROW()-2)/6)+2),
"-- NA --"
)</f>
        <v>-- NA --</v>
      </c>
      <c r="I340" s="32" t="str">
        <f t="array" ref="I340">IF(
MOD(ROW()-2,6)=0,
INDEX('Form Responses'!J:J,INT((ROW()-2)/6)+2),
"-- NA --"
)</f>
        <v>-- NA --</v>
      </c>
      <c r="J340" s="3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26">
        <v>340.0</v>
      </c>
      <c r="B341" s="33"/>
      <c r="C341" s="26" t="s">
        <v>425</v>
      </c>
      <c r="D341" s="26" t="str">
        <f t="array" ref="D3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24AD090</v>
      </c>
      <c r="E341" s="32" t="str">
        <f t="array" ref="E3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KAMALIKA P</v>
      </c>
      <c r="F341" s="26" t="str">
        <f t="array" ref="F3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41" s="26" t="str">
        <f t="array" ref="G3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1" s="26" t="str">
        <f t="array" ref="H341">IF(
MOD(ROW()-2,6)=0,
INDEX('Form Responses'!I:I,INT((ROW()-2)/6)+2),
"-- NA --"
)</f>
        <v>-- NA --</v>
      </c>
      <c r="I341" s="32" t="str">
        <f t="array" ref="I341">IF(
MOD(ROW()-2,6)=0,
INDEX('Form Responses'!J:J,INT((ROW()-2)/6)+2),
"-- NA --"
)</f>
        <v>-- NA --</v>
      </c>
      <c r="J341" s="3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26">
        <v>341.0</v>
      </c>
      <c r="B342" s="33"/>
      <c r="C342" s="26" t="s">
        <v>464</v>
      </c>
      <c r="D342" s="26" t="str">
        <f t="array" ref="D3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24AD098</v>
      </c>
      <c r="E342" s="32" t="str">
        <f t="array" ref="E3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 A K</v>
      </c>
      <c r="F342" s="26" t="str">
        <f t="array" ref="F3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42" s="26" t="str">
        <f t="array" ref="G3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2" s="26" t="str">
        <f t="array" ref="H342">IF(
MOD(ROW()-2,6)=0,
INDEX('Form Responses'!I:I,INT((ROW()-2)/6)+2),
"-- NA --"
)</f>
        <v>-- NA --</v>
      </c>
      <c r="I342" s="32" t="str">
        <f t="array" ref="I342">IF(
MOD(ROW()-2,6)=0,
INDEX('Form Responses'!J:J,INT((ROW()-2)/6)+2),
"-- NA --"
)</f>
        <v>-- NA --</v>
      </c>
      <c r="J342" s="3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26">
        <v>342.0</v>
      </c>
      <c r="B343" s="6"/>
      <c r="C343" s="26" t="s">
        <v>500</v>
      </c>
      <c r="D343" s="26" t="str">
        <f t="array" ref="D3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24IT045</v>
      </c>
      <c r="E343" s="32" t="str">
        <f t="array" ref="E3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SANJUSREE J</v>
      </c>
      <c r="F343" s="26" t="str">
        <f t="array" ref="F3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43" s="26" t="str">
        <f t="array" ref="G3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43" s="26" t="str">
        <f t="array" ref="H343">IF(
MOD(ROW()-2,6)=0,
INDEX('Form Responses'!I:I,INT((ROW()-2)/6)+2),
"-- NA --"
)</f>
        <v>-- NA --</v>
      </c>
      <c r="I343" s="32" t="str">
        <f t="array" ref="I343">IF(
MOD(ROW()-2,6)=0,
INDEX('Form Responses'!J:J,INT((ROW()-2)/6)+2),
"-- NA --"
)</f>
        <v>-- NA --</v>
      </c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26">
        <v>343.0</v>
      </c>
      <c r="B344" s="29" t="str">
        <f t="array" ref="B344">INDEX('Form Responses'!$C:$C,INT((ROW()-2)/6)+2)</f>
        <v>BREAKING BOTS</v>
      </c>
      <c r="C344" s="31" t="s">
        <v>140</v>
      </c>
      <c r="D344" s="26" t="str">
        <f t="array" ref="D3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25AD185</v>
      </c>
      <c r="E344" s="32" t="str">
        <f t="array" ref="E3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SANTHOSH KUMARR R V </v>
      </c>
      <c r="F344" s="26" t="str">
        <f t="array" ref="F3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4" s="26" t="str">
        <f t="array" ref="G3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4" s="26">
        <f t="array" ref="H344">IF(
MOD(ROW()-2,6)=0,
INDEX('Form Responses'!I:I,INT((ROW()-2)/6)+2),
"-- NA --"
)</f>
        <v>9566778859</v>
      </c>
      <c r="I344" s="32" t="str">
        <f t="array" ref="I344">IF(
MOD(ROW()-2,6)=0,
INDEX('Form Responses'!J:J,INT((ROW()-2)/6)+2),
"-- NA --"
)</f>
        <v>santhoshkumarr.rv2025aids@sece.ac.in</v>
      </c>
      <c r="J344" s="29" t="str">
        <f t="array" ref="J344">INDEX('Form Responses'!$D:$D,INT((ROW()-2)/6)+2)</f>
        <v>Software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26">
        <v>344.0</v>
      </c>
      <c r="B345" s="33"/>
      <c r="C345" s="26" t="s">
        <v>282</v>
      </c>
      <c r="D345" s="26" t="str">
        <f t="array" ref="D3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25AD148</v>
      </c>
      <c r="E345" s="32" t="str">
        <f t="array" ref="E3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PRAGANESH S</v>
      </c>
      <c r="F345" s="26" t="str">
        <f t="array" ref="F3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5" s="26" t="str">
        <f t="array" ref="G3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5" s="26" t="str">
        <f t="array" ref="H345">IF(
MOD(ROW()-2,6)=0,
INDEX('Form Responses'!I:I,INT((ROW()-2)/6)+2),
"-- NA --"
)</f>
        <v>-- NA --</v>
      </c>
      <c r="I345" s="32" t="str">
        <f t="array" ref="I345">IF(
MOD(ROW()-2,6)=0,
INDEX('Form Responses'!J:J,INT((ROW()-2)/6)+2),
"-- NA --"
)</f>
        <v>-- NA --</v>
      </c>
      <c r="J345" s="3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26">
        <v>345.0</v>
      </c>
      <c r="B346" s="33"/>
      <c r="C346" s="26" t="s">
        <v>385</v>
      </c>
      <c r="D346" s="26" t="str">
        <f t="array" ref="D3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25AD178</v>
      </c>
      <c r="E346" s="32" t="str">
        <f t="array" ref="E3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SAIKARTHI G J</v>
      </c>
      <c r="F346" s="26" t="str">
        <f t="array" ref="F3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6" s="26" t="str">
        <f t="array" ref="G3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6" s="26" t="str">
        <f t="array" ref="H346">IF(
MOD(ROW()-2,6)=0,
INDEX('Form Responses'!I:I,INT((ROW()-2)/6)+2),
"-- NA --"
)</f>
        <v>-- NA --</v>
      </c>
      <c r="I346" s="32" t="str">
        <f t="array" ref="I346">IF(
MOD(ROW()-2,6)=0,
INDEX('Form Responses'!J:J,INT((ROW()-2)/6)+2),
"-- NA --"
)</f>
        <v>-- NA --</v>
      </c>
      <c r="J346" s="3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26">
        <v>346.0</v>
      </c>
      <c r="B347" s="33"/>
      <c r="C347" s="26" t="s">
        <v>425</v>
      </c>
      <c r="D347" s="26" t="str">
        <f t="array" ref="D3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25AD155</v>
      </c>
      <c r="E347" s="32" t="str">
        <f t="array" ref="E3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 R</v>
      </c>
      <c r="F347" s="26" t="str">
        <f t="array" ref="F3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7" s="26" t="str">
        <f t="array" ref="G3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47" s="26" t="str">
        <f t="array" ref="H347">IF(
MOD(ROW()-2,6)=0,
INDEX('Form Responses'!I:I,INT((ROW()-2)/6)+2),
"-- NA --"
)</f>
        <v>-- NA --</v>
      </c>
      <c r="I347" s="32" t="str">
        <f t="array" ref="I347">IF(
MOD(ROW()-2,6)=0,
INDEX('Form Responses'!J:J,INT((ROW()-2)/6)+2),
"-- NA --"
)</f>
        <v>-- NA --</v>
      </c>
      <c r="J347" s="3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26">
        <v>347.0</v>
      </c>
      <c r="B348" s="33"/>
      <c r="C348" s="26" t="s">
        <v>464</v>
      </c>
      <c r="D348" s="26" t="str">
        <f t="array" ref="D3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25CS166</v>
      </c>
      <c r="E348" s="32" t="str">
        <f t="array" ref="E3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PON BAVEENA E</v>
      </c>
      <c r="F348" s="26" t="str">
        <f t="array" ref="F3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8" s="26" t="str">
        <f t="array" ref="G3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48" s="26" t="str">
        <f t="array" ref="H348">IF(
MOD(ROW()-2,6)=0,
INDEX('Form Responses'!I:I,INT((ROW()-2)/6)+2),
"-- NA --"
)</f>
        <v>-- NA --</v>
      </c>
      <c r="I348" s="32" t="str">
        <f t="array" ref="I348">IF(
MOD(ROW()-2,6)=0,
INDEX('Form Responses'!J:J,INT((ROW()-2)/6)+2),
"-- NA --"
)</f>
        <v>-- NA --</v>
      </c>
      <c r="J348" s="3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26">
        <v>348.0</v>
      </c>
      <c r="B349" s="6"/>
      <c r="C349" s="26" t="s">
        <v>500</v>
      </c>
      <c r="D349" s="26" t="str">
        <f t="array" ref="D3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25CS190</v>
      </c>
      <c r="E349" s="32" t="str">
        <f t="array" ref="E3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SAHANA R S</v>
      </c>
      <c r="F349" s="26" t="str">
        <f t="array" ref="F3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49" s="26" t="str">
        <f t="array" ref="G3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49" s="26" t="str">
        <f t="array" ref="H349">IF(
MOD(ROW()-2,6)=0,
INDEX('Form Responses'!I:I,INT((ROW()-2)/6)+2),
"-- NA --"
)</f>
        <v>-- NA --</v>
      </c>
      <c r="I349" s="32" t="str">
        <f t="array" ref="I349">IF(
MOD(ROW()-2,6)=0,
INDEX('Form Responses'!J:J,INT((ROW()-2)/6)+2),
"-- NA --"
)</f>
        <v>-- NA --</v>
      </c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26">
        <v>349.0</v>
      </c>
      <c r="B350" s="29" t="str">
        <f t="array" ref="B350">INDEX('Form Responses'!$C:$C,INT((ROW()-2)/6)+2)</f>
        <v>CronicQuantums</v>
      </c>
      <c r="C350" s="31" t="s">
        <v>140</v>
      </c>
      <c r="D350" s="26" t="str">
        <f t="array" ref="D3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24EC087</v>
      </c>
      <c r="E350" s="32" t="str">
        <f t="array" ref="E3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MARIESH HARI BOSE B</v>
      </c>
      <c r="F350" s="26" t="str">
        <f t="array" ref="F3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50" s="26" t="str">
        <f t="array" ref="G3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50" s="26">
        <f t="array" ref="H350">IF(
MOD(ROW()-2,6)=0,
INDEX('Form Responses'!I:I,INT((ROW()-2)/6)+2),
"-- NA --"
)</f>
        <v>9944933001</v>
      </c>
      <c r="I350" s="32" t="str">
        <f t="array" ref="I350">IF(
MOD(ROW()-2,6)=0,
INDEX('Form Responses'!J:J,INT((ROW()-2)/6)+2),
"-- NA --"
)</f>
        <v>mariesharibose.2024ece@sece.ac.in</v>
      </c>
      <c r="J350" s="29" t="str">
        <f t="array" ref="J350">INDEX('Form Responses'!$D:$D,INT((ROW()-2)/6)+2)</f>
        <v>Hardware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26">
        <v>350.0</v>
      </c>
      <c r="B351" s="33"/>
      <c r="C351" s="26" t="s">
        <v>282</v>
      </c>
      <c r="D351" s="26" t="str">
        <f t="array" ref="D3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</v>
      </c>
      <c r="E351" s="32" t="str">
        <f t="array" ref="E3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Prakatheesh S </v>
      </c>
      <c r="F351" s="26" t="str">
        <f t="array" ref="F3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51" s="26" t="str">
        <f t="array" ref="G3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51" s="26" t="str">
        <f t="array" ref="H351">IF(
MOD(ROW()-2,6)=0,
INDEX('Form Responses'!I:I,INT((ROW()-2)/6)+2),
"-- NA --"
)</f>
        <v>-- NA --</v>
      </c>
      <c r="I351" s="32" t="str">
        <f t="array" ref="I351">IF(
MOD(ROW()-2,6)=0,
INDEX('Form Responses'!J:J,INT((ROW()-2)/6)+2),
"-- NA --"
)</f>
        <v>-- NA --</v>
      </c>
      <c r="J351" s="3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26">
        <v>351.0</v>
      </c>
      <c r="B352" s="33"/>
      <c r="C352" s="26" t="s">
        <v>385</v>
      </c>
      <c r="D352" s="26" t="str">
        <f t="array" ref="D3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25AD076</v>
      </c>
      <c r="E352" s="32" t="str">
        <f t="array" ref="E3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JAISREE K</v>
      </c>
      <c r="F352" s="26" t="str">
        <f t="array" ref="F3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2" s="26" t="str">
        <f t="array" ref="G3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52" s="26" t="str">
        <f t="array" ref="H352">IF(
MOD(ROW()-2,6)=0,
INDEX('Form Responses'!I:I,INT((ROW()-2)/6)+2),
"-- NA --"
)</f>
        <v>-- NA --</v>
      </c>
      <c r="I352" s="32" t="str">
        <f t="array" ref="I352">IF(
MOD(ROW()-2,6)=0,
INDEX('Form Responses'!J:J,INT((ROW()-2)/6)+2),
"-- NA --"
)</f>
        <v>-- NA --</v>
      </c>
      <c r="J352" s="3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26">
        <v>352.0</v>
      </c>
      <c r="B353" s="33"/>
      <c r="C353" s="26" t="s">
        <v>425</v>
      </c>
      <c r="D353" s="26" t="str">
        <f t="array" ref="D3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25AD091</v>
      </c>
      <c r="E353" s="32" t="str">
        <f t="array" ref="E3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KARNIKA S</v>
      </c>
      <c r="F353" s="26" t="str">
        <f t="array" ref="F3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3" s="26" t="str">
        <f t="array" ref="G3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53" s="26" t="str">
        <f t="array" ref="H353">IF(
MOD(ROW()-2,6)=0,
INDEX('Form Responses'!I:I,INT((ROW()-2)/6)+2),
"-- NA --"
)</f>
        <v>-- NA --</v>
      </c>
      <c r="I353" s="32" t="str">
        <f t="array" ref="I353">IF(
MOD(ROW()-2,6)=0,
INDEX('Form Responses'!J:J,INT((ROW()-2)/6)+2),
"-- NA --"
)</f>
        <v>-- NA --</v>
      </c>
      <c r="J353" s="3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26">
        <v>353.0</v>
      </c>
      <c r="B354" s="33"/>
      <c r="C354" s="26" t="s">
        <v>464</v>
      </c>
      <c r="D354" s="26" t="str">
        <f t="array" ref="D3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25CC046</v>
      </c>
      <c r="E354" s="32" t="str">
        <f t="array" ref="E3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SANTHINI E</v>
      </c>
      <c r="F354" s="26" t="str">
        <f t="array" ref="F3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4" s="26" t="str">
        <f t="array" ref="G3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354" s="26" t="str">
        <f t="array" ref="H354">IF(
MOD(ROW()-2,6)=0,
INDEX('Form Responses'!I:I,INT((ROW()-2)/6)+2),
"-- NA --"
)</f>
        <v>-- NA --</v>
      </c>
      <c r="I354" s="32" t="str">
        <f t="array" ref="I354">IF(
MOD(ROW()-2,6)=0,
INDEX('Form Responses'!J:J,INT((ROW()-2)/6)+2),
"-- NA --"
)</f>
        <v>-- NA --</v>
      </c>
      <c r="J354" s="3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26">
        <v>354.0</v>
      </c>
      <c r="B355" s="6"/>
      <c r="C355" s="26" t="s">
        <v>500</v>
      </c>
      <c r="D355" s="26" t="str">
        <f t="array" ref="D3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25CC042</v>
      </c>
      <c r="E355" s="32" t="str">
        <f t="array" ref="E3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RAVEENA SHREE V</v>
      </c>
      <c r="F355" s="26" t="str">
        <f t="array" ref="F3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5" s="26" t="str">
        <f t="array" ref="G3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355" s="26" t="str">
        <f t="array" ref="H355">IF(
MOD(ROW()-2,6)=0,
INDEX('Form Responses'!I:I,INT((ROW()-2)/6)+2),
"-- NA --"
)</f>
        <v>-- NA --</v>
      </c>
      <c r="I355" s="32" t="str">
        <f t="array" ref="I355">IF(
MOD(ROW()-2,6)=0,
INDEX('Form Responses'!J:J,INT((ROW()-2)/6)+2),
"-- NA --"
)</f>
        <v>-- NA --</v>
      </c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26">
        <v>355.0</v>
      </c>
      <c r="B356" s="29" t="str">
        <f t="array" ref="B356">INDEX('Form Responses'!$C:$C,INT((ROW()-2)/6)+2)</f>
        <v>CASINO</v>
      </c>
      <c r="C356" s="31" t="s">
        <v>140</v>
      </c>
      <c r="D356" s="26" t="str">
        <f t="array" ref="D3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25SY027</v>
      </c>
      <c r="E356" s="32" t="str">
        <f t="array" ref="E3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JOSHUA FRANCIS J</v>
      </c>
      <c r="F356" s="26" t="str">
        <f t="array" ref="F3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6" s="26" t="str">
        <f t="array" ref="G3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56" s="26">
        <f t="array" ref="H356">IF(
MOD(ROW()-2,6)=0,
INDEX('Form Responses'!I:I,INT((ROW()-2)/6)+2),
"-- NA --"
)</f>
        <v>7904961079</v>
      </c>
      <c r="I356" s="32" t="str">
        <f t="array" ref="I356">IF(
MOD(ROW()-2,6)=0,
INDEX('Form Responses'!J:J,INT((ROW()-2)/6)+2),
"-- NA --"
)</f>
        <v>joshuafrancis.j2025cys@sece.ac.in</v>
      </c>
      <c r="J356" s="29" t="str">
        <f t="array" ref="J356">INDEX('Form Responses'!$D:$D,INT((ROW()-2)/6)+2)</f>
        <v>Software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26">
        <v>356.0</v>
      </c>
      <c r="B357" s="33"/>
      <c r="C357" s="26" t="s">
        <v>282</v>
      </c>
      <c r="D357" s="26" t="str">
        <f t="array" ref="D3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25CB015</v>
      </c>
      <c r="E357" s="32" t="str">
        <f t="array" ref="E3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GOPIKA SHREE D</v>
      </c>
      <c r="F357" s="26" t="str">
        <f t="array" ref="F3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7" s="26" t="str">
        <f t="array" ref="G3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57" s="26" t="str">
        <f t="array" ref="H357">IF(
MOD(ROW()-2,6)=0,
INDEX('Form Responses'!I:I,INT((ROW()-2)/6)+2),
"-- NA --"
)</f>
        <v>-- NA --</v>
      </c>
      <c r="I357" s="32" t="str">
        <f t="array" ref="I357">IF(
MOD(ROW()-2,6)=0,
INDEX('Form Responses'!J:J,INT((ROW()-2)/6)+2),
"-- NA --"
)</f>
        <v>-- NA --</v>
      </c>
      <c r="J357" s="3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26">
        <v>357.0</v>
      </c>
      <c r="B358" s="33"/>
      <c r="C358" s="26" t="s">
        <v>385</v>
      </c>
      <c r="D358" s="26" t="str">
        <f t="array" ref="D3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25CB038</v>
      </c>
      <c r="E358" s="32" t="str">
        <f t="array" ref="E3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RITHIKA S</v>
      </c>
      <c r="F358" s="26" t="str">
        <f t="array" ref="F3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8" s="26" t="str">
        <f t="array" ref="G3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58" s="26" t="str">
        <f t="array" ref="H358">IF(
MOD(ROW()-2,6)=0,
INDEX('Form Responses'!I:I,INT((ROW()-2)/6)+2),
"-- NA --"
)</f>
        <v>-- NA --</v>
      </c>
      <c r="I358" s="32" t="str">
        <f t="array" ref="I358">IF(
MOD(ROW()-2,6)=0,
INDEX('Form Responses'!J:J,INT((ROW()-2)/6)+2),
"-- NA --"
)</f>
        <v>-- NA --</v>
      </c>
      <c r="J358" s="3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26">
        <v>358.0</v>
      </c>
      <c r="B359" s="33"/>
      <c r="C359" s="26" t="s">
        <v>425</v>
      </c>
      <c r="D359" s="26" t="str">
        <f t="array" ref="D3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25SY032</v>
      </c>
      <c r="E359" s="32" t="str">
        <f t="array" ref="E3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KOVENDHAN A</v>
      </c>
      <c r="F359" s="26" t="str">
        <f t="array" ref="F3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59" s="26" t="str">
        <f t="array" ref="G3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59" s="26" t="str">
        <f t="array" ref="H359">IF(
MOD(ROW()-2,6)=0,
INDEX('Form Responses'!I:I,INT((ROW()-2)/6)+2),
"-- NA --"
)</f>
        <v>-- NA --</v>
      </c>
      <c r="I359" s="32" t="str">
        <f t="array" ref="I359">IF(
MOD(ROW()-2,6)=0,
INDEX('Form Responses'!J:J,INT((ROW()-2)/6)+2),
"-- NA --"
)</f>
        <v>-- NA --</v>
      </c>
      <c r="J359" s="3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26">
        <v>359.0</v>
      </c>
      <c r="B360" s="33"/>
      <c r="C360" s="26" t="s">
        <v>464</v>
      </c>
      <c r="D360" s="26" t="str">
        <f t="array" ref="D3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25SY008</v>
      </c>
      <c r="E360" s="32" t="str">
        <f t="array" ref="E3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ASHWIN V</v>
      </c>
      <c r="F360" s="26" t="str">
        <f t="array" ref="F3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0" s="26" t="str">
        <f t="array" ref="G3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60" s="26" t="str">
        <f t="array" ref="H360">IF(
MOD(ROW()-2,6)=0,
INDEX('Form Responses'!I:I,INT((ROW()-2)/6)+2),
"-- NA --"
)</f>
        <v>-- NA --</v>
      </c>
      <c r="I360" s="32" t="str">
        <f t="array" ref="I360">IF(
MOD(ROW()-2,6)=0,
INDEX('Form Responses'!J:J,INT((ROW()-2)/6)+2),
"-- NA --"
)</f>
        <v>-- NA --</v>
      </c>
      <c r="J360" s="3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26">
        <v>360.0</v>
      </c>
      <c r="B361" s="6"/>
      <c r="C361" s="26" t="s">
        <v>500</v>
      </c>
      <c r="D361" s="26" t="str">
        <f t="array" ref="D3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25SY019</v>
      </c>
      <c r="E361" s="32" t="str">
        <f t="array" ref="E3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HARIHARASABARISH PV </v>
      </c>
      <c r="F361" s="26" t="str">
        <f t="array" ref="F3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1" s="26" t="str">
        <f t="array" ref="G3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61" s="26" t="str">
        <f t="array" ref="H361">IF(
MOD(ROW()-2,6)=0,
INDEX('Form Responses'!I:I,INT((ROW()-2)/6)+2),
"-- NA --"
)</f>
        <v>-- NA --</v>
      </c>
      <c r="I361" s="32" t="str">
        <f t="array" ref="I361">IF(
MOD(ROW()-2,6)=0,
INDEX('Form Responses'!J:J,INT((ROW()-2)/6)+2),
"-- NA --"
)</f>
        <v>-- NA --</v>
      </c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26">
        <v>361.0</v>
      </c>
      <c r="B362" s="29" t="str">
        <f t="array" ref="B362">INDEX('Form Responses'!$C:$C,INT((ROW()-2)/6)+2)</f>
        <v>VISIONFORGE </v>
      </c>
      <c r="C362" s="31" t="s">
        <v>140</v>
      </c>
      <c r="D362" s="26" t="str">
        <f t="array" ref="D3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25EC133</v>
      </c>
      <c r="E362" s="32" t="str">
        <f t="array" ref="E3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PRIYANKA RAAJSHREE S</v>
      </c>
      <c r="F362" s="26" t="str">
        <f t="array" ref="F3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2" s="26" t="str">
        <f t="array" ref="G3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62" s="26">
        <f t="array" ref="H362">IF(
MOD(ROW()-2,6)=0,
INDEX('Form Responses'!I:I,INT((ROW()-2)/6)+2),
"-- NA --"
)</f>
        <v>8807496226</v>
      </c>
      <c r="I362" s="32" t="str">
        <f t="array" ref="I362">IF(
MOD(ROW()-2,6)=0,
INDEX('Form Responses'!J:J,INT((ROW()-2)/6)+2),
"-- NA --"
)</f>
        <v>priyankaraajshree.s2025ece@sece.ac.in</v>
      </c>
      <c r="J362" s="29" t="str">
        <f t="array" ref="J362">INDEX('Form Responses'!$D:$D,INT((ROW()-2)/6)+2)</f>
        <v>Hardware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26">
        <v>362.0</v>
      </c>
      <c r="B363" s="33"/>
      <c r="C363" s="26" t="s">
        <v>282</v>
      </c>
      <c r="D363" s="26" t="str">
        <f t="array" ref="D3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25EC025</v>
      </c>
      <c r="E363" s="32" t="str">
        <f t="array" ref="E3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BENISHA VASTHI V</v>
      </c>
      <c r="F363" s="26" t="str">
        <f t="array" ref="F3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3" s="26" t="str">
        <f t="array" ref="G3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63" s="26" t="str">
        <f t="array" ref="H363">IF(
MOD(ROW()-2,6)=0,
INDEX('Form Responses'!I:I,INT((ROW()-2)/6)+2),
"-- NA --"
)</f>
        <v>-- NA --</v>
      </c>
      <c r="I363" s="32" t="str">
        <f t="array" ref="I363">IF(
MOD(ROW()-2,6)=0,
INDEX('Form Responses'!J:J,INT((ROW()-2)/6)+2),
"-- NA --"
)</f>
        <v>-- NA --</v>
      </c>
      <c r="J363" s="3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26">
        <v>363.0</v>
      </c>
      <c r="B364" s="33"/>
      <c r="C364" s="26" t="s">
        <v>385</v>
      </c>
      <c r="D364" s="26" t="str">
        <f t="array" ref="D3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25EC019</v>
      </c>
      <c r="E364" s="32" t="str">
        <f t="array" ref="E3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ARVIND K</v>
      </c>
      <c r="F364" s="26" t="str">
        <f t="array" ref="F3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4" s="26" t="str">
        <f t="array" ref="G3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64" s="26" t="str">
        <f t="array" ref="H364">IF(
MOD(ROW()-2,6)=0,
INDEX('Form Responses'!I:I,INT((ROW()-2)/6)+2),
"-- NA --"
)</f>
        <v>-- NA --</v>
      </c>
      <c r="I364" s="32" t="str">
        <f t="array" ref="I364">IF(
MOD(ROW()-2,6)=0,
INDEX('Form Responses'!J:J,INT((ROW()-2)/6)+2),
"-- NA --"
)</f>
        <v>-- NA --</v>
      </c>
      <c r="J364" s="3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26">
        <v>364.0</v>
      </c>
      <c r="B365" s="33"/>
      <c r="C365" s="26" t="s">
        <v>425</v>
      </c>
      <c r="D365" s="26" t="str">
        <f t="array" ref="D3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25CS140</v>
      </c>
      <c r="E365" s="32" t="str">
        <f t="array" ref="E3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NAGULESH K</v>
      </c>
      <c r="F365" s="26" t="str">
        <f t="array" ref="F3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5" s="26" t="str">
        <f t="array" ref="G3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65" s="26" t="str">
        <f t="array" ref="H365">IF(
MOD(ROW()-2,6)=0,
INDEX('Form Responses'!I:I,INT((ROW()-2)/6)+2),
"-- NA --"
)</f>
        <v>-- NA --</v>
      </c>
      <c r="I365" s="32" t="str">
        <f t="array" ref="I365">IF(
MOD(ROW()-2,6)=0,
INDEX('Form Responses'!J:J,INT((ROW()-2)/6)+2),
"-- NA --"
)</f>
        <v>-- NA --</v>
      </c>
      <c r="J365" s="3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26">
        <v>365.0</v>
      </c>
      <c r="B366" s="33"/>
      <c r="C366" s="26" t="s">
        <v>464</v>
      </c>
      <c r="D366" s="26" t="str">
        <f t="array" ref="D3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25CS172</v>
      </c>
      <c r="E366" s="32" t="str">
        <f t="array" ref="E3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PRANAV KARTHIKEYAA G</v>
      </c>
      <c r="F366" s="26" t="str">
        <f t="array" ref="F3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6" s="26" t="str">
        <f t="array" ref="G3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66" s="26" t="str">
        <f t="array" ref="H366">IF(
MOD(ROW()-2,6)=0,
INDEX('Form Responses'!I:I,INT((ROW()-2)/6)+2),
"-- NA --"
)</f>
        <v>-- NA --</v>
      </c>
      <c r="I366" s="32" t="str">
        <f t="array" ref="I366">IF(
MOD(ROW()-2,6)=0,
INDEX('Form Responses'!J:J,INT((ROW()-2)/6)+2),
"-- NA --"
)</f>
        <v>-- NA --</v>
      </c>
      <c r="J366" s="3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26">
        <v>366.0</v>
      </c>
      <c r="B367" s="6"/>
      <c r="C367" s="26" t="s">
        <v>500</v>
      </c>
      <c r="D367" s="26" t="str">
        <f t="array" ref="D3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25EC026</v>
      </c>
      <c r="E367" s="32" t="str">
        <f t="array" ref="E3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BHUBESH NK</v>
      </c>
      <c r="F367" s="26" t="str">
        <f t="array" ref="F3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67" s="26" t="str">
        <f t="array" ref="G3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67" s="26" t="str">
        <f t="array" ref="H367">IF(
MOD(ROW()-2,6)=0,
INDEX('Form Responses'!I:I,INT((ROW()-2)/6)+2),
"-- NA --"
)</f>
        <v>-- NA --</v>
      </c>
      <c r="I367" s="32" t="str">
        <f t="array" ref="I367">IF(
MOD(ROW()-2,6)=0,
INDEX('Form Responses'!J:J,INT((ROW()-2)/6)+2),
"-- NA --"
)</f>
        <v>-- NA --</v>
      </c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26">
        <v>367.0</v>
      </c>
      <c r="B368" s="29" t="str">
        <f t="array" ref="B368">INDEX('Form Responses'!$C:$C,INT((ROW()-2)/6)+2)</f>
        <v>Consortium</v>
      </c>
      <c r="C368" s="31" t="s">
        <v>140</v>
      </c>
      <c r="D368" s="26" t="str">
        <f t="array" ref="D3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24SY049</v>
      </c>
      <c r="E368" s="32" t="str">
        <f t="array" ref="E3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SHREE NIDHI RL</v>
      </c>
      <c r="F368" s="26" t="str">
        <f t="array" ref="F3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68" s="26" t="str">
        <f t="array" ref="G3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68" s="26">
        <f t="array" ref="H368">IF(
MOD(ROW()-2,6)=0,
INDEX('Form Responses'!I:I,INT((ROW()-2)/6)+2),
"-- NA --"
)</f>
        <v>9994688761</v>
      </c>
      <c r="I368" s="32" t="str">
        <f t="array" ref="I368">IF(
MOD(ROW()-2,6)=0,
INDEX('Form Responses'!J:J,INT((ROW()-2)/6)+2),
"-- NA --"
)</f>
        <v>shreenidhi.rl2024csecs@sece.ac.in</v>
      </c>
      <c r="J368" s="29" t="str">
        <f t="array" ref="J368">INDEX('Form Responses'!$D:$D,INT((ROW()-2)/6)+2)</f>
        <v>Software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26">
        <v>368.0</v>
      </c>
      <c r="B369" s="33"/>
      <c r="C369" s="26" t="s">
        <v>282</v>
      </c>
      <c r="D369" s="26" t="str">
        <f t="array" ref="D3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24SY037</v>
      </c>
      <c r="E369" s="32" t="str">
        <f t="array" ref="E3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M</v>
      </c>
      <c r="F369" s="26" t="str">
        <f t="array" ref="F3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69" s="26" t="str">
        <f t="array" ref="G3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369" s="26" t="str">
        <f t="array" ref="H369">IF(
MOD(ROW()-2,6)=0,
INDEX('Form Responses'!I:I,INT((ROW()-2)/6)+2),
"-- NA --"
)</f>
        <v>-- NA --</v>
      </c>
      <c r="I369" s="32" t="str">
        <f t="array" ref="I369">IF(
MOD(ROW()-2,6)=0,
INDEX('Form Responses'!J:J,INT((ROW()-2)/6)+2),
"-- NA --"
)</f>
        <v>-- NA --</v>
      </c>
      <c r="J369" s="3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26">
        <v>369.0</v>
      </c>
      <c r="B370" s="33"/>
      <c r="C370" s="26" t="s">
        <v>385</v>
      </c>
      <c r="D370" s="26" t="str">
        <f t="array" ref="D3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24CS017</v>
      </c>
      <c r="E370" s="32" t="str">
        <f t="array" ref="E3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AMRITHA R</v>
      </c>
      <c r="F370" s="26" t="str">
        <f t="array" ref="F3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0" s="26" t="str">
        <f t="array" ref="G3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70" s="26" t="str">
        <f t="array" ref="H370">IF(
MOD(ROW()-2,6)=0,
INDEX('Form Responses'!I:I,INT((ROW()-2)/6)+2),
"-- NA --"
)</f>
        <v>-- NA --</v>
      </c>
      <c r="I370" s="32" t="str">
        <f t="array" ref="I370">IF(
MOD(ROW()-2,6)=0,
INDEX('Form Responses'!J:J,INT((ROW()-2)/6)+2),
"-- NA --"
)</f>
        <v>-- NA --</v>
      </c>
      <c r="J370" s="3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26">
        <v>370.0</v>
      </c>
      <c r="B371" s="33"/>
      <c r="C371" s="26" t="s">
        <v>425</v>
      </c>
      <c r="D371" s="26" t="str">
        <f t="array" ref="D3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24IT044</v>
      </c>
      <c r="E371" s="32" t="str">
        <f t="array" ref="E3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RAM RM</v>
      </c>
      <c r="F371" s="26" t="str">
        <f t="array" ref="F3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1" s="26" t="str">
        <f t="array" ref="G3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71" s="26" t="str">
        <f t="array" ref="H371">IF(
MOD(ROW()-2,6)=0,
INDEX('Form Responses'!I:I,INT((ROW()-2)/6)+2),
"-- NA --"
)</f>
        <v>-- NA --</v>
      </c>
      <c r="I371" s="32" t="str">
        <f t="array" ref="I371">IF(
MOD(ROW()-2,6)=0,
INDEX('Form Responses'!J:J,INT((ROW()-2)/6)+2),
"-- NA --"
)</f>
        <v>-- NA --</v>
      </c>
      <c r="J371" s="3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26">
        <v>371.0</v>
      </c>
      <c r="B372" s="33"/>
      <c r="C372" s="26" t="s">
        <v>464</v>
      </c>
      <c r="D372" s="26" t="str">
        <f t="array" ref="D3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24IT059</v>
      </c>
      <c r="E372" s="32" t="str">
        <f t="array" ref="E3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TANISHK SS</v>
      </c>
      <c r="F372" s="26" t="str">
        <f t="array" ref="F3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2" s="26" t="str">
        <f t="array" ref="G3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72" s="26" t="str">
        <f t="array" ref="H372">IF(
MOD(ROW()-2,6)=0,
INDEX('Form Responses'!I:I,INT((ROW()-2)/6)+2),
"-- NA --"
)</f>
        <v>-- NA --</v>
      </c>
      <c r="I372" s="32" t="str">
        <f t="array" ref="I372">IF(
MOD(ROW()-2,6)=0,
INDEX('Form Responses'!J:J,INT((ROW()-2)/6)+2),
"-- NA --"
)</f>
        <v>-- NA --</v>
      </c>
      <c r="J372" s="3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26">
        <v>372.0</v>
      </c>
      <c r="B373" s="6"/>
      <c r="C373" s="26" t="s">
        <v>500</v>
      </c>
      <c r="D373" s="26" t="str">
        <f t="array" ref="D3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24IT047</v>
      </c>
      <c r="E373" s="32" t="str">
        <f t="array" ref="E3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SAPARISH D</v>
      </c>
      <c r="F373" s="26" t="str">
        <f t="array" ref="F3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3" s="26" t="str">
        <f t="array" ref="G3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373" s="26" t="str">
        <f t="array" ref="H373">IF(
MOD(ROW()-2,6)=0,
INDEX('Form Responses'!I:I,INT((ROW()-2)/6)+2),
"-- NA --"
)</f>
        <v>-- NA --</v>
      </c>
      <c r="I373" s="32" t="str">
        <f t="array" ref="I373">IF(
MOD(ROW()-2,6)=0,
INDEX('Form Responses'!J:J,INT((ROW()-2)/6)+2),
"-- NA --"
)</f>
        <v>-- NA --</v>
      </c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26">
        <v>373.0</v>
      </c>
      <c r="B374" s="29" t="str">
        <f t="array" ref="B374">INDEX('Form Responses'!$C:$C,INT((ROW()-2)/6)+2)</f>
        <v>NEUROSPARKS</v>
      </c>
      <c r="C374" s="31" t="s">
        <v>140</v>
      </c>
      <c r="D374" s="26" t="str">
        <f t="array" ref="D3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24AD068</v>
      </c>
      <c r="E374" s="32" t="str">
        <f t="array" ref="E3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HARSHAN K</v>
      </c>
      <c r="F374" s="26" t="str">
        <f t="array" ref="F3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4" s="26" t="str">
        <f t="array" ref="G3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74" s="26">
        <f t="array" ref="H374">IF(
MOD(ROW()-2,6)=0,
INDEX('Form Responses'!I:I,INT((ROW()-2)/6)+2),
"-- NA --"
)</f>
        <v>7604990626</v>
      </c>
      <c r="I374" s="32" t="str">
        <f t="array" ref="I374">IF(
MOD(ROW()-2,6)=0,
INDEX('Form Responses'!J:J,INT((ROW()-2)/6)+2),
"-- NA --"
)</f>
        <v>harshan.k2024aids@sece.ac.in</v>
      </c>
      <c r="J374" s="29" t="str">
        <f t="array" ref="J374">INDEX('Form Responses'!$D:$D,INT((ROW()-2)/6)+2)</f>
        <v>Software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26">
        <v>374.0</v>
      </c>
      <c r="B375" s="33"/>
      <c r="C375" s="26" t="s">
        <v>282</v>
      </c>
      <c r="D375" s="26" t="str">
        <f t="array" ref="D3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24AD091</v>
      </c>
      <c r="E375" s="32" t="str">
        <f t="array" ref="E3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KANIKA K</v>
      </c>
      <c r="F375" s="26" t="str">
        <f t="array" ref="F3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5" s="26" t="str">
        <f t="array" ref="G3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75" s="26" t="str">
        <f t="array" ref="H375">IF(
MOD(ROW()-2,6)=0,
INDEX('Form Responses'!I:I,INT((ROW()-2)/6)+2),
"-- NA --"
)</f>
        <v>-- NA --</v>
      </c>
      <c r="I375" s="32" t="str">
        <f t="array" ref="I375">IF(
MOD(ROW()-2,6)=0,
INDEX('Form Responses'!J:J,INT((ROW()-2)/6)+2),
"-- NA --"
)</f>
        <v>-- NA --</v>
      </c>
      <c r="J375" s="3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26">
        <v>375.0</v>
      </c>
      <c r="B376" s="33"/>
      <c r="C376" s="26" t="s">
        <v>385</v>
      </c>
      <c r="D376" s="26" t="str">
        <f t="array" ref="D3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24AD099</v>
      </c>
      <c r="E376" s="32" t="str">
        <f t="array" ref="E3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KEERTHANASRI A M </v>
      </c>
      <c r="F376" s="26" t="str">
        <f t="array" ref="F3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6" s="26" t="str">
        <f t="array" ref="G3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76" s="26" t="str">
        <f t="array" ref="H376">IF(
MOD(ROW()-2,6)=0,
INDEX('Form Responses'!I:I,INT((ROW()-2)/6)+2),
"-- NA --"
)</f>
        <v>-- NA --</v>
      </c>
      <c r="I376" s="32" t="str">
        <f t="array" ref="I376">IF(
MOD(ROW()-2,6)=0,
INDEX('Form Responses'!J:J,INT((ROW()-2)/6)+2),
"-- NA --"
)</f>
        <v>-- NA --</v>
      </c>
      <c r="J376" s="3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26">
        <v>376.0</v>
      </c>
      <c r="B377" s="33"/>
      <c r="C377" s="26" t="s">
        <v>425</v>
      </c>
      <c r="D377" s="26" t="str">
        <f t="array" ref="D3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24EC029</v>
      </c>
      <c r="E377" s="32" t="str">
        <f t="array" ref="E3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DANILA SELENE S</v>
      </c>
      <c r="F377" s="26" t="str">
        <f t="array" ref="F3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7" s="26" t="str">
        <f t="array" ref="G3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77" s="26" t="str">
        <f t="array" ref="H377">IF(
MOD(ROW()-2,6)=0,
INDEX('Form Responses'!I:I,INT((ROW()-2)/6)+2),
"-- NA --"
)</f>
        <v>-- NA --</v>
      </c>
      <c r="I377" s="32" t="str">
        <f t="array" ref="I377">IF(
MOD(ROW()-2,6)=0,
INDEX('Form Responses'!J:J,INT((ROW()-2)/6)+2),
"-- NA --"
)</f>
        <v>-- NA --</v>
      </c>
      <c r="J377" s="3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26">
        <v>377.0</v>
      </c>
      <c r="B378" s="33"/>
      <c r="C378" s="26" t="s">
        <v>464</v>
      </c>
      <c r="D378" s="26" t="str">
        <f t="array" ref="D3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24AD086</v>
      </c>
      <c r="E378" s="32" t="str">
        <f t="array" ref="E3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JOSEPH SAM M </v>
      </c>
      <c r="F378" s="26" t="str">
        <f t="array" ref="F3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8" s="26" t="str">
        <f t="array" ref="G3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78" s="26" t="str">
        <f t="array" ref="H378">IF(
MOD(ROW()-2,6)=0,
INDEX('Form Responses'!I:I,INT((ROW()-2)/6)+2),
"-- NA --"
)</f>
        <v>-- NA --</v>
      </c>
      <c r="I378" s="32" t="str">
        <f t="array" ref="I378">IF(
MOD(ROW()-2,6)=0,
INDEX('Form Responses'!J:J,INT((ROW()-2)/6)+2),
"-- NA --"
)</f>
        <v>-- NA --</v>
      </c>
      <c r="J378" s="3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26">
        <v>378.0</v>
      </c>
      <c r="B379" s="6"/>
      <c r="C379" s="26" t="s">
        <v>500</v>
      </c>
      <c r="D379" s="26" t="str">
        <f t="array" ref="D3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24CS263</v>
      </c>
      <c r="E379" s="32" t="str">
        <f t="array" ref="E3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VIGNESH J</v>
      </c>
      <c r="F379" s="26" t="str">
        <f t="array" ref="F3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79" s="26" t="str">
        <f t="array" ref="G3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79" s="26" t="str">
        <f t="array" ref="H379">IF(
MOD(ROW()-2,6)=0,
INDEX('Form Responses'!I:I,INT((ROW()-2)/6)+2),
"-- NA --"
)</f>
        <v>-- NA --</v>
      </c>
      <c r="I379" s="32" t="str">
        <f t="array" ref="I379">IF(
MOD(ROW()-2,6)=0,
INDEX('Form Responses'!J:J,INT((ROW()-2)/6)+2),
"-- NA --"
)</f>
        <v>-- NA --</v>
      </c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26">
        <v>379.0</v>
      </c>
      <c r="B380" s="29" t="str">
        <f t="array" ref="B380">INDEX('Form Responses'!$C:$C,INT((ROW()-2)/6)+2)</f>
        <v>HACKPULSE</v>
      </c>
      <c r="C380" s="31" t="s">
        <v>140</v>
      </c>
      <c r="D380" s="26" t="str">
        <f t="array" ref="D3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24CB031</v>
      </c>
      <c r="E380" s="32" t="str">
        <f t="array" ref="E3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PRAMEESHA P</v>
      </c>
      <c r="F380" s="26" t="str">
        <f t="array" ref="F3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0" s="26" t="str">
        <f t="array" ref="G3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0" s="26">
        <f t="array" ref="H380">IF(
MOD(ROW()-2,6)=0,
INDEX('Form Responses'!I:I,INT((ROW()-2)/6)+2),
"-- NA --"
)</f>
        <v>7904146844</v>
      </c>
      <c r="I380" s="32" t="str">
        <f t="array" ref="I380">IF(
MOD(ROW()-2,6)=0,
INDEX('Form Responses'!J:J,INT((ROW()-2)/6)+2),
"-- NA --"
)</f>
        <v>prameesha.p2024csbs@sece.ac.in</v>
      </c>
      <c r="J380" s="29" t="str">
        <f t="array" ref="J380">INDEX('Form Responses'!$D:$D,INT((ROW()-2)/6)+2)</f>
        <v>Software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26">
        <v>380.0</v>
      </c>
      <c r="B381" s="33"/>
      <c r="C381" s="26" t="s">
        <v>282</v>
      </c>
      <c r="D381" s="26" t="str">
        <f t="array" ref="D3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24CB005</v>
      </c>
      <c r="E381" s="32" t="str">
        <f t="array" ref="E3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ASHMITA S</v>
      </c>
      <c r="F381" s="26" t="str">
        <f t="array" ref="F3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1" s="26" t="str">
        <f t="array" ref="G3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1" s="26" t="str">
        <f t="array" ref="H381">IF(
MOD(ROW()-2,6)=0,
INDEX('Form Responses'!I:I,INT((ROW()-2)/6)+2),
"-- NA --"
)</f>
        <v>-- NA --</v>
      </c>
      <c r="I381" s="32" t="str">
        <f t="array" ref="I381">IF(
MOD(ROW()-2,6)=0,
INDEX('Form Responses'!J:J,INT((ROW()-2)/6)+2),
"-- NA --"
)</f>
        <v>-- NA --</v>
      </c>
      <c r="J381" s="3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26">
        <v>381.0</v>
      </c>
      <c r="B382" s="33"/>
      <c r="C382" s="26" t="s">
        <v>385</v>
      </c>
      <c r="D382" s="26" t="str">
        <f t="array" ref="D3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24CB014</v>
      </c>
      <c r="E382" s="32" t="str">
        <f t="array" ref="E3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 VAISHNAVI S</v>
      </c>
      <c r="F382" s="26" t="str">
        <f t="array" ref="F3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2" s="26" t="str">
        <f t="array" ref="G3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2" s="26" t="str">
        <f t="array" ref="H382">IF(
MOD(ROW()-2,6)=0,
INDEX('Form Responses'!I:I,INT((ROW()-2)/6)+2),
"-- NA --"
)</f>
        <v>-- NA --</v>
      </c>
      <c r="I382" s="32" t="str">
        <f t="array" ref="I382">IF(
MOD(ROW()-2,6)=0,
INDEX('Form Responses'!J:J,INT((ROW()-2)/6)+2),
"-- NA --"
)</f>
        <v>-- NA --</v>
      </c>
      <c r="J382" s="3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26">
        <v>382.0</v>
      </c>
      <c r="B383" s="33"/>
      <c r="C383" s="26" t="s">
        <v>425</v>
      </c>
      <c r="D383" s="26" t="str">
        <f t="array" ref="D3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24CB052</v>
      </c>
      <c r="E383" s="32" t="str">
        <f t="array" ref="E3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LAKSHMI G</v>
      </c>
      <c r="F383" s="26" t="str">
        <f t="array" ref="F3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3" s="26" t="str">
        <f t="array" ref="G3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3" s="26" t="str">
        <f t="array" ref="H383">IF(
MOD(ROW()-2,6)=0,
INDEX('Form Responses'!I:I,INT((ROW()-2)/6)+2),
"-- NA --"
)</f>
        <v>-- NA --</v>
      </c>
      <c r="I383" s="32" t="str">
        <f t="array" ref="I383">IF(
MOD(ROW()-2,6)=0,
INDEX('Form Responses'!J:J,INT((ROW()-2)/6)+2),
"-- NA --"
)</f>
        <v>-- NA --</v>
      </c>
      <c r="J383" s="3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26">
        <v>383.0</v>
      </c>
      <c r="B384" s="33"/>
      <c r="C384" s="26" t="s">
        <v>464</v>
      </c>
      <c r="D384" s="26" t="str">
        <f t="array" ref="D3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24AD226</v>
      </c>
      <c r="E384" s="32" t="str">
        <f t="array" ref="E3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SUREKA K</v>
      </c>
      <c r="F384" s="26" t="str">
        <f t="array" ref="F3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4" s="26" t="str">
        <f t="array" ref="G3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84" s="26" t="str">
        <f t="array" ref="H384">IF(
MOD(ROW()-2,6)=0,
INDEX('Form Responses'!I:I,INT((ROW()-2)/6)+2),
"-- NA --"
)</f>
        <v>-- NA --</v>
      </c>
      <c r="I384" s="32" t="str">
        <f t="array" ref="I384">IF(
MOD(ROW()-2,6)=0,
INDEX('Form Responses'!J:J,INT((ROW()-2)/6)+2),
"-- NA --"
)</f>
        <v>-- NA --</v>
      </c>
      <c r="J384" s="3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26">
        <v>384.0</v>
      </c>
      <c r="B385" s="6"/>
      <c r="C385" s="26" t="s">
        <v>500</v>
      </c>
      <c r="D385" s="26" t="str">
        <f t="array" ref="D3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24CB055</v>
      </c>
      <c r="E385" s="32" t="str">
        <f t="array" ref="E3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SRISAANTH B</v>
      </c>
      <c r="F385" s="26" t="str">
        <f t="array" ref="F3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85" s="26" t="str">
        <f t="array" ref="G3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385" s="26" t="str">
        <f t="array" ref="H385">IF(
MOD(ROW()-2,6)=0,
INDEX('Form Responses'!I:I,INT((ROW()-2)/6)+2),
"-- NA --"
)</f>
        <v>-- NA --</v>
      </c>
      <c r="I385" s="32" t="str">
        <f t="array" ref="I385">IF(
MOD(ROW()-2,6)=0,
INDEX('Form Responses'!J:J,INT((ROW()-2)/6)+2),
"-- NA --"
)</f>
        <v>-- NA --</v>
      </c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26">
        <v>385.0</v>
      </c>
      <c r="B386" s="29" t="str">
        <f t="array" ref="B386">INDEX('Form Responses'!$C:$C,INT((ROW()-2)/6)+2)</f>
        <v>Powerhouse </v>
      </c>
      <c r="C386" s="31" t="s">
        <v>140</v>
      </c>
      <c r="D386" s="26" t="str">
        <f t="array" ref="D3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25AD192</v>
      </c>
      <c r="E386" s="32" t="str">
        <f t="array" ref="E3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Shahith Mohamed K</v>
      </c>
      <c r="F386" s="26" t="str">
        <f t="array" ref="F3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86" s="26" t="str">
        <f t="array" ref="G3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86" s="26">
        <f t="array" ref="H386">IF(
MOD(ROW()-2,6)=0,
INDEX('Form Responses'!I:I,INT((ROW()-2)/6)+2),
"-- NA --"
)</f>
        <v>7639559570</v>
      </c>
      <c r="I386" s="32" t="str">
        <f t="array" ref="I386">IF(
MOD(ROW()-2,6)=0,
INDEX('Form Responses'!J:J,INT((ROW()-2)/6)+2),
"-- NA --"
)</f>
        <v>shahithmohamed.k2025aids@sece.ac.in</v>
      </c>
      <c r="J386" s="29" t="str">
        <f t="array" ref="J386">INDEX('Form Responses'!$D:$D,INT((ROW()-2)/6)+2)</f>
        <v>Hardware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26">
        <v>386.0</v>
      </c>
      <c r="B387" s="33"/>
      <c r="C387" s="26" t="s">
        <v>282</v>
      </c>
      <c r="D387" s="26" t="str">
        <f t="array" ref="D3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25AD197</v>
      </c>
      <c r="E387" s="32" t="str">
        <f t="array" ref="E3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Shanmugapriyan D</v>
      </c>
      <c r="F387" s="26" t="str">
        <f t="array" ref="F3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87" s="26" t="str">
        <f t="array" ref="G3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87" s="26" t="str">
        <f t="array" ref="H387">IF(
MOD(ROW()-2,6)=0,
INDEX('Form Responses'!I:I,INT((ROW()-2)/6)+2),
"-- NA --"
)</f>
        <v>-- NA --</v>
      </c>
      <c r="I387" s="32" t="str">
        <f t="array" ref="I387">IF(
MOD(ROW()-2,6)=0,
INDEX('Form Responses'!J:J,INT((ROW()-2)/6)+2),
"-- NA --"
)</f>
        <v>-- NA --</v>
      </c>
      <c r="J387" s="3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26">
        <v>387.0</v>
      </c>
      <c r="B388" s="33"/>
      <c r="C388" s="26" t="s">
        <v>385</v>
      </c>
      <c r="D388" s="26" t="str">
        <f t="array" ref="D3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25AD247</v>
      </c>
      <c r="E388" s="32" t="str">
        <f t="array" ref="E3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S</v>
      </c>
      <c r="F388" s="26" t="str">
        <f t="array" ref="F3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88" s="26" t="str">
        <f t="array" ref="G3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88" s="26" t="str">
        <f t="array" ref="H388">IF(
MOD(ROW()-2,6)=0,
INDEX('Form Responses'!I:I,INT((ROW()-2)/6)+2),
"-- NA --"
)</f>
        <v>-- NA --</v>
      </c>
      <c r="I388" s="32" t="str">
        <f t="array" ref="I388">IF(
MOD(ROW()-2,6)=0,
INDEX('Form Responses'!J:J,INT((ROW()-2)/6)+2),
"-- NA --"
)</f>
        <v>-- NA --</v>
      </c>
      <c r="J388" s="3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26">
        <v>388.0</v>
      </c>
      <c r="B389" s="33"/>
      <c r="C389" s="26" t="s">
        <v>425</v>
      </c>
      <c r="D389" s="26" t="str">
        <f t="array" ref="D3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25CS015</v>
      </c>
      <c r="E389" s="32" t="str">
        <f t="array" ref="E3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Ashifa Nazrin I</v>
      </c>
      <c r="F389" s="26" t="str">
        <f t="array" ref="F3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89" s="26" t="str">
        <f t="array" ref="G3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89" s="26" t="str">
        <f t="array" ref="H389">IF(
MOD(ROW()-2,6)=0,
INDEX('Form Responses'!I:I,INT((ROW()-2)/6)+2),
"-- NA --"
)</f>
        <v>-- NA --</v>
      </c>
      <c r="I389" s="32" t="str">
        <f t="array" ref="I389">IF(
MOD(ROW()-2,6)=0,
INDEX('Form Responses'!J:J,INT((ROW()-2)/6)+2),
"-- NA --"
)</f>
        <v>-- NA --</v>
      </c>
      <c r="J389" s="3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26">
        <v>389.0</v>
      </c>
      <c r="B390" s="33"/>
      <c r="C390" s="26" t="s">
        <v>464</v>
      </c>
      <c r="D390" s="26" t="str">
        <f t="array" ref="D3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25CS048</v>
      </c>
      <c r="E390" s="32" t="str">
        <f t="array" ref="E3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Elakiya M</v>
      </c>
      <c r="F390" s="26" t="str">
        <f t="array" ref="F3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90" s="26" t="str">
        <f t="array" ref="G3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390" s="26" t="str">
        <f t="array" ref="H390">IF(
MOD(ROW()-2,6)=0,
INDEX('Form Responses'!I:I,INT((ROW()-2)/6)+2),
"-- NA --"
)</f>
        <v>-- NA --</v>
      </c>
      <c r="I390" s="32" t="str">
        <f t="array" ref="I390">IF(
MOD(ROW()-2,6)=0,
INDEX('Form Responses'!J:J,INT((ROW()-2)/6)+2),
"-- NA --"
)</f>
        <v>-- NA --</v>
      </c>
      <c r="J390" s="3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26">
        <v>390.0</v>
      </c>
      <c r="B391" s="6"/>
      <c r="C391" s="26" t="s">
        <v>500</v>
      </c>
      <c r="D391" s="26" t="str">
        <f t="array" ref="D3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25EC175</v>
      </c>
      <c r="E391" s="32" t="str">
        <f t="array" ref="E3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Tamilarasan V</v>
      </c>
      <c r="F391" s="26" t="str">
        <f t="array" ref="F3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391" s="26" t="str">
        <f t="array" ref="G3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91" s="26" t="str">
        <f t="array" ref="H391">IF(
MOD(ROW()-2,6)=0,
INDEX('Form Responses'!I:I,INT((ROW()-2)/6)+2),
"-- NA --"
)</f>
        <v>-- NA --</v>
      </c>
      <c r="I391" s="32" t="str">
        <f t="array" ref="I391">IF(
MOD(ROW()-2,6)=0,
INDEX('Form Responses'!J:J,INT((ROW()-2)/6)+2),
"-- NA --"
)</f>
        <v>-- NA --</v>
      </c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26">
        <v>391.0</v>
      </c>
      <c r="B392" s="29" t="str">
        <f t="array" ref="B392">INDEX('Form Responses'!$C:$C,INT((ROW()-2)/6)+2)</f>
        <v>NightFares</v>
      </c>
      <c r="C392" s="31" t="s">
        <v>140</v>
      </c>
      <c r="D392" s="26" t="str">
        <f t="array" ref="D3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24AD085</v>
      </c>
      <c r="E392" s="32" t="str">
        <f t="array" ref="E3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JEYANDAN A</v>
      </c>
      <c r="F392" s="26" t="str">
        <f t="array" ref="F3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2" s="26" t="str">
        <f t="array" ref="G3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2" s="26">
        <f t="array" ref="H392">IF(
MOD(ROW()-2,6)=0,
INDEX('Form Responses'!I:I,INT((ROW()-2)/6)+2),
"-- NA --"
)</f>
        <v>9345966423</v>
      </c>
      <c r="I392" s="32" t="str">
        <f t="array" ref="I392">IF(
MOD(ROW()-2,6)=0,
INDEX('Form Responses'!J:J,INT((ROW()-2)/6)+2),
"-- NA --"
)</f>
        <v>jeyandan.a2024aids@sece.ac.in</v>
      </c>
      <c r="J392" s="29" t="str">
        <f t="array" ref="J392">INDEX('Form Responses'!$D:$D,INT((ROW()-2)/6)+2)</f>
        <v>Software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26">
        <v>392.0</v>
      </c>
      <c r="B393" s="33"/>
      <c r="C393" s="26" t="s">
        <v>282</v>
      </c>
      <c r="D393" s="26" t="str">
        <f t="array" ref="D3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24AD066</v>
      </c>
      <c r="E393" s="32" t="str">
        <f t="array" ref="E3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PRASAATH S</v>
      </c>
      <c r="F393" s="26" t="str">
        <f t="array" ref="F3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3" s="26" t="str">
        <f t="array" ref="G3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3" s="26" t="str">
        <f t="array" ref="H393">IF(
MOD(ROW()-2,6)=0,
INDEX('Form Responses'!I:I,INT((ROW()-2)/6)+2),
"-- NA --"
)</f>
        <v>-- NA --</v>
      </c>
      <c r="I393" s="32" t="str">
        <f t="array" ref="I393">IF(
MOD(ROW()-2,6)=0,
INDEX('Form Responses'!J:J,INT((ROW()-2)/6)+2),
"-- NA --"
)</f>
        <v>-- NA --</v>
      </c>
      <c r="J393" s="3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26">
        <v>393.0</v>
      </c>
      <c r="B394" s="33"/>
      <c r="C394" s="26" t="s">
        <v>385</v>
      </c>
      <c r="D394" s="26" t="str">
        <f t="array" ref="D3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24AD072</v>
      </c>
      <c r="E394" s="32" t="str">
        <f t="array" ref="E3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 ADHITHYA K</v>
      </c>
      <c r="F394" s="26" t="str">
        <f t="array" ref="F3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4" s="26" t="str">
        <f t="array" ref="G3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4" s="26" t="str">
        <f t="array" ref="H394">IF(
MOD(ROW()-2,6)=0,
INDEX('Form Responses'!I:I,INT((ROW()-2)/6)+2),
"-- NA --"
)</f>
        <v>-- NA --</v>
      </c>
      <c r="I394" s="32" t="str">
        <f t="array" ref="I394">IF(
MOD(ROW()-2,6)=0,
INDEX('Form Responses'!J:J,INT((ROW()-2)/6)+2),
"-- NA --"
)</f>
        <v>-- NA --</v>
      </c>
      <c r="J394" s="3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26">
        <v>394.0</v>
      </c>
      <c r="B395" s="33"/>
      <c r="C395" s="26" t="s">
        <v>425</v>
      </c>
      <c r="D395" s="26" t="str">
        <f t="array" ref="D3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24AD095</v>
      </c>
      <c r="E395" s="32" t="str">
        <f t="array" ref="E3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KARTHIKA V</v>
      </c>
      <c r="F395" s="26" t="str">
        <f t="array" ref="F3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5" s="26" t="str">
        <f t="array" ref="G3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5" s="26" t="str">
        <f t="array" ref="H395">IF(
MOD(ROW()-2,6)=0,
INDEX('Form Responses'!I:I,INT((ROW()-2)/6)+2),
"-- NA --"
)</f>
        <v>-- NA --</v>
      </c>
      <c r="I395" s="32" t="str">
        <f t="array" ref="I395">IF(
MOD(ROW()-2,6)=0,
INDEX('Form Responses'!J:J,INT((ROW()-2)/6)+2),
"-- NA --"
)</f>
        <v>-- NA --</v>
      </c>
      <c r="J395" s="3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26">
        <v>395.0</v>
      </c>
      <c r="B396" s="33"/>
      <c r="C396" s="26" t="s">
        <v>464</v>
      </c>
      <c r="D396" s="26" t="str">
        <f t="array" ref="D3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24AD084</v>
      </c>
      <c r="E396" s="32" t="str">
        <f t="array" ref="E3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JEEVANANDH B</v>
      </c>
      <c r="F396" s="26" t="str">
        <f t="array" ref="F3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6" s="26" t="str">
        <f t="array" ref="G3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6" s="26" t="str">
        <f t="array" ref="H396">IF(
MOD(ROW()-2,6)=0,
INDEX('Form Responses'!I:I,INT((ROW()-2)/6)+2),
"-- NA --"
)</f>
        <v>-- NA --</v>
      </c>
      <c r="I396" s="32" t="str">
        <f t="array" ref="I396">IF(
MOD(ROW()-2,6)=0,
INDEX('Form Responses'!J:J,INT((ROW()-2)/6)+2),
"-- NA --"
)</f>
        <v>-- NA --</v>
      </c>
      <c r="J396" s="3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26">
        <v>396.0</v>
      </c>
      <c r="B397" s="6"/>
      <c r="C397" s="26" t="s">
        <v>500</v>
      </c>
      <c r="D397" s="26" t="str">
        <f t="array" ref="D3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24EC122</v>
      </c>
      <c r="E397" s="32" t="str">
        <f t="array" ref="E3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PRAVIN ARUN R J</v>
      </c>
      <c r="F397" s="26" t="str">
        <f t="array" ref="F3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7" s="26" t="str">
        <f t="array" ref="G3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397" s="26" t="str">
        <f t="array" ref="H397">IF(
MOD(ROW()-2,6)=0,
INDEX('Form Responses'!I:I,INT((ROW()-2)/6)+2),
"-- NA --"
)</f>
        <v>-- NA --</v>
      </c>
      <c r="I397" s="32" t="str">
        <f t="array" ref="I397">IF(
MOD(ROW()-2,6)=0,
INDEX('Form Responses'!J:J,INT((ROW()-2)/6)+2),
"-- NA --"
)</f>
        <v>-- NA --</v>
      </c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26">
        <v>397.0</v>
      </c>
      <c r="B398" s="29" t="str">
        <f t="array" ref="B398">INDEX('Form Responses'!$C:$C,INT((ROW()-2)/6)+2)</f>
        <v>Nexus</v>
      </c>
      <c r="C398" s="31" t="s">
        <v>140</v>
      </c>
      <c r="D398" s="26" t="str">
        <f t="array" ref="D3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24AD138</v>
      </c>
      <c r="E398" s="32" t="str">
        <f t="array" ref="E3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Nandhini S </v>
      </c>
      <c r="F398" s="26" t="str">
        <f t="array" ref="F3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8" s="26" t="str">
        <f t="array" ref="G3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8" s="26">
        <f t="array" ref="H398">IF(
MOD(ROW()-2,6)=0,
INDEX('Form Responses'!I:I,INT((ROW()-2)/6)+2),
"-- NA --"
)</f>
        <v>9894957734</v>
      </c>
      <c r="I398" s="32" t="str">
        <f t="array" ref="I398">IF(
MOD(ROW()-2,6)=0,
INDEX('Form Responses'!J:J,INT((ROW()-2)/6)+2),
"-- NA --"
)</f>
        <v>nandhini.s2024aids@sece.ac.in</v>
      </c>
      <c r="J398" s="29" t="str">
        <f t="array" ref="J398">INDEX('Form Responses'!$D:$D,INT((ROW()-2)/6)+2)</f>
        <v>Software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26">
        <v>398.0</v>
      </c>
      <c r="B399" s="33"/>
      <c r="C399" s="26" t="s">
        <v>282</v>
      </c>
      <c r="D399" s="26" t="str">
        <f t="array" ref="D3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24AD160</v>
      </c>
      <c r="E399" s="32" t="str">
        <f t="array" ref="E3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Pravin raj TN </v>
      </c>
      <c r="F399" s="26" t="str">
        <f t="array" ref="F3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399" s="26" t="str">
        <f t="array" ref="G3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399" s="26" t="str">
        <f t="array" ref="H399">IF(
MOD(ROW()-2,6)=0,
INDEX('Form Responses'!I:I,INT((ROW()-2)/6)+2),
"-- NA --"
)</f>
        <v>-- NA --</v>
      </c>
      <c r="I399" s="32" t="str">
        <f t="array" ref="I399">IF(
MOD(ROW()-2,6)=0,
INDEX('Form Responses'!J:J,INT((ROW()-2)/6)+2),
"-- NA --"
)</f>
        <v>-- NA --</v>
      </c>
      <c r="J399" s="3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26">
        <v>399.0</v>
      </c>
      <c r="B400" s="33"/>
      <c r="C400" s="26" t="s">
        <v>385</v>
      </c>
      <c r="D400" s="26" t="str">
        <f t="array" ref="D4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24AD110</v>
      </c>
      <c r="E400" s="32" t="str">
        <f t="array" ref="E4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Lakshmanan AR</v>
      </c>
      <c r="F400" s="26" t="str">
        <f t="array" ref="F4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00" s="26" t="str">
        <f t="array" ref="G4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0" s="26" t="str">
        <f t="array" ref="H400">IF(
MOD(ROW()-2,6)=0,
INDEX('Form Responses'!I:I,INT((ROW()-2)/6)+2),
"-- NA --"
)</f>
        <v>-- NA --</v>
      </c>
      <c r="I400" s="32" t="str">
        <f t="array" ref="I400">IF(
MOD(ROW()-2,6)=0,
INDEX('Form Responses'!J:J,INT((ROW()-2)/6)+2),
"-- NA --"
)</f>
        <v>-- NA --</v>
      </c>
      <c r="J400" s="3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26">
        <v>400.0</v>
      </c>
      <c r="B401" s="33"/>
      <c r="C401" s="26" t="s">
        <v>425</v>
      </c>
      <c r="D401" s="26" t="str">
        <f t="array" ref="D4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24AD116</v>
      </c>
      <c r="E401" s="32" t="str">
        <f t="array" ref="E4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Manivelavan K</v>
      </c>
      <c r="F401" s="26" t="str">
        <f t="array" ref="F4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01" s="26" t="str">
        <f t="array" ref="G4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1" s="26" t="str">
        <f t="array" ref="H401">IF(
MOD(ROW()-2,6)=0,
INDEX('Form Responses'!I:I,INT((ROW()-2)/6)+2),
"-- NA --"
)</f>
        <v>-- NA --</v>
      </c>
      <c r="I401" s="32" t="str">
        <f t="array" ref="I401">IF(
MOD(ROW()-2,6)=0,
INDEX('Form Responses'!J:J,INT((ROW()-2)/6)+2),
"-- NA --"
)</f>
        <v>-- NA --</v>
      </c>
      <c r="J401" s="3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26">
        <v>401.0</v>
      </c>
      <c r="B402" s="33"/>
      <c r="C402" s="26" t="s">
        <v>464</v>
      </c>
      <c r="D402" s="26" t="str">
        <f t="array" ref="D4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24EC172</v>
      </c>
      <c r="E402" s="32" t="str">
        <f t="array" ref="E4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Thanush E</v>
      </c>
      <c r="F402" s="26" t="str">
        <f t="array" ref="F4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02" s="26" t="str">
        <f t="array" ref="G4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02" s="26" t="str">
        <f t="array" ref="H402">IF(
MOD(ROW()-2,6)=0,
INDEX('Form Responses'!I:I,INT((ROW()-2)/6)+2),
"-- NA --"
)</f>
        <v>-- NA --</v>
      </c>
      <c r="I402" s="32" t="str">
        <f t="array" ref="I402">IF(
MOD(ROW()-2,6)=0,
INDEX('Form Responses'!J:J,INT((ROW()-2)/6)+2),
"-- NA --"
)</f>
        <v>-- NA --</v>
      </c>
      <c r="J402" s="3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26">
        <v>402.0</v>
      </c>
      <c r="B403" s="6"/>
      <c r="C403" s="26" t="s">
        <v>500</v>
      </c>
      <c r="D403" s="26" t="str">
        <f t="array" ref="D4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24EE043</v>
      </c>
      <c r="E403" s="32" t="str">
        <f t="array" ref="E4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Samyuktha JM</v>
      </c>
      <c r="F403" s="26" t="str">
        <f t="array" ref="F4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03" s="26" t="str">
        <f t="array" ref="G4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03" s="26" t="str">
        <f t="array" ref="H403">IF(
MOD(ROW()-2,6)=0,
INDEX('Form Responses'!I:I,INT((ROW()-2)/6)+2),
"-- NA --"
)</f>
        <v>-- NA --</v>
      </c>
      <c r="I403" s="32" t="str">
        <f t="array" ref="I403">IF(
MOD(ROW()-2,6)=0,
INDEX('Form Responses'!J:J,INT((ROW()-2)/6)+2),
"-- NA --"
)</f>
        <v>-- NA --</v>
      </c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26">
        <v>403.0</v>
      </c>
      <c r="B404" s="29" t="str">
        <f t="array" ref="B404">INDEX('Form Responses'!$C:$C,INT((ROW()-2)/6)+2)</f>
        <v>HexaTech</v>
      </c>
      <c r="C404" s="31" t="s">
        <v>140</v>
      </c>
      <c r="D404" s="26" t="str">
        <f t="array" ref="D4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25AD110</v>
      </c>
      <c r="E404" s="32" t="str">
        <f t="array" ref="E4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LIBISHA S </v>
      </c>
      <c r="F404" s="26" t="str">
        <f t="array" ref="F4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4" s="26" t="str">
        <f t="array" ref="G4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4" s="26">
        <f t="array" ref="H404">IF(
MOD(ROW()-2,6)=0,
INDEX('Form Responses'!I:I,INT((ROW()-2)/6)+2),
"-- NA --"
)</f>
        <v>9787120076</v>
      </c>
      <c r="I404" s="32" t="str">
        <f t="array" ref="I404">IF(
MOD(ROW()-2,6)=0,
INDEX('Form Responses'!J:J,INT((ROW()-2)/6)+2),
"-- NA --"
)</f>
        <v>libisha.s2025aids@sece.ac.in</v>
      </c>
      <c r="J404" s="29" t="str">
        <f t="array" ref="J404">INDEX('Form Responses'!$D:$D,INT((ROW()-2)/6)+2)</f>
        <v>Hardware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26">
        <v>404.0</v>
      </c>
      <c r="B405" s="33"/>
      <c r="C405" s="26" t="s">
        <v>282</v>
      </c>
      <c r="D405" s="26" t="str">
        <f t="array" ref="D4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25AD097</v>
      </c>
      <c r="E405" s="32" t="str">
        <f t="array" ref="E4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KAVIPRIYA M</v>
      </c>
      <c r="F405" s="26" t="str">
        <f t="array" ref="F4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5" s="26" t="str">
        <f t="array" ref="G4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5" s="26" t="str">
        <f t="array" ref="H405">IF(
MOD(ROW()-2,6)=0,
INDEX('Form Responses'!I:I,INT((ROW()-2)/6)+2),
"-- NA --"
)</f>
        <v>-- NA --</v>
      </c>
      <c r="I405" s="32" t="str">
        <f t="array" ref="I405">IF(
MOD(ROW()-2,6)=0,
INDEX('Form Responses'!J:J,INT((ROW()-2)/6)+2),
"-- NA --"
)</f>
        <v>-- NA --</v>
      </c>
      <c r="J405" s="3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26">
        <v>405.0</v>
      </c>
      <c r="B406" s="33"/>
      <c r="C406" s="26" t="s">
        <v>385</v>
      </c>
      <c r="D406" s="26" t="str">
        <f t="array" ref="D4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25AD088</v>
      </c>
      <c r="E406" s="32" t="str">
        <f t="array" ref="E4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KAMALI L</v>
      </c>
      <c r="F406" s="26" t="str">
        <f t="array" ref="F4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6" s="26" t="str">
        <f t="array" ref="G4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06" s="26" t="str">
        <f t="array" ref="H406">IF(
MOD(ROW()-2,6)=0,
INDEX('Form Responses'!I:I,INT((ROW()-2)/6)+2),
"-- NA --"
)</f>
        <v>-- NA --</v>
      </c>
      <c r="I406" s="32" t="str">
        <f t="array" ref="I406">IF(
MOD(ROW()-2,6)=0,
INDEX('Form Responses'!J:J,INT((ROW()-2)/6)+2),
"-- NA --"
)</f>
        <v>-- NA --</v>
      </c>
      <c r="J406" s="3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26">
        <v>406.0</v>
      </c>
      <c r="B407" s="33"/>
      <c r="C407" s="26" t="s">
        <v>425</v>
      </c>
      <c r="D407" s="26" t="str">
        <f t="array" ref="D4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25EE044</v>
      </c>
      <c r="E407" s="32" t="str">
        <f t="array" ref="E4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BALAN C</v>
      </c>
      <c r="F407" s="26" t="str">
        <f t="array" ref="F4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7" s="26" t="str">
        <f t="array" ref="G4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07" s="26" t="str">
        <f t="array" ref="H407">IF(
MOD(ROW()-2,6)=0,
INDEX('Form Responses'!I:I,INT((ROW()-2)/6)+2),
"-- NA --"
)</f>
        <v>-- NA --</v>
      </c>
      <c r="I407" s="32" t="str">
        <f t="array" ref="I407">IF(
MOD(ROW()-2,6)=0,
INDEX('Form Responses'!J:J,INT((ROW()-2)/6)+2),
"-- NA --"
)</f>
        <v>-- NA --</v>
      </c>
      <c r="J407" s="3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26">
        <v>407.0</v>
      </c>
      <c r="B408" s="33"/>
      <c r="C408" s="26" t="s">
        <v>464</v>
      </c>
      <c r="D408" s="26" t="str">
        <f t="array" ref="D4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25EE058</v>
      </c>
      <c r="E408" s="32" t="str">
        <f t="array" ref="E4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KAVI E</v>
      </c>
      <c r="F408" s="26" t="str">
        <f t="array" ref="F4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8" s="26" t="str">
        <f t="array" ref="G4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08" s="26" t="str">
        <f t="array" ref="H408">IF(
MOD(ROW()-2,6)=0,
INDEX('Form Responses'!I:I,INT((ROW()-2)/6)+2),
"-- NA --"
)</f>
        <v>-- NA --</v>
      </c>
      <c r="I408" s="32" t="str">
        <f t="array" ref="I408">IF(
MOD(ROW()-2,6)=0,
INDEX('Form Responses'!J:J,INT((ROW()-2)/6)+2),
"-- NA --"
)</f>
        <v>-- NA --</v>
      </c>
      <c r="J408" s="3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26">
        <v>408.0</v>
      </c>
      <c r="B409" s="6"/>
      <c r="C409" s="26" t="s">
        <v>500</v>
      </c>
      <c r="D409" s="26" t="str">
        <f t="array" ref="D4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25EE043</v>
      </c>
      <c r="E409" s="32" t="str">
        <f t="array" ref="E4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ROHITKANTH K</v>
      </c>
      <c r="F409" s="26" t="str">
        <f t="array" ref="F4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09" s="26" t="str">
        <f t="array" ref="G4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09" s="26" t="str">
        <f t="array" ref="H409">IF(
MOD(ROW()-2,6)=0,
INDEX('Form Responses'!I:I,INT((ROW()-2)/6)+2),
"-- NA --"
)</f>
        <v>-- NA --</v>
      </c>
      <c r="I409" s="32" t="str">
        <f t="array" ref="I409">IF(
MOD(ROW()-2,6)=0,
INDEX('Form Responses'!J:J,INT((ROW()-2)/6)+2),
"-- NA --"
)</f>
        <v>-- NA --</v>
      </c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26">
        <v>409.0</v>
      </c>
      <c r="B410" s="29" t="str">
        <f t="array" ref="B410">INDEX('Form Responses'!$C:$C,INT((ROW()-2)/6)+2)</f>
        <v>TEAM SPARK </v>
      </c>
      <c r="C410" s="31" t="s">
        <v>140</v>
      </c>
      <c r="D410" s="26" t="str">
        <f t="array" ref="D4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25EC078</v>
      </c>
      <c r="E410" s="32" t="str">
        <f t="array" ref="E4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 M </v>
      </c>
      <c r="F410" s="26" t="str">
        <f t="array" ref="F4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0" s="26" t="str">
        <f t="array" ref="G4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0" s="26">
        <f t="array" ref="H410">IF(
MOD(ROW()-2,6)=0,
INDEX('Form Responses'!I:I,INT((ROW()-2)/6)+2),
"-- NA --"
)</f>
        <v>8778829157</v>
      </c>
      <c r="I410" s="32" t="str">
        <f t="array" ref="I410">IF(
MOD(ROW()-2,6)=0,
INDEX('Form Responses'!J:J,INT((ROW()-2)/6)+2),
"-- NA --"
)</f>
        <v>kavya.m2025ece@sece.ac.in</v>
      </c>
      <c r="J410" s="29" t="str">
        <f t="array" ref="J410">INDEX('Form Responses'!$D:$D,INT((ROW()-2)/6)+2)</f>
        <v>Hardware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26">
        <v>410.0</v>
      </c>
      <c r="B411" s="33"/>
      <c r="C411" s="26" t="s">
        <v>282</v>
      </c>
      <c r="D411" s="26" t="str">
        <f t="array" ref="D4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25EC166</v>
      </c>
      <c r="E411" s="32" t="str">
        <f t="array" ref="E4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SUBHA N </v>
      </c>
      <c r="F411" s="26" t="str">
        <f t="array" ref="F4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1" s="26" t="str">
        <f t="array" ref="G4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1" s="26" t="str">
        <f t="array" ref="H411">IF(
MOD(ROW()-2,6)=0,
INDEX('Form Responses'!I:I,INT((ROW()-2)/6)+2),
"-- NA --"
)</f>
        <v>-- NA --</v>
      </c>
      <c r="I411" s="32" t="str">
        <f t="array" ref="I411">IF(
MOD(ROW()-2,6)=0,
INDEX('Form Responses'!J:J,INT((ROW()-2)/6)+2),
"-- NA --"
)</f>
        <v>-- NA --</v>
      </c>
      <c r="J411" s="3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26">
        <v>411.0</v>
      </c>
      <c r="B412" s="33"/>
      <c r="C412" s="26" t="s">
        <v>385</v>
      </c>
      <c r="D412" s="26" t="str">
        <f t="array" ref="D4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25SY025</v>
      </c>
      <c r="E412" s="32" t="str">
        <f t="array" ref="E4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JESHIKA SURUTHI S</v>
      </c>
      <c r="F412" s="26" t="str">
        <f t="array" ref="F4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2" s="26" t="str">
        <f t="array" ref="G4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12" s="26" t="str">
        <f t="array" ref="H412">IF(
MOD(ROW()-2,6)=0,
INDEX('Form Responses'!I:I,INT((ROW()-2)/6)+2),
"-- NA --"
)</f>
        <v>-- NA --</v>
      </c>
      <c r="I412" s="32" t="str">
        <f t="array" ref="I412">IF(
MOD(ROW()-2,6)=0,
INDEX('Form Responses'!J:J,INT((ROW()-2)/6)+2),
"-- NA --"
)</f>
        <v>-- NA --</v>
      </c>
      <c r="J412" s="3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26">
        <v>412.0</v>
      </c>
      <c r="B413" s="33"/>
      <c r="C413" s="26" t="s">
        <v>425</v>
      </c>
      <c r="D413" s="26" t="str">
        <f t="array" ref="D4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25CC062</v>
      </c>
      <c r="E413" s="32" t="str">
        <f t="array" ref="E4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VIGNESH M </v>
      </c>
      <c r="F413" s="26" t="str">
        <f t="array" ref="F4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3" s="26" t="str">
        <f t="array" ref="G4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413" s="26" t="str">
        <f t="array" ref="H413">IF(
MOD(ROW()-2,6)=0,
INDEX('Form Responses'!I:I,INT((ROW()-2)/6)+2),
"-- NA --"
)</f>
        <v>-- NA --</v>
      </c>
      <c r="I413" s="32" t="str">
        <f t="array" ref="I413">IF(
MOD(ROW()-2,6)=0,
INDEX('Form Responses'!J:J,INT((ROW()-2)/6)+2),
"-- NA --"
)</f>
        <v>-- NA --</v>
      </c>
      <c r="J413" s="3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26">
        <v>413.0</v>
      </c>
      <c r="B414" s="33"/>
      <c r="C414" s="26" t="s">
        <v>464</v>
      </c>
      <c r="D414" s="26" t="str">
        <f t="array" ref="D4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25CC058</v>
      </c>
      <c r="E414" s="32" t="str">
        <f t="array" ref="E4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SUJITH MANTHIRA MOORTHY KR </v>
      </c>
      <c r="F414" s="26" t="str">
        <f t="array" ref="F4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4" s="26" t="str">
        <f t="array" ref="G4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414" s="26" t="str">
        <f t="array" ref="H414">IF(
MOD(ROW()-2,6)=0,
INDEX('Form Responses'!I:I,INT((ROW()-2)/6)+2),
"-- NA --"
)</f>
        <v>-- NA --</v>
      </c>
      <c r="I414" s="32" t="str">
        <f t="array" ref="I414">IF(
MOD(ROW()-2,6)=0,
INDEX('Form Responses'!J:J,INT((ROW()-2)/6)+2),
"-- NA --"
)</f>
        <v>-- NA --</v>
      </c>
      <c r="J414" s="3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26">
        <v>414.0</v>
      </c>
      <c r="B415" s="6"/>
      <c r="C415" s="26" t="s">
        <v>500</v>
      </c>
      <c r="D415" s="26" t="str">
        <f t="array" ref="D4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25CC011</v>
      </c>
      <c r="E415" s="32" t="str">
        <f t="array" ref="E4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PRASANNA R </v>
      </c>
      <c r="F415" s="26" t="str">
        <f t="array" ref="F4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5" s="26" t="str">
        <f t="array" ref="G4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415" s="26" t="str">
        <f t="array" ref="H415">IF(
MOD(ROW()-2,6)=0,
INDEX('Form Responses'!I:I,INT((ROW()-2)/6)+2),
"-- NA --"
)</f>
        <v>-- NA --</v>
      </c>
      <c r="I415" s="32" t="str">
        <f t="array" ref="I415">IF(
MOD(ROW()-2,6)=0,
INDEX('Form Responses'!J:J,INT((ROW()-2)/6)+2),
"-- NA --"
)</f>
        <v>-- NA --</v>
      </c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26">
        <v>415.0</v>
      </c>
      <c r="B416" s="29" t="str">
        <f t="array" ref="B416">INDEX('Form Responses'!$C:$C,INT((ROW()-2)/6)+2)</f>
        <v>Innov8</v>
      </c>
      <c r="C416" s="31" t="s">
        <v>140</v>
      </c>
      <c r="D416" s="26" t="str">
        <f t="array" ref="D4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25EC031</v>
      </c>
      <c r="E416" s="32" t="str">
        <f t="array" ref="E4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Dakshinya sree .S </v>
      </c>
      <c r="F416" s="26" t="str">
        <f t="array" ref="F4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6" s="26" t="str">
        <f t="array" ref="G4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6" s="26">
        <f t="array" ref="H416">IF(
MOD(ROW()-2,6)=0,
INDEX('Form Responses'!I:I,INT((ROW()-2)/6)+2),
"-- NA --"
)</f>
        <v>9345640074</v>
      </c>
      <c r="I416" s="32" t="str">
        <f t="array" ref="I416">IF(
MOD(ROW()-2,6)=0,
INDEX('Form Responses'!J:J,INT((ROW()-2)/6)+2),
"-- NA --"
)</f>
        <v>dakshinyasree.s2025ece@sece.ac.in</v>
      </c>
      <c r="J416" s="29" t="str">
        <f t="array" ref="J416">INDEX('Form Responses'!$D:$D,INT((ROW()-2)/6)+2)</f>
        <v>Hardware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26">
        <v>416.0</v>
      </c>
      <c r="B417" s="33"/>
      <c r="C417" s="26" t="s">
        <v>282</v>
      </c>
      <c r="D417" s="26" t="str">
        <f t="array" ref="D4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25EC058</v>
      </c>
      <c r="E417" s="32" t="str">
        <f t="array" ref="E4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.T </v>
      </c>
      <c r="F417" s="26" t="str">
        <f t="array" ref="F4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7" s="26" t="str">
        <f t="array" ref="G4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7" s="26" t="str">
        <f t="array" ref="H417">IF(
MOD(ROW()-2,6)=0,
INDEX('Form Responses'!I:I,INT((ROW()-2)/6)+2),
"-- NA --"
)</f>
        <v>-- NA --</v>
      </c>
      <c r="I417" s="32" t="str">
        <f t="array" ref="I417">IF(
MOD(ROW()-2,6)=0,
INDEX('Form Responses'!J:J,INT((ROW()-2)/6)+2),
"-- NA --"
)</f>
        <v>-- NA --</v>
      </c>
      <c r="J417" s="3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26">
        <v>417.0</v>
      </c>
      <c r="B418" s="33"/>
      <c r="C418" s="26" t="s">
        <v>385</v>
      </c>
      <c r="D418" s="26" t="str">
        <f t="array" ref="D4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25EC041</v>
      </c>
      <c r="E418" s="32" t="str">
        <f t="array" ref="E4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 .MR</v>
      </c>
      <c r="F418" s="26" t="str">
        <f t="array" ref="F4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8" s="26" t="str">
        <f t="array" ref="G4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8" s="26" t="str">
        <f t="array" ref="H418">IF(
MOD(ROW()-2,6)=0,
INDEX('Form Responses'!I:I,INT((ROW()-2)/6)+2),
"-- NA --"
)</f>
        <v>-- NA --</v>
      </c>
      <c r="I418" s="32" t="str">
        <f t="array" ref="I418">IF(
MOD(ROW()-2,6)=0,
INDEX('Form Responses'!J:J,INT((ROW()-2)/6)+2),
"-- NA --"
)</f>
        <v>-- NA --</v>
      </c>
      <c r="J418" s="3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26">
        <v>418.0</v>
      </c>
      <c r="B419" s="33"/>
      <c r="C419" s="26" t="s">
        <v>425</v>
      </c>
      <c r="D419" s="26" t="str">
        <f t="array" ref="D4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25EC059</v>
      </c>
      <c r="E419" s="32" t="str">
        <f t="array" ref="E4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Indraa sudarsan .SP</v>
      </c>
      <c r="F419" s="26" t="str">
        <f t="array" ref="F4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19" s="26" t="str">
        <f t="array" ref="G4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19" s="26" t="str">
        <f t="array" ref="H419">IF(
MOD(ROW()-2,6)=0,
INDEX('Form Responses'!I:I,INT((ROW()-2)/6)+2),
"-- NA --"
)</f>
        <v>-- NA --</v>
      </c>
      <c r="I419" s="32" t="str">
        <f t="array" ref="I419">IF(
MOD(ROW()-2,6)=0,
INDEX('Form Responses'!J:J,INT((ROW()-2)/6)+2),
"-- NA --"
)</f>
        <v>-- NA --</v>
      </c>
      <c r="J419" s="3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26">
        <v>419.0</v>
      </c>
      <c r="B420" s="33"/>
      <c r="C420" s="26" t="s">
        <v>464</v>
      </c>
      <c r="D420" s="26" t="str">
        <f t="array" ref="D4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25CB061</v>
      </c>
      <c r="E420" s="32" t="str">
        <f t="array" ref="E4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Vivega.M</v>
      </c>
      <c r="F420" s="26" t="str">
        <f t="array" ref="F4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0" s="26" t="str">
        <f t="array" ref="G4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420" s="26" t="str">
        <f t="array" ref="H420">IF(
MOD(ROW()-2,6)=0,
INDEX('Form Responses'!I:I,INT((ROW()-2)/6)+2),
"-- NA --"
)</f>
        <v>-- NA --</v>
      </c>
      <c r="I420" s="32" t="str">
        <f t="array" ref="I420">IF(
MOD(ROW()-2,6)=0,
INDEX('Form Responses'!J:J,INT((ROW()-2)/6)+2),
"-- NA --"
)</f>
        <v>-- NA --</v>
      </c>
      <c r="J420" s="3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26">
        <v>420.0</v>
      </c>
      <c r="B421" s="6"/>
      <c r="C421" s="26" t="s">
        <v>500</v>
      </c>
      <c r="D421" s="26" t="str">
        <f t="array" ref="D4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25AD124</v>
      </c>
      <c r="E421" s="32" t="str">
        <f t="array" ref="E4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Mrudhan.S</v>
      </c>
      <c r="F421" s="26" t="str">
        <f t="array" ref="F4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1" s="26" t="str">
        <f t="array" ref="G4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21" s="26" t="str">
        <f t="array" ref="H421">IF(
MOD(ROW()-2,6)=0,
INDEX('Form Responses'!I:I,INT((ROW()-2)/6)+2),
"-- NA --"
)</f>
        <v>-- NA --</v>
      </c>
      <c r="I421" s="32" t="str">
        <f t="array" ref="I421">IF(
MOD(ROW()-2,6)=0,
INDEX('Form Responses'!J:J,INT((ROW()-2)/6)+2),
"-- NA --"
)</f>
        <v>-- NA --</v>
      </c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26">
        <v>421.0</v>
      </c>
      <c r="B422" s="29" t="str">
        <f t="array" ref="B422">INDEX('Form Responses'!$C:$C,INT((ROW()-2)/6)+2)</f>
        <v> QUANTUMGUARDS</v>
      </c>
      <c r="C422" s="31" t="s">
        <v>140</v>
      </c>
      <c r="D422" s="26" t="str">
        <f t="array" ref="D4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25CS002</v>
      </c>
      <c r="E422" s="32" t="str">
        <f t="array" ref="E4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ABINESH M </v>
      </c>
      <c r="F422" s="26" t="str">
        <f t="array" ref="F4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2" s="26" t="str">
        <f t="array" ref="G4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22" s="26">
        <f t="array" ref="H422">IF(
MOD(ROW()-2,6)=0,
INDEX('Form Responses'!I:I,INT((ROW()-2)/6)+2),
"-- NA --"
)</f>
        <v>6374548131</v>
      </c>
      <c r="I422" s="32" t="str">
        <f t="array" ref="I422">IF(
MOD(ROW()-2,6)=0,
INDEX('Form Responses'!J:J,INT((ROW()-2)/6)+2),
"-- NA --"
)</f>
        <v>abinesh.m2025cse@sece.ac.in</v>
      </c>
      <c r="J422" s="29" t="str">
        <f t="array" ref="J422">INDEX('Form Responses'!$D:$D,INT((ROW()-2)/6)+2)</f>
        <v>Hardware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26">
        <v>422.0</v>
      </c>
      <c r="B423" s="33"/>
      <c r="C423" s="26" t="s">
        <v>282</v>
      </c>
      <c r="D423" s="26" t="str">
        <f t="array" ref="D4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25CS031</v>
      </c>
      <c r="E423" s="32" t="str">
        <f t="array" ref="E4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DELPHINE BAPIYOLA J</v>
      </c>
      <c r="F423" s="26" t="str">
        <f t="array" ref="F4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3" s="26" t="str">
        <f t="array" ref="G4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23" s="26" t="str">
        <f t="array" ref="H423">IF(
MOD(ROW()-2,6)=0,
INDEX('Form Responses'!I:I,INT((ROW()-2)/6)+2),
"-- NA --"
)</f>
        <v>-- NA --</v>
      </c>
      <c r="I423" s="32" t="str">
        <f t="array" ref="I423">IF(
MOD(ROW()-2,6)=0,
INDEX('Form Responses'!J:J,INT((ROW()-2)/6)+2),
"-- NA --"
)</f>
        <v>-- NA --</v>
      </c>
      <c r="J423" s="3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26">
        <v>423.0</v>
      </c>
      <c r="B424" s="33"/>
      <c r="C424" s="26" t="s">
        <v>385</v>
      </c>
      <c r="D424" s="26" t="str">
        <f t="array" ref="D4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25CS061</v>
      </c>
      <c r="E424" s="32" t="str">
        <f t="array" ref="E4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HANISKKA S </v>
      </c>
      <c r="F424" s="26" t="str">
        <f t="array" ref="F4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4" s="26" t="str">
        <f t="array" ref="G4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24" s="26" t="str">
        <f t="array" ref="H424">IF(
MOD(ROW()-2,6)=0,
INDEX('Form Responses'!I:I,INT((ROW()-2)/6)+2),
"-- NA --"
)</f>
        <v>-- NA --</v>
      </c>
      <c r="I424" s="32" t="str">
        <f t="array" ref="I424">IF(
MOD(ROW()-2,6)=0,
INDEX('Form Responses'!J:J,INT((ROW()-2)/6)+2),
"-- NA --"
)</f>
        <v>-- NA --</v>
      </c>
      <c r="J424" s="3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26">
        <v>424.0</v>
      </c>
      <c r="B425" s="33"/>
      <c r="C425" s="26" t="s">
        <v>425</v>
      </c>
      <c r="D425" s="26" t="str">
        <f t="array" ref="D4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</v>
      </c>
      <c r="E425" s="32" t="str">
        <f t="array" ref="E4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SANJAI PS </v>
      </c>
      <c r="F425" s="26" t="str">
        <f t="array" ref="F4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5" s="26" t="str">
        <f t="array" ref="G4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25" s="26" t="str">
        <f t="array" ref="H425">IF(
MOD(ROW()-2,6)=0,
INDEX('Form Responses'!I:I,INT((ROW()-2)/6)+2),
"-- NA --"
)</f>
        <v>-- NA --</v>
      </c>
      <c r="I425" s="32" t="str">
        <f t="array" ref="I425">IF(
MOD(ROW()-2,6)=0,
INDEX('Form Responses'!J:J,INT((ROW()-2)/6)+2),
"-- NA --"
)</f>
        <v>-- NA --</v>
      </c>
      <c r="J425" s="3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26">
        <v>425.0</v>
      </c>
      <c r="B426" s="33"/>
      <c r="C426" s="26" t="s">
        <v>464</v>
      </c>
      <c r="D426" s="26" t="str">
        <f t="array" ref="D4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25EE301(Lateral)</v>
      </c>
      <c r="E426" s="32" t="str">
        <f t="array" ref="E4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YASWANTH HARI V</v>
      </c>
      <c r="F426" s="26" t="str">
        <f t="array" ref="F4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6" s="26" t="str">
        <f t="array" ref="G4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26" s="26" t="str">
        <f t="array" ref="H426">IF(
MOD(ROW()-2,6)=0,
INDEX('Form Responses'!I:I,INT((ROW()-2)/6)+2),
"-- NA --"
)</f>
        <v>-- NA --</v>
      </c>
      <c r="I426" s="32" t="str">
        <f t="array" ref="I426">IF(
MOD(ROW()-2,6)=0,
INDEX('Form Responses'!J:J,INT((ROW()-2)/6)+2),
"-- NA --"
)</f>
        <v>-- NA --</v>
      </c>
      <c r="J426" s="3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26">
        <v>426.0</v>
      </c>
      <c r="B427" s="6"/>
      <c r="C427" s="26" t="s">
        <v>500</v>
      </c>
      <c r="D427" s="26" t="str">
        <f t="array" ref="D4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24AD179</v>
      </c>
      <c r="E427" s="32" t="str">
        <f t="array" ref="E4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 G</v>
      </c>
      <c r="F427" s="26" t="str">
        <f t="array" ref="F4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7" s="26" t="str">
        <f t="array" ref="G4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27" s="26" t="str">
        <f t="array" ref="H427">IF(
MOD(ROW()-2,6)=0,
INDEX('Form Responses'!I:I,INT((ROW()-2)/6)+2),
"-- NA --"
)</f>
        <v>-- NA --</v>
      </c>
      <c r="I427" s="32" t="str">
        <f t="array" ref="I427">IF(
MOD(ROW()-2,6)=0,
INDEX('Form Responses'!J:J,INT((ROW()-2)/6)+2),
"-- NA --"
)</f>
        <v>-- NA --</v>
      </c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26">
        <v>427.0</v>
      </c>
      <c r="B428" s="29" t="str">
        <f t="array" ref="B428">INDEX('Form Responses'!$C:$C,INT((ROW()-2)/6)+2)</f>
        <v>Anova</v>
      </c>
      <c r="C428" s="31" t="s">
        <v>140</v>
      </c>
      <c r="D428" s="26" t="str">
        <f t="array" ref="D4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25AD149</v>
      </c>
      <c r="E428" s="32" t="str">
        <f t="array" ref="E4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PRAJAN P.S</v>
      </c>
      <c r="F428" s="26" t="str">
        <f t="array" ref="F4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8" s="26" t="str">
        <f t="array" ref="G4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28" s="26">
        <f t="array" ref="H428">IF(
MOD(ROW()-2,6)=0,
INDEX('Form Responses'!I:I,INT((ROW()-2)/6)+2),
"-- NA --"
)</f>
        <v>9025114083</v>
      </c>
      <c r="I428" s="32" t="str">
        <f t="array" ref="I428">IF(
MOD(ROW()-2,6)=0,
INDEX('Form Responses'!J:J,INT((ROW()-2)/6)+2),
"-- NA --"
)</f>
        <v>prajan.ps2025aids@sece.ac.in</v>
      </c>
      <c r="J428" s="29" t="str">
        <f t="array" ref="J428">INDEX('Form Responses'!$D:$D,INT((ROW()-2)/6)+2)</f>
        <v>Hardware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26">
        <v>428.0</v>
      </c>
      <c r="B429" s="33"/>
      <c r="C429" s="26" t="s">
        <v>282</v>
      </c>
      <c r="D429" s="26" t="str">
        <f t="array" ref="D4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25AD189</v>
      </c>
      <c r="E429" s="32" t="str">
        <f t="array" ref="E4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SENTHIL KUMAR . K</v>
      </c>
      <c r="F429" s="26" t="str">
        <f t="array" ref="F4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29" s="26" t="str">
        <f t="array" ref="G4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29" s="26" t="str">
        <f t="array" ref="H429">IF(
MOD(ROW()-2,6)=0,
INDEX('Form Responses'!I:I,INT((ROW()-2)/6)+2),
"-- NA --"
)</f>
        <v>-- NA --</v>
      </c>
      <c r="I429" s="32" t="str">
        <f t="array" ref="I429">IF(
MOD(ROW()-2,6)=0,
INDEX('Form Responses'!J:J,INT((ROW()-2)/6)+2),
"-- NA --"
)</f>
        <v>-- NA --</v>
      </c>
      <c r="J429" s="3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26">
        <v>429.0</v>
      </c>
      <c r="B430" s="33"/>
      <c r="C430" s="26" t="s">
        <v>385</v>
      </c>
      <c r="D430" s="26" t="str">
        <f t="array" ref="D4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25EE016</v>
      </c>
      <c r="E430" s="32" t="str">
        <f t="array" ref="E4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HARSHITHA SRI A.G</v>
      </c>
      <c r="F430" s="26" t="str">
        <f t="array" ref="F4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0" s="26" t="str">
        <f t="array" ref="G4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30" s="26" t="str">
        <f t="array" ref="H430">IF(
MOD(ROW()-2,6)=0,
INDEX('Form Responses'!I:I,INT((ROW()-2)/6)+2),
"-- NA --"
)</f>
        <v>-- NA --</v>
      </c>
      <c r="I430" s="32" t="str">
        <f t="array" ref="I430">IF(
MOD(ROW()-2,6)=0,
INDEX('Form Responses'!J:J,INT((ROW()-2)/6)+2),
"-- NA --"
)</f>
        <v>-- NA --</v>
      </c>
      <c r="J430" s="3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26">
        <v>430.0</v>
      </c>
      <c r="B431" s="33"/>
      <c r="C431" s="26" t="s">
        <v>425</v>
      </c>
      <c r="D431" s="26" t="str">
        <f t="array" ref="D4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25AM113</v>
      </c>
      <c r="E431" s="32" t="str">
        <f t="array" ref="E4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. S </v>
      </c>
      <c r="F431" s="26" t="str">
        <f t="array" ref="F4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1" s="26" t="str">
        <f t="array" ref="G4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431" s="26" t="str">
        <f t="array" ref="H431">IF(
MOD(ROW()-2,6)=0,
INDEX('Form Responses'!I:I,INT((ROW()-2)/6)+2),
"-- NA --"
)</f>
        <v>-- NA --</v>
      </c>
      <c r="I431" s="32" t="str">
        <f t="array" ref="I431">IF(
MOD(ROW()-2,6)=0,
INDEX('Form Responses'!J:J,INT((ROW()-2)/6)+2),
"-- NA --"
)</f>
        <v>-- NA --</v>
      </c>
      <c r="J431" s="3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26">
        <v>431.0</v>
      </c>
      <c r="B432" s="33"/>
      <c r="C432" s="26" t="s">
        <v>464</v>
      </c>
      <c r="D432" s="26" t="str">
        <f t="array" ref="D4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25EC182</v>
      </c>
      <c r="E432" s="32" t="str">
        <f t="array" ref="E4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VISHNU. P</v>
      </c>
      <c r="F432" s="26" t="str">
        <f t="array" ref="F4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2" s="26" t="str">
        <f t="array" ref="G4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32" s="26" t="str">
        <f t="array" ref="H432">IF(
MOD(ROW()-2,6)=0,
INDEX('Form Responses'!I:I,INT((ROW()-2)/6)+2),
"-- NA --"
)</f>
        <v>-- NA --</v>
      </c>
      <c r="I432" s="32" t="str">
        <f t="array" ref="I432">IF(
MOD(ROW()-2,6)=0,
INDEX('Form Responses'!J:J,INT((ROW()-2)/6)+2),
"-- NA --"
)</f>
        <v>-- NA --</v>
      </c>
      <c r="J432" s="3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26">
        <v>432.0</v>
      </c>
      <c r="B433" s="6"/>
      <c r="C433" s="26" t="s">
        <v>500</v>
      </c>
      <c r="D433" s="26" t="str">
        <f t="array" ref="D4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25EC144</v>
      </c>
      <c r="E433" s="32" t="str">
        <f t="array" ref="E4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. S</v>
      </c>
      <c r="F433" s="26" t="str">
        <f t="array" ref="F4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3" s="26" t="str">
        <f t="array" ref="G4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33" s="26" t="str">
        <f t="array" ref="H433">IF(
MOD(ROW()-2,6)=0,
INDEX('Form Responses'!I:I,INT((ROW()-2)/6)+2),
"-- NA --"
)</f>
        <v>-- NA --</v>
      </c>
      <c r="I433" s="32" t="str">
        <f t="array" ref="I433">IF(
MOD(ROW()-2,6)=0,
INDEX('Form Responses'!J:J,INT((ROW()-2)/6)+2),
"-- NA --"
)</f>
        <v>-- NA --</v>
      </c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26">
        <v>433.0</v>
      </c>
      <c r="B434" s="29" t="str">
        <f t="array" ref="B434">INDEX('Form Responses'!$C:$C,INT((ROW()-2)/6)+2)</f>
        <v>MindForge AI</v>
      </c>
      <c r="C434" s="31" t="s">
        <v>140</v>
      </c>
      <c r="D434" s="26" t="str">
        <f t="array" ref="D4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25AM055</v>
      </c>
      <c r="E434" s="32" t="str">
        <f t="array" ref="E4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Kodieswaran M</v>
      </c>
      <c r="F434" s="26" t="str">
        <f t="array" ref="F4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4" s="26" t="str">
        <f t="array" ref="G4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434" s="26">
        <f t="array" ref="H434">IF(
MOD(ROW()-2,6)=0,
INDEX('Form Responses'!I:I,INT((ROW()-2)/6)+2),
"-- NA --"
)</f>
        <v>8825440187</v>
      </c>
      <c r="I434" s="32" t="str">
        <f t="array" ref="I434">IF(
MOD(ROW()-2,6)=0,
INDEX('Form Responses'!J:J,INT((ROW()-2)/6)+2),
"-- NA --"
)</f>
        <v>kodieswaran.m2025aiml@sece.ac.in</v>
      </c>
      <c r="J434" s="29" t="str">
        <f t="array" ref="J434">INDEX('Form Responses'!$D:$D,INT((ROW()-2)/6)+2)</f>
        <v>Hardware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26">
        <v>434.0</v>
      </c>
      <c r="B435" s="33"/>
      <c r="C435" s="26" t="s">
        <v>282</v>
      </c>
      <c r="D435" s="26" t="str">
        <f t="array" ref="D4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25AD245</v>
      </c>
      <c r="E435" s="32" t="str">
        <f t="array" ref="E4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Visalini S</v>
      </c>
      <c r="F435" s="26" t="str">
        <f t="array" ref="F4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5" s="26" t="str">
        <f t="array" ref="G4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35" s="26" t="str">
        <f t="array" ref="H435">IF(
MOD(ROW()-2,6)=0,
INDEX('Form Responses'!I:I,INT((ROW()-2)/6)+2),
"-- NA --"
)</f>
        <v>-- NA --</v>
      </c>
      <c r="I435" s="32" t="str">
        <f t="array" ref="I435">IF(
MOD(ROW()-2,6)=0,
INDEX('Form Responses'!J:J,INT((ROW()-2)/6)+2),
"-- NA --"
)</f>
        <v>-- NA --</v>
      </c>
      <c r="J435" s="3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26">
        <v>435.0</v>
      </c>
      <c r="B436" s="33"/>
      <c r="C436" s="26" t="s">
        <v>385</v>
      </c>
      <c r="D436" s="26" t="str">
        <f t="array" ref="D4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25AM036</v>
      </c>
      <c r="E436" s="32" t="str">
        <f t="array" ref="E4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Gowthaman V</v>
      </c>
      <c r="F436" s="26" t="str">
        <f t="array" ref="F4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6" s="26" t="str">
        <f t="array" ref="G4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436" s="26" t="str">
        <f t="array" ref="H436">IF(
MOD(ROW()-2,6)=0,
INDEX('Form Responses'!I:I,INT((ROW()-2)/6)+2),
"-- NA --"
)</f>
        <v>-- NA --</v>
      </c>
      <c r="I436" s="32" t="str">
        <f t="array" ref="I436">IF(
MOD(ROW()-2,6)=0,
INDEX('Form Responses'!J:J,INT((ROW()-2)/6)+2),
"-- NA --"
)</f>
        <v>-- NA --</v>
      </c>
      <c r="J436" s="3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26">
        <v>436.0</v>
      </c>
      <c r="B437" s="33"/>
      <c r="C437" s="26" t="s">
        <v>425</v>
      </c>
      <c r="D437" s="26" t="str">
        <f t="array" ref="D4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25AD219</v>
      </c>
      <c r="E437" s="32" t="str">
        <f t="array" ref="E4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Tamoharini CS</v>
      </c>
      <c r="F437" s="26" t="str">
        <f t="array" ref="F4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7" s="26" t="str">
        <f t="array" ref="G4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37" s="26" t="str">
        <f t="array" ref="H437">IF(
MOD(ROW()-2,6)=0,
INDEX('Form Responses'!I:I,INT((ROW()-2)/6)+2),
"-- NA --"
)</f>
        <v>-- NA --</v>
      </c>
      <c r="I437" s="32" t="str">
        <f t="array" ref="I437">IF(
MOD(ROW()-2,6)=0,
INDEX('Form Responses'!J:J,INT((ROW()-2)/6)+2),
"-- NA --"
)</f>
        <v>-- NA --</v>
      </c>
      <c r="J437" s="3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26">
        <v>437.0</v>
      </c>
      <c r="B438" s="33"/>
      <c r="C438" s="26" t="s">
        <v>464</v>
      </c>
      <c r="D438" s="26" t="str">
        <f t="array" ref="D4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25ME026</v>
      </c>
      <c r="E438" s="32" t="str">
        <f t="array" ref="E4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Subitha R</v>
      </c>
      <c r="F438" s="26" t="str">
        <f t="array" ref="F4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8" s="26" t="str">
        <f t="array" ref="G4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438" s="26" t="str">
        <f t="array" ref="H438">IF(
MOD(ROW()-2,6)=0,
INDEX('Form Responses'!I:I,INT((ROW()-2)/6)+2),
"-- NA --"
)</f>
        <v>-- NA --</v>
      </c>
      <c r="I438" s="32" t="str">
        <f t="array" ref="I438">IF(
MOD(ROW()-2,6)=0,
INDEX('Form Responses'!J:J,INT((ROW()-2)/6)+2),
"-- NA --"
)</f>
        <v>-- NA --</v>
      </c>
      <c r="J438" s="3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26">
        <v>438.0</v>
      </c>
      <c r="B439" s="6"/>
      <c r="C439" s="26" t="s">
        <v>500</v>
      </c>
      <c r="D439" s="26" t="str">
        <f t="array" ref="D4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25ME005</v>
      </c>
      <c r="E439" s="32" t="str">
        <f t="array" ref="E4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Charu B</v>
      </c>
      <c r="F439" s="26" t="str">
        <f t="array" ref="F4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39" s="26" t="str">
        <f t="array" ref="G4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439" s="26" t="str">
        <f t="array" ref="H439">IF(
MOD(ROW()-2,6)=0,
INDEX('Form Responses'!I:I,INT((ROW()-2)/6)+2),
"-- NA --"
)</f>
        <v>-- NA --</v>
      </c>
      <c r="I439" s="32" t="str">
        <f t="array" ref="I439">IF(
MOD(ROW()-2,6)=0,
INDEX('Form Responses'!J:J,INT((ROW()-2)/6)+2),
"-- NA --"
)</f>
        <v>-- NA --</v>
      </c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26">
        <v>439.0</v>
      </c>
      <c r="B440" s="29" t="str">
        <f t="array" ref="B440">INDEX('Form Responses'!$C:$C,INT((ROW()-2)/6)+2)</f>
        <v>ASGARD LABS</v>
      </c>
      <c r="C440" s="31" t="s">
        <v>140</v>
      </c>
      <c r="D440" s="26" t="str">
        <f t="array" ref="D4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25AD198</v>
      </c>
      <c r="E440" s="32" t="str">
        <f t="array" ref="E4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SHARVESHWAR S</v>
      </c>
      <c r="F440" s="26" t="str">
        <f t="array" ref="F4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0" s="26" t="str">
        <f t="array" ref="G4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40" s="26">
        <f t="array" ref="H440">IF(
MOD(ROW()-2,6)=0,
INDEX('Form Responses'!I:I,INT((ROW()-2)/6)+2),
"-- NA --"
)</f>
        <v>9342723435</v>
      </c>
      <c r="I440" s="32" t="str">
        <f t="array" ref="I440">IF(
MOD(ROW()-2,6)=0,
INDEX('Form Responses'!J:J,INT((ROW()-2)/6)+2),
"-- NA --"
)</f>
        <v>sharveshwar.s2025aids@sece.ac.in</v>
      </c>
      <c r="J440" s="29" t="str">
        <f t="array" ref="J440">INDEX('Form Responses'!$D:$D,INT((ROW()-2)/6)+2)</f>
        <v>Software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26">
        <v>440.0</v>
      </c>
      <c r="B441" s="33"/>
      <c r="C441" s="26" t="s">
        <v>282</v>
      </c>
      <c r="D441" s="26" t="str">
        <f t="array" ref="D4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25IT032</v>
      </c>
      <c r="E441" s="32" t="str">
        <f t="array" ref="E4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SOHAIL N</v>
      </c>
      <c r="F441" s="26" t="str">
        <f t="array" ref="F4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1" s="26" t="str">
        <f t="array" ref="G4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41" s="26" t="str">
        <f t="array" ref="H441">IF(
MOD(ROW()-2,6)=0,
INDEX('Form Responses'!I:I,INT((ROW()-2)/6)+2),
"-- NA --"
)</f>
        <v>-- NA --</v>
      </c>
      <c r="I441" s="32" t="str">
        <f t="array" ref="I441">IF(
MOD(ROW()-2,6)=0,
INDEX('Form Responses'!J:J,INT((ROW()-2)/6)+2),
"-- NA --"
)</f>
        <v>-- NA --</v>
      </c>
      <c r="J441" s="3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26">
        <v>441.0</v>
      </c>
      <c r="B442" s="33"/>
      <c r="C442" s="26" t="s">
        <v>385</v>
      </c>
      <c r="D442" s="26" t="str">
        <f t="array" ref="D4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25EC001</v>
      </c>
      <c r="E442" s="32" t="str">
        <f t="array" ref="E4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AADITHYAA A S</v>
      </c>
      <c r="F442" s="26" t="str">
        <f t="array" ref="F4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2" s="26" t="str">
        <f t="array" ref="G4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42" s="26" t="str">
        <f t="array" ref="H442">IF(
MOD(ROW()-2,6)=0,
INDEX('Form Responses'!I:I,INT((ROW()-2)/6)+2),
"-- NA --"
)</f>
        <v>-- NA --</v>
      </c>
      <c r="I442" s="32" t="str">
        <f t="array" ref="I442">IF(
MOD(ROW()-2,6)=0,
INDEX('Form Responses'!J:J,INT((ROW()-2)/6)+2),
"-- NA --"
)</f>
        <v>-- NA --</v>
      </c>
      <c r="J442" s="3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26">
        <v>442.0</v>
      </c>
      <c r="B443" s="33"/>
      <c r="C443" s="26" t="s">
        <v>425</v>
      </c>
      <c r="D443" s="26" t="str">
        <f t="array" ref="D4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25EC048</v>
      </c>
      <c r="E443" s="32" t="str">
        <f t="array" ref="E4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GOWTHAM S</v>
      </c>
      <c r="F443" s="26" t="str">
        <f t="array" ref="F4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3" s="26" t="str">
        <f t="array" ref="G4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43" s="26" t="str">
        <f t="array" ref="H443">IF(
MOD(ROW()-2,6)=0,
INDEX('Form Responses'!I:I,INT((ROW()-2)/6)+2),
"-- NA --"
)</f>
        <v>-- NA --</v>
      </c>
      <c r="I443" s="32" t="str">
        <f t="array" ref="I443">IF(
MOD(ROW()-2,6)=0,
INDEX('Form Responses'!J:J,INT((ROW()-2)/6)+2),
"-- NA --"
)</f>
        <v>-- NA --</v>
      </c>
      <c r="J443" s="3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26">
        <v>443.0</v>
      </c>
      <c r="B444" s="33"/>
      <c r="C444" s="26" t="s">
        <v>464</v>
      </c>
      <c r="D444" s="26" t="str">
        <f t="array" ref="D4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25EC005</v>
      </c>
      <c r="E444" s="32" t="str">
        <f t="array" ref="E4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ABISHEK R R</v>
      </c>
      <c r="F444" s="26" t="str">
        <f t="array" ref="F4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4" s="26" t="str">
        <f t="array" ref="G4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44" s="26" t="str">
        <f t="array" ref="H444">IF(
MOD(ROW()-2,6)=0,
INDEX('Form Responses'!I:I,INT((ROW()-2)/6)+2),
"-- NA --"
)</f>
        <v>-- NA --</v>
      </c>
      <c r="I444" s="32" t="str">
        <f t="array" ref="I444">IF(
MOD(ROW()-2,6)=0,
INDEX('Form Responses'!J:J,INT((ROW()-2)/6)+2),
"-- NA --"
)</f>
        <v>-- NA --</v>
      </c>
      <c r="J444" s="3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26">
        <v>444.0</v>
      </c>
      <c r="B445" s="6"/>
      <c r="C445" s="26" t="s">
        <v>500</v>
      </c>
      <c r="D445" s="26" t="str">
        <f t="array" ref="D4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25AM080</v>
      </c>
      <c r="E445" s="32" t="str">
        <f t="array" ref="E4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RUBIKHA M</v>
      </c>
      <c r="F445" s="26" t="str">
        <f t="array" ref="F4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5" s="26" t="str">
        <f t="array" ref="G4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445" s="26" t="str">
        <f t="array" ref="H445">IF(
MOD(ROW()-2,6)=0,
INDEX('Form Responses'!I:I,INT((ROW()-2)/6)+2),
"-- NA --"
)</f>
        <v>-- NA --</v>
      </c>
      <c r="I445" s="32" t="str">
        <f t="array" ref="I445">IF(
MOD(ROW()-2,6)=0,
INDEX('Form Responses'!J:J,INT((ROW()-2)/6)+2),
"-- NA --"
)</f>
        <v>-- NA --</v>
      </c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26">
        <v>445.0</v>
      </c>
      <c r="B446" s="29" t="str">
        <f t="array" ref="B446">INDEX('Form Responses'!$C:$C,INT((ROW()-2)/6)+2)</f>
        <v>TechNova </v>
      </c>
      <c r="C446" s="31" t="s">
        <v>140</v>
      </c>
      <c r="D446" s="26" t="str">
        <f t="array" ref="D4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25IT060</v>
      </c>
      <c r="E446" s="32" t="str">
        <f t="array" ref="E4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VISALINI T</v>
      </c>
      <c r="F446" s="26" t="str">
        <f t="array" ref="F4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6" s="26" t="str">
        <f t="array" ref="G4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46" s="26">
        <f t="array" ref="H446">IF(
MOD(ROW()-2,6)=0,
INDEX('Form Responses'!I:I,INT((ROW()-2)/6)+2),
"-- NA --"
)</f>
        <v>6385231290</v>
      </c>
      <c r="I446" s="32" t="str">
        <f t="array" ref="I446">IF(
MOD(ROW()-2,6)=0,
INDEX('Form Responses'!J:J,INT((ROW()-2)/6)+2),
"-- NA --"
)</f>
        <v>visalini.t2025it@sece.ac.in</v>
      </c>
      <c r="J446" s="29" t="str">
        <f t="array" ref="J446">INDEX('Form Responses'!$D:$D,INT((ROW()-2)/6)+2)</f>
        <v>Software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26">
        <v>446.0</v>
      </c>
      <c r="B447" s="33"/>
      <c r="C447" s="26" t="s">
        <v>282</v>
      </c>
      <c r="D447" s="26" t="str">
        <f t="array" ref="D4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25IT005</v>
      </c>
      <c r="E447" s="32" t="str">
        <f t="array" ref="E4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ANUSHREE S</v>
      </c>
      <c r="F447" s="26" t="str">
        <f t="array" ref="F4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7" s="26" t="str">
        <f t="array" ref="G4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47" s="26" t="str">
        <f t="array" ref="H447">IF(
MOD(ROW()-2,6)=0,
INDEX('Form Responses'!I:I,INT((ROW()-2)/6)+2),
"-- NA --"
)</f>
        <v>-- NA --</v>
      </c>
      <c r="I447" s="32" t="str">
        <f t="array" ref="I447">IF(
MOD(ROW()-2,6)=0,
INDEX('Form Responses'!J:J,INT((ROW()-2)/6)+2),
"-- NA --"
)</f>
        <v>-- NA --</v>
      </c>
      <c r="J447" s="3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26">
        <v>447.0</v>
      </c>
      <c r="B448" s="33"/>
      <c r="C448" s="26" t="s">
        <v>385</v>
      </c>
      <c r="D448" s="26" t="str">
        <f t="array" ref="D4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25IT006</v>
      </c>
      <c r="E448" s="32" t="str">
        <f t="array" ref="E4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ASHWIN B</v>
      </c>
      <c r="F448" s="26" t="str">
        <f t="array" ref="F4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8" s="26" t="str">
        <f t="array" ref="G4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48" s="26" t="str">
        <f t="array" ref="H448">IF(
MOD(ROW()-2,6)=0,
INDEX('Form Responses'!I:I,INT((ROW()-2)/6)+2),
"-- NA --"
)</f>
        <v>-- NA --</v>
      </c>
      <c r="I448" s="32" t="str">
        <f t="array" ref="I448">IF(
MOD(ROW()-2,6)=0,
INDEX('Form Responses'!J:J,INT((ROW()-2)/6)+2),
"-- NA --"
)</f>
        <v>-- NA --</v>
      </c>
      <c r="J448" s="3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26">
        <v>448.0</v>
      </c>
      <c r="B449" s="33"/>
      <c r="C449" s="26" t="s">
        <v>425</v>
      </c>
      <c r="D449" s="26" t="str">
        <f t="array" ref="D4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25IT058</v>
      </c>
      <c r="E449" s="32" t="str">
        <f t="array" ref="E4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TARUN V</v>
      </c>
      <c r="F449" s="26" t="str">
        <f t="array" ref="F4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49" s="26" t="str">
        <f t="array" ref="G4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49" s="26" t="str">
        <f t="array" ref="H449">IF(
MOD(ROW()-2,6)=0,
INDEX('Form Responses'!I:I,INT((ROW()-2)/6)+2),
"-- NA --"
)</f>
        <v>-- NA --</v>
      </c>
      <c r="I449" s="32" t="str">
        <f t="array" ref="I449">IF(
MOD(ROW()-2,6)=0,
INDEX('Form Responses'!J:J,INT((ROW()-2)/6)+2),
"-- NA --"
)</f>
        <v>-- NA --</v>
      </c>
      <c r="J449" s="3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26">
        <v>449.0</v>
      </c>
      <c r="B450" s="33"/>
      <c r="C450" s="26" t="s">
        <v>464</v>
      </c>
      <c r="D450" s="26" t="str">
        <f t="array" ref="D4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25IT041</v>
      </c>
      <c r="E450" s="32" t="str">
        <f t="array" ref="E4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PRADEEPA P</v>
      </c>
      <c r="F450" s="26" t="str">
        <f t="array" ref="F4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0" s="26" t="str">
        <f t="array" ref="G4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50" s="26" t="str">
        <f t="array" ref="H450">IF(
MOD(ROW()-2,6)=0,
INDEX('Form Responses'!I:I,INT((ROW()-2)/6)+2),
"-- NA --"
)</f>
        <v>-- NA --</v>
      </c>
      <c r="I450" s="32" t="str">
        <f t="array" ref="I450">IF(
MOD(ROW()-2,6)=0,
INDEX('Form Responses'!J:J,INT((ROW()-2)/6)+2),
"-- NA --"
)</f>
        <v>-- NA --</v>
      </c>
      <c r="J450" s="3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26">
        <v>450.0</v>
      </c>
      <c r="B451" s="6"/>
      <c r="C451" s="26" t="s">
        <v>500</v>
      </c>
      <c r="D451" s="26" t="str">
        <f t="array" ref="D4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25EE039</v>
      </c>
      <c r="E451" s="32" t="str">
        <f t="array" ref="E4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PARTHA R</v>
      </c>
      <c r="F451" s="26" t="str">
        <f t="array" ref="F4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1" s="26" t="str">
        <f t="array" ref="G4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51" s="26" t="str">
        <f t="array" ref="H451">IF(
MOD(ROW()-2,6)=0,
INDEX('Form Responses'!I:I,INT((ROW()-2)/6)+2),
"-- NA --"
)</f>
        <v>-- NA --</v>
      </c>
      <c r="I451" s="32" t="str">
        <f t="array" ref="I451">IF(
MOD(ROW()-2,6)=0,
INDEX('Form Responses'!J:J,INT((ROW()-2)/6)+2),
"-- NA --"
)</f>
        <v>-- NA --</v>
      </c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26">
        <v>451.0</v>
      </c>
      <c r="B452" s="29" t="str">
        <f t="array" ref="B452">INDEX('Form Responses'!$C:$C,INT((ROW()-2)/6)+2)</f>
        <v>TECH TITANS</v>
      </c>
      <c r="C452" s="31" t="s">
        <v>140</v>
      </c>
      <c r="D452" s="26" t="str">
        <f t="array" ref="D4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25CS203</v>
      </c>
      <c r="E452" s="32" t="str">
        <f t="array" ref="E4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SARANEESH G</v>
      </c>
      <c r="F452" s="26" t="str">
        <f t="array" ref="F4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2" s="26" t="str">
        <f t="array" ref="G4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52" s="26">
        <f t="array" ref="H452">IF(
MOD(ROW()-2,6)=0,
INDEX('Form Responses'!I:I,INT((ROW()-2)/6)+2),
"-- NA --"
)</f>
        <v>9842208406</v>
      </c>
      <c r="I452" s="32" t="str">
        <f t="array" ref="I452">IF(
MOD(ROW()-2,6)=0,
INDEX('Form Responses'!J:J,INT((ROW()-2)/6)+2),
"-- NA --"
)</f>
        <v>saraneesh.g2025cse@sece.ac.in</v>
      </c>
      <c r="J452" s="29" t="str">
        <f t="array" ref="J452">INDEX('Form Responses'!$D:$D,INT((ROW()-2)/6)+2)</f>
        <v>Hardware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26">
        <v>452.0</v>
      </c>
      <c r="B453" s="33"/>
      <c r="C453" s="26" t="s">
        <v>282</v>
      </c>
      <c r="D453" s="26" t="str">
        <f t="array" ref="D4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25IT013</v>
      </c>
      <c r="E453" s="32" t="str">
        <f t="array" ref="E4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DHARANYA M</v>
      </c>
      <c r="F453" s="26" t="str">
        <f t="array" ref="F4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3" s="26" t="str">
        <f t="array" ref="G4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453" s="26" t="str">
        <f t="array" ref="H453">IF(
MOD(ROW()-2,6)=0,
INDEX('Form Responses'!I:I,INT((ROW()-2)/6)+2),
"-- NA --"
)</f>
        <v>-- NA --</v>
      </c>
      <c r="I453" s="32" t="str">
        <f t="array" ref="I453">IF(
MOD(ROW()-2,6)=0,
INDEX('Form Responses'!J:J,INT((ROW()-2)/6)+2),
"-- NA --"
)</f>
        <v>-- NA --</v>
      </c>
      <c r="J453" s="3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26">
        <v>453.0</v>
      </c>
      <c r="B454" s="33"/>
      <c r="C454" s="26" t="s">
        <v>385</v>
      </c>
      <c r="D454" s="26" t="str">
        <f t="array" ref="D4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25CS202</v>
      </c>
      <c r="E454" s="32" t="str">
        <f t="array" ref="E4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SANTHIYA K</v>
      </c>
      <c r="F454" s="26" t="str">
        <f t="array" ref="F4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4" s="26" t="str">
        <f t="array" ref="G4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54" s="26" t="str">
        <f t="array" ref="H454">IF(
MOD(ROW()-2,6)=0,
INDEX('Form Responses'!I:I,INT((ROW()-2)/6)+2),
"-- NA --"
)</f>
        <v>-- NA --</v>
      </c>
      <c r="I454" s="32" t="str">
        <f t="array" ref="I454">IF(
MOD(ROW()-2,6)=0,
INDEX('Form Responses'!J:J,INT((ROW()-2)/6)+2),
"-- NA --"
)</f>
        <v>-- NA --</v>
      </c>
      <c r="J454" s="3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26">
        <v>454.0</v>
      </c>
      <c r="B455" s="33"/>
      <c r="C455" s="26" t="s">
        <v>425</v>
      </c>
      <c r="D455" s="26" t="str">
        <f t="array" ref="D4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25EC027</v>
      </c>
      <c r="E455" s="32" t="str">
        <f t="array" ref="E4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BOOBESH S</v>
      </c>
      <c r="F455" s="26" t="str">
        <f t="array" ref="F4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5" s="26" t="str">
        <f t="array" ref="G4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55" s="26" t="str">
        <f t="array" ref="H455">IF(
MOD(ROW()-2,6)=0,
INDEX('Form Responses'!I:I,INT((ROW()-2)/6)+2),
"-- NA --"
)</f>
        <v>-- NA --</v>
      </c>
      <c r="I455" s="32" t="str">
        <f t="array" ref="I455">IF(
MOD(ROW()-2,6)=0,
INDEX('Form Responses'!J:J,INT((ROW()-2)/6)+2),
"-- NA --"
)</f>
        <v>-- NA --</v>
      </c>
      <c r="J455" s="3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26">
        <v>455.0</v>
      </c>
      <c r="B456" s="33"/>
      <c r="C456" s="26" t="s">
        <v>464</v>
      </c>
      <c r="D456" s="26" t="str">
        <f t="array" ref="D4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25BEADMEC302</v>
      </c>
      <c r="E456" s="32" t="str">
        <f t="array" ref="E4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KAMALESH S M</v>
      </c>
      <c r="F456" s="26" t="str">
        <f t="array" ref="F4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6" s="26" t="str">
        <f t="array" ref="G4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56" s="26" t="str">
        <f t="array" ref="H456">IF(
MOD(ROW()-2,6)=0,
INDEX('Form Responses'!I:I,INT((ROW()-2)/6)+2),
"-- NA --"
)</f>
        <v>-- NA --</v>
      </c>
      <c r="I456" s="32" t="str">
        <f t="array" ref="I456">IF(
MOD(ROW()-2,6)=0,
INDEX('Form Responses'!J:J,INT((ROW()-2)/6)+2),
"-- NA --"
)</f>
        <v>-- NA --</v>
      </c>
      <c r="J456" s="3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26">
        <v>456.0</v>
      </c>
      <c r="B457" s="6"/>
      <c r="C457" s="26" t="s">
        <v>500</v>
      </c>
      <c r="D457" s="26" t="str">
        <f t="array" ref="D4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25BEADMEC306</v>
      </c>
      <c r="E457" s="32" t="str">
        <f t="array" ref="E4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SUGANTH P M</v>
      </c>
      <c r="F457" s="26" t="str">
        <f t="array" ref="F4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7" s="26" t="str">
        <f t="array" ref="G4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57" s="26" t="str">
        <f t="array" ref="H457">IF(
MOD(ROW()-2,6)=0,
INDEX('Form Responses'!I:I,INT((ROW()-2)/6)+2),
"-- NA --"
)</f>
        <v>-- NA --</v>
      </c>
      <c r="I457" s="32" t="str">
        <f t="array" ref="I457">IF(
MOD(ROW()-2,6)=0,
INDEX('Form Responses'!J:J,INT((ROW()-2)/6)+2),
"-- NA --"
)</f>
        <v>-- NA --</v>
      </c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26">
        <v>457.0</v>
      </c>
      <c r="B458" s="29" t="str">
        <f t="array" ref="B458">INDEX('Form Responses'!$C:$C,INT((ROW()-2)/6)+2)</f>
        <v>TECH DOMINION</v>
      </c>
      <c r="C458" s="31" t="s">
        <v>140</v>
      </c>
      <c r="D458" s="26" t="str">
        <f t="array" ref="D4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25EC035</v>
      </c>
      <c r="E458" s="32" t="str">
        <f t="array" ref="E4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DEVI SRI T</v>
      </c>
      <c r="F458" s="26" t="str">
        <f t="array" ref="F4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8" s="26" t="str">
        <f t="array" ref="G4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58" s="26">
        <f t="array" ref="H458">IF(
MOD(ROW()-2,6)=0,
INDEX('Form Responses'!I:I,INT((ROW()-2)/6)+2),
"-- NA --"
)</f>
        <v>6385309161</v>
      </c>
      <c r="I458" s="32" t="str">
        <f t="array" ref="I458">IF(
MOD(ROW()-2,6)=0,
INDEX('Form Responses'!J:J,INT((ROW()-2)/6)+2),
"-- NA --"
)</f>
        <v>devisri.t2025ece@sece.ac.in</v>
      </c>
      <c r="J458" s="29" t="str">
        <f t="array" ref="J458">INDEX('Form Responses'!$D:$D,INT((ROW()-2)/6)+2)</f>
        <v>Hardware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26">
        <v>458.0</v>
      </c>
      <c r="B459" s="33"/>
      <c r="C459" s="26" t="s">
        <v>282</v>
      </c>
      <c r="D459" s="26" t="str">
        <f t="array" ref="D4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25AD208</v>
      </c>
      <c r="E459" s="32" t="str">
        <f t="array" ref="E4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SUDHARSANAN K</v>
      </c>
      <c r="F459" s="26" t="str">
        <f t="array" ref="F4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59" s="26" t="str">
        <f t="array" ref="G4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59" s="26" t="str">
        <f t="array" ref="H459">IF(
MOD(ROW()-2,6)=0,
INDEX('Form Responses'!I:I,INT((ROW()-2)/6)+2),
"-- NA --"
)</f>
        <v>-- NA --</v>
      </c>
      <c r="I459" s="32" t="str">
        <f t="array" ref="I459">IF(
MOD(ROW()-2,6)=0,
INDEX('Form Responses'!J:J,INT((ROW()-2)/6)+2),
"-- NA --"
)</f>
        <v>-- NA --</v>
      </c>
      <c r="J459" s="3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26">
        <v>459.0</v>
      </c>
      <c r="B460" s="33"/>
      <c r="C460" s="26" t="s">
        <v>385</v>
      </c>
      <c r="D460" s="26" t="str">
        <f t="array" ref="D4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25CS161</v>
      </c>
      <c r="E460" s="32" t="str">
        <f t="array" ref="E4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NIVASHINI M</v>
      </c>
      <c r="F460" s="26" t="str">
        <f t="array" ref="F4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0" s="26" t="str">
        <f t="array" ref="G4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0" s="26" t="str">
        <f t="array" ref="H460">IF(
MOD(ROW()-2,6)=0,
INDEX('Form Responses'!I:I,INT((ROW()-2)/6)+2),
"-- NA --"
)</f>
        <v>-- NA --</v>
      </c>
      <c r="I460" s="32" t="str">
        <f t="array" ref="I460">IF(
MOD(ROW()-2,6)=0,
INDEX('Form Responses'!J:J,INT((ROW()-2)/6)+2),
"-- NA --"
)</f>
        <v>-- NA --</v>
      </c>
      <c r="J460" s="3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26">
        <v>460.0</v>
      </c>
      <c r="B461" s="33"/>
      <c r="C461" s="26" t="s">
        <v>425</v>
      </c>
      <c r="D461" s="26" t="str">
        <f t="array" ref="D4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25CS145</v>
      </c>
      <c r="E461" s="32" t="str">
        <f t="array" ref="E4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NAVASREE R S</v>
      </c>
      <c r="F461" s="26" t="str">
        <f t="array" ref="F4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1" s="26" t="str">
        <f t="array" ref="G4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1" s="26" t="str">
        <f t="array" ref="H461">IF(
MOD(ROW()-2,6)=0,
INDEX('Form Responses'!I:I,INT((ROW()-2)/6)+2),
"-- NA --"
)</f>
        <v>-- NA --</v>
      </c>
      <c r="I461" s="32" t="str">
        <f t="array" ref="I461">IF(
MOD(ROW()-2,6)=0,
INDEX('Form Responses'!J:J,INT((ROW()-2)/6)+2),
"-- NA --"
)</f>
        <v>-- NA --</v>
      </c>
      <c r="J461" s="3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26">
        <v>461.0</v>
      </c>
      <c r="B462" s="33"/>
      <c r="C462" s="26" t="s">
        <v>464</v>
      </c>
      <c r="D462" s="26" t="str">
        <f t="array" ref="D4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25EC053</v>
      </c>
      <c r="E462" s="32" t="str">
        <f t="array" ref="E4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P</v>
      </c>
      <c r="F462" s="26" t="str">
        <f t="array" ref="F4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2" s="26" t="str">
        <f t="array" ref="G4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62" s="26" t="str">
        <f t="array" ref="H462">IF(
MOD(ROW()-2,6)=0,
INDEX('Form Responses'!I:I,INT((ROW()-2)/6)+2),
"-- NA --"
)</f>
        <v>-- NA --</v>
      </c>
      <c r="I462" s="32" t="str">
        <f t="array" ref="I462">IF(
MOD(ROW()-2,6)=0,
INDEX('Form Responses'!J:J,INT((ROW()-2)/6)+2),
"-- NA --"
)</f>
        <v>-- NA --</v>
      </c>
      <c r="J462" s="3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26">
        <v>462.0</v>
      </c>
      <c r="B463" s="6"/>
      <c r="C463" s="26" t="s">
        <v>500</v>
      </c>
      <c r="D463" s="26" t="str">
        <f t="array" ref="D4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25AD202</v>
      </c>
      <c r="E463" s="32" t="str">
        <f t="array" ref="E4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SIBI CHAKKARAVARTHI K</v>
      </c>
      <c r="F463" s="26" t="str">
        <f t="array" ref="F4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3" s="26" t="str">
        <f t="array" ref="G4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63" s="26" t="str">
        <f t="array" ref="H463">IF(
MOD(ROW()-2,6)=0,
INDEX('Form Responses'!I:I,INT((ROW()-2)/6)+2),
"-- NA --"
)</f>
        <v>-- NA --</v>
      </c>
      <c r="I463" s="32" t="str">
        <f t="array" ref="I463">IF(
MOD(ROW()-2,6)=0,
INDEX('Form Responses'!J:J,INT((ROW()-2)/6)+2),
"-- NA --"
)</f>
        <v>-- NA --</v>
      </c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26">
        <v>463.0</v>
      </c>
      <c r="B464" s="29" t="str">
        <f t="array" ref="B464">INDEX('Form Responses'!$C:$C,INT((ROW()-2)/6)+2)</f>
        <v>CryptX</v>
      </c>
      <c r="C464" s="31" t="s">
        <v>140</v>
      </c>
      <c r="D464" s="26" t="str">
        <f t="array" ref="D4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25SY035</v>
      </c>
      <c r="E464" s="32" t="str">
        <f t="array" ref="E4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Lekshme Balaje R</v>
      </c>
      <c r="F464" s="26" t="str">
        <f t="array" ref="F4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4" s="26" t="str">
        <f t="array" ref="G4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64" s="26">
        <f t="array" ref="H464">IF(
MOD(ROW()-2,6)=0,
INDEX('Form Responses'!I:I,INT((ROW()-2)/6)+2),
"-- NA --"
)</f>
        <v>9361575861</v>
      </c>
      <c r="I464" s="32" t="str">
        <f t="array" ref="I464">IF(
MOD(ROW()-2,6)=0,
INDEX('Form Responses'!J:J,INT((ROW()-2)/6)+2),
"-- NA --"
)</f>
        <v>lekshmebalaje.r2025cys@sece.ac.in</v>
      </c>
      <c r="J464" s="29" t="str">
        <f t="array" ref="J464">INDEX('Form Responses'!$D:$D,INT((ROW()-2)/6)+2)</f>
        <v>Software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26">
        <v>464.0</v>
      </c>
      <c r="B465" s="33"/>
      <c r="C465" s="26" t="s">
        <v>282</v>
      </c>
      <c r="D465" s="26" t="str">
        <f t="array" ref="D4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25SY005</v>
      </c>
      <c r="E465" s="32" t="str">
        <f t="array" ref="E4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Alfred Joseph W</v>
      </c>
      <c r="F465" s="26" t="str">
        <f t="array" ref="F4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5" s="26" t="str">
        <f t="array" ref="G4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65" s="26" t="str">
        <f t="array" ref="H465">IF(
MOD(ROW()-2,6)=0,
INDEX('Form Responses'!I:I,INT((ROW()-2)/6)+2),
"-- NA --"
)</f>
        <v>-- NA --</v>
      </c>
      <c r="I465" s="32" t="str">
        <f t="array" ref="I465">IF(
MOD(ROW()-2,6)=0,
INDEX('Form Responses'!J:J,INT((ROW()-2)/6)+2),
"-- NA --"
)</f>
        <v>-- NA --</v>
      </c>
      <c r="J465" s="3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26">
        <v>465.0</v>
      </c>
      <c r="B466" s="33"/>
      <c r="C466" s="26" t="s">
        <v>385</v>
      </c>
      <c r="D466" s="26" t="str">
        <f t="array" ref="D4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25CS041</v>
      </c>
      <c r="E466" s="32" t="str">
        <f t="array" ref="E4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 R</v>
      </c>
      <c r="F466" s="26" t="str">
        <f t="array" ref="F4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6" s="26" t="str">
        <f t="array" ref="G4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6" s="26" t="str">
        <f t="array" ref="H466">IF(
MOD(ROW()-2,6)=0,
INDEX('Form Responses'!I:I,INT((ROW()-2)/6)+2),
"-- NA --"
)</f>
        <v>-- NA --</v>
      </c>
      <c r="I466" s="32" t="str">
        <f t="array" ref="I466">IF(
MOD(ROW()-2,6)=0,
INDEX('Form Responses'!J:J,INT((ROW()-2)/6)+2),
"-- NA --"
)</f>
        <v>-- NA --</v>
      </c>
      <c r="J466" s="3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26">
        <v>466.0</v>
      </c>
      <c r="B467" s="33"/>
      <c r="C467" s="26" t="s">
        <v>425</v>
      </c>
      <c r="D467" s="26" t="str">
        <f t="array" ref="D4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25CS093</v>
      </c>
      <c r="E467" s="32" t="str">
        <f t="array" ref="E4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Kanjana G</v>
      </c>
      <c r="F467" s="26" t="str">
        <f t="array" ref="F4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7" s="26" t="str">
        <f t="array" ref="G4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7" s="26" t="str">
        <f t="array" ref="H467">IF(
MOD(ROW()-2,6)=0,
INDEX('Form Responses'!I:I,INT((ROW()-2)/6)+2),
"-- NA --"
)</f>
        <v>-- NA --</v>
      </c>
      <c r="I467" s="32" t="str">
        <f t="array" ref="I467">IF(
MOD(ROW()-2,6)=0,
INDEX('Form Responses'!J:J,INT((ROW()-2)/6)+2),
"-- NA --"
)</f>
        <v>-- NA --</v>
      </c>
      <c r="J467" s="3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26">
        <v>467.0</v>
      </c>
      <c r="B468" s="33"/>
      <c r="C468" s="26" t="s">
        <v>464</v>
      </c>
      <c r="D468" s="26" t="str">
        <f t="array" ref="D4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25CS113</v>
      </c>
      <c r="E468" s="32" t="str">
        <f t="array" ref="E4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Lathika K</v>
      </c>
      <c r="F468" s="26" t="str">
        <f t="array" ref="F4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8" s="26" t="str">
        <f t="array" ref="G4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8" s="26" t="str">
        <f t="array" ref="H468">IF(
MOD(ROW()-2,6)=0,
INDEX('Form Responses'!I:I,INT((ROW()-2)/6)+2),
"-- NA --"
)</f>
        <v>-- NA --</v>
      </c>
      <c r="I468" s="32" t="str">
        <f t="array" ref="I468">IF(
MOD(ROW()-2,6)=0,
INDEX('Form Responses'!J:J,INT((ROW()-2)/6)+2),
"-- NA --"
)</f>
        <v>-- NA --</v>
      </c>
      <c r="J468" s="3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26">
        <v>468.0</v>
      </c>
      <c r="B469" s="6"/>
      <c r="C469" s="26" t="s">
        <v>500</v>
      </c>
      <c r="D469" s="26" t="str">
        <f t="array" ref="D4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25CS096</v>
      </c>
      <c r="E469" s="32" t="str">
        <f t="array" ref="E4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Karthiga A</v>
      </c>
      <c r="F469" s="26" t="str">
        <f t="array" ref="F4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69" s="26" t="str">
        <f t="array" ref="G4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69" s="26" t="str">
        <f t="array" ref="H469">IF(
MOD(ROW()-2,6)=0,
INDEX('Form Responses'!I:I,INT((ROW()-2)/6)+2),
"-- NA --"
)</f>
        <v>-- NA --</v>
      </c>
      <c r="I469" s="32" t="str">
        <f t="array" ref="I469">IF(
MOD(ROW()-2,6)=0,
INDEX('Form Responses'!J:J,INT((ROW()-2)/6)+2),
"-- NA --"
)</f>
        <v>-- NA --</v>
      </c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26">
        <v>469.0</v>
      </c>
      <c r="B470" s="29" t="str">
        <f t="array" ref="B470">INDEX('Form Responses'!$C:$C,INT((ROW()-2)/6)+2)</f>
        <v>PHacK Junction</v>
      </c>
      <c r="C470" s="31" t="s">
        <v>140</v>
      </c>
      <c r="D470" s="26" t="str">
        <f t="array" ref="D4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25AD069</v>
      </c>
      <c r="E470" s="32" t="str">
        <f t="array" ref="E4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Harshikaa S</v>
      </c>
      <c r="F470" s="26" t="str">
        <f t="array" ref="F4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0" s="26" t="str">
        <f t="array" ref="G4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70" s="26">
        <f t="array" ref="H470">IF(
MOD(ROW()-2,6)=0,
INDEX('Form Responses'!I:I,INT((ROW()-2)/6)+2),
"-- NA --"
)</f>
        <v>7845912127</v>
      </c>
      <c r="I470" s="32" t="str">
        <f t="array" ref="I470">IF(
MOD(ROW()-2,6)=0,
INDEX('Form Responses'!J:J,INT((ROW()-2)/6)+2),
"-- NA --"
)</f>
        <v>harshikaa.s2025aids@sece.ac.in</v>
      </c>
      <c r="J470" s="29" t="str">
        <f t="array" ref="J470">INDEX('Form Responses'!$D:$D,INT((ROW()-2)/6)+2)</f>
        <v>Hardware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26">
        <v>470.0</v>
      </c>
      <c r="B471" s="33"/>
      <c r="C471" s="26" t="s">
        <v>282</v>
      </c>
      <c r="D471" s="26" t="str">
        <f t="array" ref="D4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25CS167</v>
      </c>
      <c r="E471" s="32" t="str">
        <f t="array" ref="E4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Pooja sri S</v>
      </c>
      <c r="F471" s="26" t="str">
        <f t="array" ref="F4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1" s="26" t="str">
        <f t="array" ref="G4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71" s="26" t="str">
        <f t="array" ref="H471">IF(
MOD(ROW()-2,6)=0,
INDEX('Form Responses'!I:I,INT((ROW()-2)/6)+2),
"-- NA --"
)</f>
        <v>-- NA --</v>
      </c>
      <c r="I471" s="32" t="str">
        <f t="array" ref="I471">IF(
MOD(ROW()-2,6)=0,
INDEX('Form Responses'!J:J,INT((ROW()-2)/6)+2),
"-- NA --"
)</f>
        <v>-- NA --</v>
      </c>
      <c r="J471" s="3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26">
        <v>471.0</v>
      </c>
      <c r="B472" s="33"/>
      <c r="C472" s="26" t="s">
        <v>385</v>
      </c>
      <c r="D472" s="26" t="str">
        <f t="array" ref="D4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25CS082</v>
      </c>
      <c r="E472" s="32" t="str">
        <f t="array" ref="E4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Jayanesh A</v>
      </c>
      <c r="F472" s="26" t="str">
        <f t="array" ref="F4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2" s="26" t="str">
        <f t="array" ref="G4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72" s="26" t="str">
        <f t="array" ref="H472">IF(
MOD(ROW()-2,6)=0,
INDEX('Form Responses'!I:I,INT((ROW()-2)/6)+2),
"-- NA --"
)</f>
        <v>-- NA --</v>
      </c>
      <c r="I472" s="32" t="str">
        <f t="array" ref="I472">IF(
MOD(ROW()-2,6)=0,
INDEX('Form Responses'!J:J,INT((ROW()-2)/6)+2),
"-- NA --"
)</f>
        <v>-- NA --</v>
      </c>
      <c r="J472" s="3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26">
        <v>472.0</v>
      </c>
      <c r="B473" s="33"/>
      <c r="C473" s="26" t="s">
        <v>425</v>
      </c>
      <c r="D473" s="26" t="str">
        <f t="array" ref="D4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25EC109</v>
      </c>
      <c r="E473" s="32" t="str">
        <f t="array" ref="E4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Naganathan R</v>
      </c>
      <c r="F473" s="26" t="str">
        <f t="array" ref="F4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3" s="26" t="str">
        <f t="array" ref="G4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73" s="26" t="str">
        <f t="array" ref="H473">IF(
MOD(ROW()-2,6)=0,
INDEX('Form Responses'!I:I,INT((ROW()-2)/6)+2),
"-- NA --"
)</f>
        <v>-- NA --</v>
      </c>
      <c r="I473" s="32" t="str">
        <f t="array" ref="I473">IF(
MOD(ROW()-2,6)=0,
INDEX('Form Responses'!J:J,INT((ROW()-2)/6)+2),
"-- NA --"
)</f>
        <v>-- NA --</v>
      </c>
      <c r="J473" s="3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26">
        <v>473.0</v>
      </c>
      <c r="B474" s="33"/>
      <c r="C474" s="26" t="s">
        <v>464</v>
      </c>
      <c r="D474" s="26" t="str">
        <f t="array" ref="D4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25EC124</v>
      </c>
      <c r="E474" s="32" t="str">
        <f t="array" ref="E4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Palani Kumar N</v>
      </c>
      <c r="F474" s="26" t="str">
        <f t="array" ref="F4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4" s="26" t="str">
        <f t="array" ref="G4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74" s="26" t="str">
        <f t="array" ref="H474">IF(
MOD(ROW()-2,6)=0,
INDEX('Form Responses'!I:I,INT((ROW()-2)/6)+2),
"-- NA --"
)</f>
        <v>-- NA --</v>
      </c>
      <c r="I474" s="32" t="str">
        <f t="array" ref="I474">IF(
MOD(ROW()-2,6)=0,
INDEX('Form Responses'!J:J,INT((ROW()-2)/6)+2),
"-- NA --"
)</f>
        <v>-- NA --</v>
      </c>
      <c r="J474" s="3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26">
        <v>474.0</v>
      </c>
      <c r="B475" s="6"/>
      <c r="C475" s="26" t="s">
        <v>500</v>
      </c>
      <c r="D475" s="26" t="str">
        <f t="array" ref="D4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25AD108</v>
      </c>
      <c r="E475" s="32" t="str">
        <f t="array" ref="E4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Krithika K</v>
      </c>
      <c r="F475" s="26" t="str">
        <f t="array" ref="F4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5" s="26" t="str">
        <f t="array" ref="G4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75" s="26" t="str">
        <f t="array" ref="H475">IF(
MOD(ROW()-2,6)=0,
INDEX('Form Responses'!I:I,INT((ROW()-2)/6)+2),
"-- NA --"
)</f>
        <v>-- NA --</v>
      </c>
      <c r="I475" s="32" t="str">
        <f t="array" ref="I475">IF(
MOD(ROW()-2,6)=0,
INDEX('Form Responses'!J:J,INT((ROW()-2)/6)+2),
"-- NA --"
)</f>
        <v>-- NA --</v>
      </c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26">
        <v>475.0</v>
      </c>
      <c r="B476" s="29" t="str">
        <f t="array" ref="B476">INDEX('Form Responses'!$C:$C,INT((ROW()-2)/6)+2)</f>
        <v>M NITHILA</v>
      </c>
      <c r="C476" s="31" t="s">
        <v>140</v>
      </c>
      <c r="D476" s="26" t="str">
        <f t="array" ref="D4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25EE025</v>
      </c>
      <c r="E476" s="32" t="str">
        <f t="array" ref="E4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 NITHILA </v>
      </c>
      <c r="F476" s="26" t="str">
        <f t="array" ref="F4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6" s="26" t="str">
        <f t="array" ref="G4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76" s="26">
        <f t="array" ref="H476">IF(
MOD(ROW()-2,6)=0,
INDEX('Form Responses'!I:I,INT((ROW()-2)/6)+2),
"-- NA --"
)</f>
        <v>9080945752</v>
      </c>
      <c r="I476" s="32" t="str">
        <f t="array" ref="I476">IF(
MOD(ROW()-2,6)=0,
INDEX('Form Responses'!J:J,INT((ROW()-2)/6)+2),
"-- NA --"
)</f>
        <v>mnithila.2025eee@sece.ac.in</v>
      </c>
      <c r="J476" s="29" t="str">
        <f t="array" ref="J476">INDEX('Form Responses'!$D:$D,INT((ROW()-2)/6)+2)</f>
        <v>Hardware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26">
        <v>476.0</v>
      </c>
      <c r="B477" s="33"/>
      <c r="C477" s="26" t="s">
        <v>282</v>
      </c>
      <c r="D477" s="26" t="str">
        <f t="array" ref="D4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25EE053</v>
      </c>
      <c r="E477" s="32" t="str">
        <f t="array" ref="E4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SRIMATHI M</v>
      </c>
      <c r="F477" s="26" t="str">
        <f t="array" ref="F4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7" s="26" t="str">
        <f t="array" ref="G4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477" s="26" t="str">
        <f t="array" ref="H477">IF(
MOD(ROW()-2,6)=0,
INDEX('Form Responses'!I:I,INT((ROW()-2)/6)+2),
"-- NA --"
)</f>
        <v>-- NA --</v>
      </c>
      <c r="I477" s="32" t="str">
        <f t="array" ref="I477">IF(
MOD(ROW()-2,6)=0,
INDEX('Form Responses'!J:J,INT((ROW()-2)/6)+2),
"-- NA --"
)</f>
        <v>-- NA --</v>
      </c>
      <c r="J477" s="3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26">
        <v>477.0</v>
      </c>
      <c r="B478" s="33"/>
      <c r="C478" s="26" t="s">
        <v>385</v>
      </c>
      <c r="D478" s="26" t="str">
        <f t="array" ref="D4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25ME007</v>
      </c>
      <c r="E478" s="32" t="str">
        <f t="array" ref="E4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DEVASREE DAKSHINI M</v>
      </c>
      <c r="F478" s="26" t="str">
        <f t="array" ref="F4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8" s="26" t="str">
        <f t="array" ref="G4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478" s="26" t="str">
        <f t="array" ref="H478">IF(
MOD(ROW()-2,6)=0,
INDEX('Form Responses'!I:I,INT((ROW()-2)/6)+2),
"-- NA --"
)</f>
        <v>-- NA --</v>
      </c>
      <c r="I478" s="32" t="str">
        <f t="array" ref="I478">IF(
MOD(ROW()-2,6)=0,
INDEX('Form Responses'!J:J,INT((ROW()-2)/6)+2),
"-- NA --"
)</f>
        <v>-- NA --</v>
      </c>
      <c r="J478" s="3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26">
        <v>478.0</v>
      </c>
      <c r="B479" s="33"/>
      <c r="C479" s="26" t="s">
        <v>425</v>
      </c>
      <c r="D479" s="26" t="str">
        <f t="array" ref="D4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25ME009</v>
      </c>
      <c r="E479" s="32" t="str">
        <f t="array" ref="E4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DURGASRI V</v>
      </c>
      <c r="F479" s="26" t="str">
        <f t="array" ref="F4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79" s="26" t="str">
        <f t="array" ref="G4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479" s="26" t="str">
        <f t="array" ref="H479">IF(
MOD(ROW()-2,6)=0,
INDEX('Form Responses'!I:I,INT((ROW()-2)/6)+2),
"-- NA --"
)</f>
        <v>-- NA --</v>
      </c>
      <c r="I479" s="32" t="str">
        <f t="array" ref="I479">IF(
MOD(ROW()-2,6)=0,
INDEX('Form Responses'!J:J,INT((ROW()-2)/6)+2),
"-- NA --"
)</f>
        <v>-- NA --</v>
      </c>
      <c r="J479" s="3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26">
        <v>479.0</v>
      </c>
      <c r="B480" s="33"/>
      <c r="C480" s="26" t="s">
        <v>464</v>
      </c>
      <c r="D480" s="26" t="str">
        <f t="array" ref="D4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25CS088</v>
      </c>
      <c r="E480" s="32" t="str">
        <f t="array" ref="E4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JOSHUA A</v>
      </c>
      <c r="F480" s="26" t="str">
        <f t="array" ref="F4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0" s="26" t="str">
        <f t="array" ref="G4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80" s="26" t="str">
        <f t="array" ref="H480">IF(
MOD(ROW()-2,6)=0,
INDEX('Form Responses'!I:I,INT((ROW()-2)/6)+2),
"-- NA --"
)</f>
        <v>-- NA --</v>
      </c>
      <c r="I480" s="32" t="str">
        <f t="array" ref="I480">IF(
MOD(ROW()-2,6)=0,
INDEX('Form Responses'!J:J,INT((ROW()-2)/6)+2),
"-- NA --"
)</f>
        <v>-- NA --</v>
      </c>
      <c r="J480" s="3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26">
        <v>480.0</v>
      </c>
      <c r="B481" s="6"/>
      <c r="C481" s="26" t="s">
        <v>500</v>
      </c>
      <c r="D481" s="26" t="str">
        <f t="array" ref="D4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25CS081</v>
      </c>
      <c r="E481" s="32" t="str">
        <f t="array" ref="E4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JAIDEEPAK R</v>
      </c>
      <c r="F481" s="26" t="str">
        <f t="array" ref="F4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1" s="26" t="str">
        <f t="array" ref="G4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481" s="26" t="str">
        <f t="array" ref="H481">IF(
MOD(ROW()-2,6)=0,
INDEX('Form Responses'!I:I,INT((ROW()-2)/6)+2),
"-- NA --"
)</f>
        <v>-- NA --</v>
      </c>
      <c r="I481" s="32" t="str">
        <f t="array" ref="I481">IF(
MOD(ROW()-2,6)=0,
INDEX('Form Responses'!J:J,INT((ROW()-2)/6)+2),
"-- NA --"
)</f>
        <v>-- NA --</v>
      </c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26">
        <v>481.0</v>
      </c>
      <c r="B482" s="29" t="str">
        <f t="array" ref="B482">INDEX('Form Responses'!$C:$C,INT((ROW()-2)/6)+2)</f>
        <v>Neurostack</v>
      </c>
      <c r="C482" s="31" t="s">
        <v>140</v>
      </c>
      <c r="D482" s="26" t="str">
        <f t="array" ref="D4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25EC088 </v>
      </c>
      <c r="E482" s="32" t="str">
        <f t="array" ref="E4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LOHITH T </v>
      </c>
      <c r="F482" s="26" t="str">
        <f t="array" ref="F4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2" s="26" t="str">
        <f t="array" ref="G4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82" s="26">
        <f t="array" ref="H482">IF(
MOD(ROW()-2,6)=0,
INDEX('Form Responses'!I:I,INT((ROW()-2)/6)+2),
"-- NA --"
)</f>
        <v>9942542473</v>
      </c>
      <c r="I482" s="32" t="str">
        <f t="array" ref="I482">IF(
MOD(ROW()-2,6)=0,
INDEX('Form Responses'!J:J,INT((ROW()-2)/6)+2),
"-- NA --"
)</f>
        <v>lohith.t2025ece@sece.ac.in</v>
      </c>
      <c r="J482" s="29" t="str">
        <f t="array" ref="J482">INDEX('Form Responses'!$D:$D,INT((ROW()-2)/6)+2)</f>
        <v>Hardware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26">
        <v>482.0</v>
      </c>
      <c r="B483" s="33"/>
      <c r="C483" s="26" t="s">
        <v>282</v>
      </c>
      <c r="D483" s="26" t="str">
        <f t="array" ref="D4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25EC081</v>
      </c>
      <c r="E483" s="32" t="str">
        <f t="array" ref="E4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KIRUTHIKA S</v>
      </c>
      <c r="F483" s="26" t="str">
        <f t="array" ref="F4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3" s="26" t="str">
        <f t="array" ref="G4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83" s="26" t="str">
        <f t="array" ref="H483">IF(
MOD(ROW()-2,6)=0,
INDEX('Form Responses'!I:I,INT((ROW()-2)/6)+2),
"-- NA --"
)</f>
        <v>-- NA --</v>
      </c>
      <c r="I483" s="32" t="str">
        <f t="array" ref="I483">IF(
MOD(ROW()-2,6)=0,
INDEX('Form Responses'!J:J,INT((ROW()-2)/6)+2),
"-- NA --"
)</f>
        <v>-- NA --</v>
      </c>
      <c r="J483" s="3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26">
        <v>483.0</v>
      </c>
      <c r="B484" s="33"/>
      <c r="C484" s="26" t="s">
        <v>385</v>
      </c>
      <c r="D484" s="26" t="str">
        <f t="array" ref="D4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25EC108</v>
      </c>
      <c r="E484" s="32" t="str">
        <f t="array" ref="E4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MUTHUMAMUNDI K</v>
      </c>
      <c r="F484" s="26" t="str">
        <f t="array" ref="F4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4" s="26" t="str">
        <f t="array" ref="G4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84" s="26" t="str">
        <f t="array" ref="H484">IF(
MOD(ROW()-2,6)=0,
INDEX('Form Responses'!I:I,INT((ROW()-2)/6)+2),
"-- NA --"
)</f>
        <v>-- NA --</v>
      </c>
      <c r="I484" s="32" t="str">
        <f t="array" ref="I484">IF(
MOD(ROW()-2,6)=0,
INDEX('Form Responses'!J:J,INT((ROW()-2)/6)+2),
"-- NA --"
)</f>
        <v>-- NA --</v>
      </c>
      <c r="J484" s="3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26">
        <v>484.0</v>
      </c>
      <c r="B485" s="33"/>
      <c r="C485" s="26" t="s">
        <v>425</v>
      </c>
      <c r="D485" s="26" t="str">
        <f t="array" ref="D4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25EC105</v>
      </c>
      <c r="E485" s="32" t="str">
        <f t="array" ref="E4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MUGESH M</v>
      </c>
      <c r="F485" s="26" t="str">
        <f t="array" ref="F4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5" s="26" t="str">
        <f t="array" ref="G4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85" s="26" t="str">
        <f t="array" ref="H485">IF(
MOD(ROW()-2,6)=0,
INDEX('Form Responses'!I:I,INT((ROW()-2)/6)+2),
"-- NA --"
)</f>
        <v>-- NA --</v>
      </c>
      <c r="I485" s="32" t="str">
        <f t="array" ref="I485">IF(
MOD(ROW()-2,6)=0,
INDEX('Form Responses'!J:J,INT((ROW()-2)/6)+2),
"-- NA --"
)</f>
        <v>-- NA --</v>
      </c>
      <c r="J485" s="3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26">
        <v>485.0</v>
      </c>
      <c r="B486" s="33"/>
      <c r="C486" s="26" t="s">
        <v>464</v>
      </c>
      <c r="D486" s="26" t="str">
        <f t="array" ref="D4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25EC098</v>
      </c>
      <c r="E486" s="32" t="str">
        <f t="array" ref="E4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MOHAMAD IRFAN</v>
      </c>
      <c r="F486" s="26" t="str">
        <f t="array" ref="F4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6" s="26" t="str">
        <f t="array" ref="G4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86" s="26" t="str">
        <f t="array" ref="H486">IF(
MOD(ROW()-2,6)=0,
INDEX('Form Responses'!I:I,INT((ROW()-2)/6)+2),
"-- NA --"
)</f>
        <v>-- NA --</v>
      </c>
      <c r="I486" s="32" t="str">
        <f t="array" ref="I486">IF(
MOD(ROW()-2,6)=0,
INDEX('Form Responses'!J:J,INT((ROW()-2)/6)+2),
"-- NA --"
)</f>
        <v>-- NA --</v>
      </c>
      <c r="J486" s="3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26">
        <v>486.0</v>
      </c>
      <c r="B487" s="6"/>
      <c r="C487" s="26" t="s">
        <v>500</v>
      </c>
      <c r="D487" s="26" t="str">
        <f t="array" ref="D4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25CB051</v>
      </c>
      <c r="E487" s="32" t="str">
        <f t="array" ref="E4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SINDHIGAA E M</v>
      </c>
      <c r="F487" s="26" t="str">
        <f t="array" ref="F4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7" s="26" t="str">
        <f t="array" ref="G4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487" s="26" t="str">
        <f t="array" ref="H487">IF(
MOD(ROW()-2,6)=0,
INDEX('Form Responses'!I:I,INT((ROW()-2)/6)+2),
"-- NA --"
)</f>
        <v>-- NA --</v>
      </c>
      <c r="I487" s="32" t="str">
        <f t="array" ref="I487">IF(
MOD(ROW()-2,6)=0,
INDEX('Form Responses'!J:J,INT((ROW()-2)/6)+2),
"-- NA --"
)</f>
        <v>-- NA --</v>
      </c>
      <c r="J487" s="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26">
        <v>487.0</v>
      </c>
      <c r="B488" s="29" t="str">
        <f t="array" ref="B488">INDEX('Form Responses'!$C:$C,INT((ROW()-2)/6)+2)</f>
        <v>Tech Squad</v>
      </c>
      <c r="C488" s="31" t="s">
        <v>140</v>
      </c>
      <c r="D488" s="26" t="str">
        <f t="array" ref="D4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25SY046</v>
      </c>
      <c r="E488" s="32" t="str">
        <f t="array" ref="E4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 Sreya</v>
      </c>
      <c r="F488" s="26" t="str">
        <f t="array" ref="F4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8" s="26" t="str">
        <f t="array" ref="G4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88" s="26" t="str">
        <f t="array" ref="H488">IF(
MOD(ROW()-2,6)=0,
INDEX('Form Responses'!I:I,INT((ROW()-2)/6)+2),
"-- NA --"
)</f>
        <v>+91 77084 91785</v>
      </c>
      <c r="I488" s="32" t="str">
        <f t="array" ref="I488">IF(
MOD(ROW()-2,6)=0,
INDEX('Form Responses'!J:J,INT((ROW()-2)/6)+2),
"-- NA --"
)</f>
        <v>sakthisreya.s2025cys@sece.ac.in</v>
      </c>
      <c r="J488" s="29" t="str">
        <f t="array" ref="J488">INDEX('Form Responses'!$D:$D,INT((ROW()-2)/6)+2)</f>
        <v>Hardware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26">
        <v>488.0</v>
      </c>
      <c r="B489" s="33"/>
      <c r="C489" s="26" t="s">
        <v>282</v>
      </c>
      <c r="D489" s="26" t="str">
        <f t="array" ref="D4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25SY052</v>
      </c>
      <c r="E489" s="32" t="str">
        <f t="array" ref="E4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Srimathi S</v>
      </c>
      <c r="F489" s="26" t="str">
        <f t="array" ref="F4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89" s="26" t="str">
        <f t="array" ref="G4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89" s="26" t="str">
        <f t="array" ref="H489">IF(
MOD(ROW()-2,6)=0,
INDEX('Form Responses'!I:I,INT((ROW()-2)/6)+2),
"-- NA --"
)</f>
        <v>-- NA --</v>
      </c>
      <c r="I489" s="32" t="str">
        <f t="array" ref="I489">IF(
MOD(ROW()-2,6)=0,
INDEX('Form Responses'!J:J,INT((ROW()-2)/6)+2),
"-- NA --"
)</f>
        <v>-- NA --</v>
      </c>
      <c r="J489" s="3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26">
        <v>489.0</v>
      </c>
      <c r="B490" s="33"/>
      <c r="C490" s="26" t="s">
        <v>385</v>
      </c>
      <c r="D490" s="26" t="str">
        <f t="array" ref="D4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IC26BER0479</v>
      </c>
      <c r="E490" s="32" t="str">
        <f t="array" ref="E4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Lakshana k  </v>
      </c>
      <c r="F490" s="26" t="str">
        <f t="array" ref="F4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0" s="26" t="str">
        <f t="array" ref="G4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90" s="26" t="str">
        <f t="array" ref="H490">IF(
MOD(ROW()-2,6)=0,
INDEX('Form Responses'!I:I,INT((ROW()-2)/6)+2),
"-- NA --"
)</f>
        <v>-- NA --</v>
      </c>
      <c r="I490" s="32" t="str">
        <f t="array" ref="I490">IF(
MOD(ROW()-2,6)=0,
INDEX('Form Responses'!J:J,INT((ROW()-2)/6)+2),
"-- NA --"
)</f>
        <v>-- NA --</v>
      </c>
      <c r="J490" s="3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26">
        <v>490.0</v>
      </c>
      <c r="B491" s="33"/>
      <c r="C491" s="26" t="s">
        <v>425</v>
      </c>
      <c r="D491" s="26" t="str">
        <f t="array" ref="D4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25SY061</v>
      </c>
      <c r="E491" s="32" t="str">
        <f t="array" ref="E4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Varshika S</v>
      </c>
      <c r="F491" s="26" t="str">
        <f t="array" ref="F4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1" s="26" t="str">
        <f t="array" ref="G4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491" s="26" t="str">
        <f t="array" ref="H491">IF(
MOD(ROW()-2,6)=0,
INDEX('Form Responses'!I:I,INT((ROW()-2)/6)+2),
"-- NA --"
)</f>
        <v>-- NA --</v>
      </c>
      <c r="I491" s="32" t="str">
        <f t="array" ref="I491">IF(
MOD(ROW()-2,6)=0,
INDEX('Form Responses'!J:J,INT((ROW()-2)/6)+2),
"-- NA --"
)</f>
        <v>-- NA --</v>
      </c>
      <c r="J491" s="3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26">
        <v>491.0</v>
      </c>
      <c r="B492" s="33"/>
      <c r="C492" s="26" t="s">
        <v>464</v>
      </c>
      <c r="D492" s="26" t="str">
        <f t="array" ref="D4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25CB006</v>
      </c>
      <c r="E492" s="32" t="str">
        <f t="array" ref="E4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Christina Victor </v>
      </c>
      <c r="F492" s="26" t="str">
        <f t="array" ref="F4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2" s="26" t="str">
        <f t="array" ref="G4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492" s="26" t="str">
        <f t="array" ref="H492">IF(
MOD(ROW()-2,6)=0,
INDEX('Form Responses'!I:I,INT((ROW()-2)/6)+2),
"-- NA --"
)</f>
        <v>-- NA --</v>
      </c>
      <c r="I492" s="32" t="str">
        <f t="array" ref="I492">IF(
MOD(ROW()-2,6)=0,
INDEX('Form Responses'!J:J,INT((ROW()-2)/6)+2),
"-- NA --"
)</f>
        <v>-- NA --</v>
      </c>
      <c r="J492" s="3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26">
        <v>492.0</v>
      </c>
      <c r="B493" s="6"/>
      <c r="C493" s="26" t="s">
        <v>500</v>
      </c>
      <c r="D493" s="26" t="str">
        <f t="array" ref="D4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25CB062</v>
      </c>
      <c r="E493" s="32" t="str">
        <f t="array" ref="E4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Viyanjana S</v>
      </c>
      <c r="F493" s="26" t="str">
        <f t="array" ref="F4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3" s="26" t="str">
        <f t="array" ref="G4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493" s="26" t="str">
        <f t="array" ref="H493">IF(
MOD(ROW()-2,6)=0,
INDEX('Form Responses'!I:I,INT((ROW()-2)/6)+2),
"-- NA --"
)</f>
        <v>-- NA --</v>
      </c>
      <c r="I493" s="32" t="str">
        <f t="array" ref="I493">IF(
MOD(ROW()-2,6)=0,
INDEX('Form Responses'!J:J,INT((ROW()-2)/6)+2),
"-- NA --"
)</f>
        <v>-- NA --</v>
      </c>
      <c r="J493" s="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26">
        <v>493.0</v>
      </c>
      <c r="B494" s="29" t="str">
        <f t="array" ref="B494">INDEX('Form Responses'!$C:$C,INT((ROW()-2)/6)+2)</f>
        <v>InnoMinds</v>
      </c>
      <c r="C494" s="31" t="s">
        <v>140</v>
      </c>
      <c r="D494" s="26" t="str">
        <f t="array" ref="D4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24EC082</v>
      </c>
      <c r="E494" s="32" t="str">
        <f t="array" ref="E4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LOGESHWARAN S</v>
      </c>
      <c r="F494" s="26" t="str">
        <f t="array" ref="F4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94" s="26" t="str">
        <f t="array" ref="G4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94" s="26">
        <f t="array" ref="H494">IF(
MOD(ROW()-2,6)=0,
INDEX('Form Responses'!I:I,INT((ROW()-2)/6)+2),
"-- NA --"
)</f>
        <v>9500041099</v>
      </c>
      <c r="I494" s="32" t="str">
        <f t="array" ref="I494">IF(
MOD(ROW()-2,6)=0,
INDEX('Form Responses'!J:J,INT((ROW()-2)/6)+2),
"-- NA --"
)</f>
        <v>logeshwaran.s2024ece@sece.ac.in</v>
      </c>
      <c r="J494" s="29" t="str">
        <f t="array" ref="J494">INDEX('Form Responses'!$D:$D,INT((ROW()-2)/6)+2)</f>
        <v>Hardware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26">
        <v>494.0</v>
      </c>
      <c r="B495" s="33"/>
      <c r="C495" s="26" t="s">
        <v>282</v>
      </c>
      <c r="D495" s="26" t="str">
        <f t="array" ref="D4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24EC068</v>
      </c>
      <c r="E495" s="32" t="str">
        <f t="array" ref="E4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KARTHICK NAVEEN S</v>
      </c>
      <c r="F495" s="26" t="str">
        <f t="array" ref="F4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95" s="26" t="str">
        <f t="array" ref="G4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95" s="26" t="str">
        <f t="array" ref="H495">IF(
MOD(ROW()-2,6)=0,
INDEX('Form Responses'!I:I,INT((ROW()-2)/6)+2),
"-- NA --"
)</f>
        <v>-- NA --</v>
      </c>
      <c r="I495" s="32" t="str">
        <f t="array" ref="I495">IF(
MOD(ROW()-2,6)=0,
INDEX('Form Responses'!J:J,INT((ROW()-2)/6)+2),
"-- NA --"
)</f>
        <v>-- NA --</v>
      </c>
      <c r="J495" s="3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26">
        <v>495.0</v>
      </c>
      <c r="B496" s="33"/>
      <c r="C496" s="26" t="s">
        <v>385</v>
      </c>
      <c r="D496" s="26" t="str">
        <f t="array" ref="D4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24EC091</v>
      </c>
      <c r="E496" s="32" t="str">
        <f t="array" ref="E4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MOHAMMAD IRFAN M</v>
      </c>
      <c r="F496" s="26" t="str">
        <f t="array" ref="F4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496" s="26" t="str">
        <f t="array" ref="G4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496" s="26" t="str">
        <f t="array" ref="H496">IF(
MOD(ROW()-2,6)=0,
INDEX('Form Responses'!I:I,INT((ROW()-2)/6)+2),
"-- NA --"
)</f>
        <v>-- NA --</v>
      </c>
      <c r="I496" s="32" t="str">
        <f t="array" ref="I496">IF(
MOD(ROW()-2,6)=0,
INDEX('Form Responses'!J:J,INT((ROW()-2)/6)+2),
"-- NA --"
)</f>
        <v>-- NA --</v>
      </c>
      <c r="J496" s="3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26">
        <v>496.0</v>
      </c>
      <c r="B497" s="33"/>
      <c r="C497" s="26" t="s">
        <v>425</v>
      </c>
      <c r="D497" s="26" t="str">
        <f t="array" ref="D4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24AD010</v>
      </c>
      <c r="E497" s="32" t="str">
        <f t="array" ref="E4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ANUGOPIKA S</v>
      </c>
      <c r="F497" s="26" t="str">
        <f t="array" ref="F4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7" s="26" t="str">
        <f t="array" ref="G4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97" s="26" t="str">
        <f t="array" ref="H497">IF(
MOD(ROW()-2,6)=0,
INDEX('Form Responses'!I:I,INT((ROW()-2)/6)+2),
"-- NA --"
)</f>
        <v>-- NA --</v>
      </c>
      <c r="I497" s="32" t="str">
        <f t="array" ref="I497">IF(
MOD(ROW()-2,6)=0,
INDEX('Form Responses'!J:J,INT((ROW()-2)/6)+2),
"-- NA --"
)</f>
        <v>-- NA --</v>
      </c>
      <c r="J497" s="3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26">
        <v>497.0</v>
      </c>
      <c r="B498" s="33"/>
      <c r="C498" s="26" t="s">
        <v>464</v>
      </c>
      <c r="D498" s="26" t="str">
        <f t="array" ref="D4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24AD040</v>
      </c>
      <c r="E498" s="32" t="str">
        <f t="array" ref="E4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R</v>
      </c>
      <c r="F498" s="26" t="str">
        <f t="array" ref="F4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8" s="26" t="str">
        <f t="array" ref="G4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98" s="26" t="str">
        <f t="array" ref="H498">IF(
MOD(ROW()-2,6)=0,
INDEX('Form Responses'!I:I,INT((ROW()-2)/6)+2),
"-- NA --"
)</f>
        <v>-- NA --</v>
      </c>
      <c r="I498" s="32" t="str">
        <f t="array" ref="I498">IF(
MOD(ROW()-2,6)=0,
INDEX('Form Responses'!J:J,INT((ROW()-2)/6)+2),
"-- NA --"
)</f>
        <v>-- NA --</v>
      </c>
      <c r="J498" s="3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26">
        <v>498.0</v>
      </c>
      <c r="B499" s="6"/>
      <c r="C499" s="26" t="s">
        <v>500</v>
      </c>
      <c r="D499" s="26" t="str">
        <f t="array" ref="D4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25AD120</v>
      </c>
      <c r="E499" s="32" t="str">
        <f t="array" ref="E4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MERLIN KIRUTHIKA S</v>
      </c>
      <c r="F499" s="26" t="str">
        <f t="array" ref="F4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499" s="26" t="str">
        <f t="array" ref="G4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499" s="26" t="str">
        <f t="array" ref="H499">IF(
MOD(ROW()-2,6)=0,
INDEX('Form Responses'!I:I,INT((ROW()-2)/6)+2),
"-- NA --"
)</f>
        <v>-- NA --</v>
      </c>
      <c r="I499" s="32" t="str">
        <f t="array" ref="I499">IF(
MOD(ROW()-2,6)=0,
INDEX('Form Responses'!J:J,INT((ROW()-2)/6)+2),
"-- NA --"
)</f>
        <v>-- NA --</v>
      </c>
      <c r="J499" s="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26">
        <v>499.0</v>
      </c>
      <c r="B500" s="29" t="str">
        <f t="array" ref="B500">INDEX('Form Responses'!$C:$C,INT((ROW()-2)/6)+2)</f>
        <v>NexQuad</v>
      </c>
      <c r="C500" s="31" t="s">
        <v>140</v>
      </c>
      <c r="D500" s="26" t="str">
        <f t="array" ref="D5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24AM066</v>
      </c>
      <c r="E500" s="32" t="str">
        <f t="array" ref="E5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NITIN A K</v>
      </c>
      <c r="F500" s="26" t="str">
        <f t="array" ref="F5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0" s="26" t="str">
        <f t="array" ref="G5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00" s="26">
        <f t="array" ref="H500">IF(
MOD(ROW()-2,6)=0,
INDEX('Form Responses'!I:I,INT((ROW()-2)/6)+2),
"-- NA --"
)</f>
        <v>6369719627</v>
      </c>
      <c r="I500" s="32" t="str">
        <f t="array" ref="I500">IF(
MOD(ROW()-2,6)=0,
INDEX('Form Responses'!J:J,INT((ROW()-2)/6)+2),
"-- NA --"
)</f>
        <v>nitin.ak2024aiml@sece.ac.in</v>
      </c>
      <c r="J500" s="29" t="str">
        <f t="array" ref="J500">INDEX('Form Responses'!$D:$D,INT((ROW()-2)/6)+2)</f>
        <v>Software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26">
        <v>500.0</v>
      </c>
      <c r="B501" s="33"/>
      <c r="C501" s="26" t="s">
        <v>282</v>
      </c>
      <c r="D501" s="26" t="str">
        <f t="array" ref="D5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24AM116</v>
      </c>
      <c r="E501" s="32" t="str">
        <f t="array" ref="E5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M K</v>
      </c>
      <c r="F501" s="26" t="str">
        <f t="array" ref="F5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1" s="26" t="str">
        <f t="array" ref="G5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01" s="26" t="str">
        <f t="array" ref="H501">IF(
MOD(ROW()-2,6)=0,
INDEX('Form Responses'!I:I,INT((ROW()-2)/6)+2),
"-- NA --"
)</f>
        <v>-- NA --</v>
      </c>
      <c r="I501" s="32" t="str">
        <f t="array" ref="I501">IF(
MOD(ROW()-2,6)=0,
INDEX('Form Responses'!J:J,INT((ROW()-2)/6)+2),
"-- NA --"
)</f>
        <v>-- NA --</v>
      </c>
      <c r="J501" s="3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26">
        <v>501.0</v>
      </c>
      <c r="B502" s="33"/>
      <c r="C502" s="26" t="s">
        <v>385</v>
      </c>
      <c r="D502" s="26" t="str">
        <f t="array" ref="D5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24AM107</v>
      </c>
      <c r="E502" s="32" t="str">
        <f t="array" ref="E5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SWETHA P</v>
      </c>
      <c r="F502" s="26" t="str">
        <f t="array" ref="F5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2" s="26" t="str">
        <f t="array" ref="G5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02" s="26" t="str">
        <f t="array" ref="H502">IF(
MOD(ROW()-2,6)=0,
INDEX('Form Responses'!I:I,INT((ROW()-2)/6)+2),
"-- NA --"
)</f>
        <v>-- NA --</v>
      </c>
      <c r="I502" s="32" t="str">
        <f t="array" ref="I502">IF(
MOD(ROW()-2,6)=0,
INDEX('Form Responses'!J:J,INT((ROW()-2)/6)+2),
"-- NA --"
)</f>
        <v>-- NA --</v>
      </c>
      <c r="J502" s="3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26">
        <v>502.0</v>
      </c>
      <c r="B503" s="33"/>
      <c r="C503" s="26" t="s">
        <v>425</v>
      </c>
      <c r="D503" s="26" t="str">
        <f t="array" ref="D5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24EC154</v>
      </c>
      <c r="E503" s="32" t="str">
        <f t="array" ref="E5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SOWBARNIKA M</v>
      </c>
      <c r="F503" s="26" t="str">
        <f t="array" ref="F5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3" s="26" t="str">
        <f t="array" ref="G5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03" s="26" t="str">
        <f t="array" ref="H503">IF(
MOD(ROW()-2,6)=0,
INDEX('Form Responses'!I:I,INT((ROW()-2)/6)+2),
"-- NA --"
)</f>
        <v>-- NA --</v>
      </c>
      <c r="I503" s="32" t="str">
        <f t="array" ref="I503">IF(
MOD(ROW()-2,6)=0,
INDEX('Form Responses'!J:J,INT((ROW()-2)/6)+2),
"-- NA --"
)</f>
        <v>-- NA --</v>
      </c>
      <c r="J503" s="3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26">
        <v>503.0</v>
      </c>
      <c r="B504" s="33"/>
      <c r="C504" s="26" t="s">
        <v>464</v>
      </c>
      <c r="D504" s="26" t="str">
        <f t="array" ref="D5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24AD175</v>
      </c>
      <c r="E504" s="32" t="str">
        <f t="array" ref="E5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 S Rihasri </v>
      </c>
      <c r="F504" s="26" t="str">
        <f t="array" ref="F5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4" s="26" t="str">
        <f t="array" ref="G5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04" s="26" t="str">
        <f t="array" ref="H504">IF(
MOD(ROW()-2,6)=0,
INDEX('Form Responses'!I:I,INT((ROW()-2)/6)+2),
"-- NA --"
)</f>
        <v>-- NA --</v>
      </c>
      <c r="I504" s="32" t="str">
        <f t="array" ref="I504">IF(
MOD(ROW()-2,6)=0,
INDEX('Form Responses'!J:J,INT((ROW()-2)/6)+2),
"-- NA --"
)</f>
        <v>-- NA --</v>
      </c>
      <c r="J504" s="3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26">
        <v>504.0</v>
      </c>
      <c r="B505" s="6"/>
      <c r="C505" s="26" t="s">
        <v>500</v>
      </c>
      <c r="D505" s="26" t="str">
        <f t="array" ref="D5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24CS258</v>
      </c>
      <c r="E505" s="32" t="str">
        <f t="array" ref="E5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VALARMATHI R S</v>
      </c>
      <c r="F505" s="26" t="str">
        <f t="array" ref="F5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5" s="26" t="str">
        <f t="array" ref="G5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05" s="26" t="str">
        <f t="array" ref="H505">IF(
MOD(ROW()-2,6)=0,
INDEX('Form Responses'!I:I,INT((ROW()-2)/6)+2),
"-- NA --"
)</f>
        <v>-- NA --</v>
      </c>
      <c r="I505" s="32" t="str">
        <f t="array" ref="I505">IF(
MOD(ROW()-2,6)=0,
INDEX('Form Responses'!J:J,INT((ROW()-2)/6)+2),
"-- NA --"
)</f>
        <v>-- NA --</v>
      </c>
      <c r="J505" s="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26">
        <v>505.0</v>
      </c>
      <c r="B506" s="29" t="str">
        <f t="array" ref="B506">INDEX('Form Responses'!$C:$C,INT((ROW()-2)/6)+2)</f>
        <v>SkyForge</v>
      </c>
      <c r="C506" s="31" t="s">
        <v>140</v>
      </c>
      <c r="D506" s="26" t="str">
        <f t="array" ref="D5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24AD158</v>
      </c>
      <c r="E506" s="32" t="str">
        <f t="array" ref="E5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 K</v>
      </c>
      <c r="F506" s="26" t="str">
        <f t="array" ref="F5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506" s="26" t="str">
        <f t="array" ref="G5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06" s="26">
        <f t="array" ref="H506">IF(
MOD(ROW()-2,6)=0,
INDEX('Form Responses'!I:I,INT((ROW()-2)/6)+2),
"-- NA --"
)</f>
        <v>6380237377</v>
      </c>
      <c r="I506" s="32" t="str">
        <f t="array" ref="I506">IF(
MOD(ROW()-2,6)=0,
INDEX('Form Responses'!J:J,INT((ROW()-2)/6)+2),
"-- NA --"
)</f>
        <v>praveen.k2024aids@sece.ac.in</v>
      </c>
      <c r="J506" s="29" t="str">
        <f t="array" ref="J506">INDEX('Form Responses'!$D:$D,INT((ROW()-2)/6)+2)</f>
        <v>Software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26">
        <v>506.0</v>
      </c>
      <c r="B507" s="33"/>
      <c r="C507" s="26" t="s">
        <v>282</v>
      </c>
      <c r="D507" s="26" t="str">
        <f t="array" ref="D5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25AD174</v>
      </c>
      <c r="E507" s="32" t="str">
        <f t="array" ref="E5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SAADHANA S</v>
      </c>
      <c r="F507" s="26" t="str">
        <f t="array" ref="F5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07" s="26" t="str">
        <f t="array" ref="G5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07" s="26" t="str">
        <f t="array" ref="H507">IF(
MOD(ROW()-2,6)=0,
INDEX('Form Responses'!I:I,INT((ROW()-2)/6)+2),
"-- NA --"
)</f>
        <v>-- NA --</v>
      </c>
      <c r="I507" s="32" t="str">
        <f t="array" ref="I507">IF(
MOD(ROW()-2,6)=0,
INDEX('Form Responses'!J:J,INT((ROW()-2)/6)+2),
"-- NA --"
)</f>
        <v>-- NA --</v>
      </c>
      <c r="J507" s="3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26">
        <v>507.0</v>
      </c>
      <c r="B508" s="33"/>
      <c r="C508" s="26" t="s">
        <v>385</v>
      </c>
      <c r="D508" s="26" t="str">
        <f t="array" ref="D5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25AD152</v>
      </c>
      <c r="E508" s="32" t="str">
        <f t="array" ref="E5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PRANIKA R</v>
      </c>
      <c r="F508" s="26" t="str">
        <f t="array" ref="F5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08" s="26" t="str">
        <f t="array" ref="G5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08" s="26" t="str">
        <f t="array" ref="H508">IF(
MOD(ROW()-2,6)=0,
INDEX('Form Responses'!I:I,INT((ROW()-2)/6)+2),
"-- NA --"
)</f>
        <v>-- NA --</v>
      </c>
      <c r="I508" s="32" t="str">
        <f t="array" ref="I508">IF(
MOD(ROW()-2,6)=0,
INDEX('Form Responses'!J:J,INT((ROW()-2)/6)+2),
"-- NA --"
)</f>
        <v>-- NA --</v>
      </c>
      <c r="J508" s="3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26">
        <v>508.0</v>
      </c>
      <c r="B509" s="33"/>
      <c r="C509" s="26" t="s">
        <v>425</v>
      </c>
      <c r="D509" s="26" t="str">
        <f t="array" ref="D5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25AD161</v>
      </c>
      <c r="E509" s="32" t="str">
        <f t="array" ref="E5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RAHUL B</v>
      </c>
      <c r="F509" s="26" t="str">
        <f t="array" ref="F5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09" s="26" t="str">
        <f t="array" ref="G5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09" s="26" t="str">
        <f t="array" ref="H509">IF(
MOD(ROW()-2,6)=0,
INDEX('Form Responses'!I:I,INT((ROW()-2)/6)+2),
"-- NA --"
)</f>
        <v>-- NA --</v>
      </c>
      <c r="I509" s="32" t="str">
        <f t="array" ref="I509">IF(
MOD(ROW()-2,6)=0,
INDEX('Form Responses'!J:J,INT((ROW()-2)/6)+2),
"-- NA --"
)</f>
        <v>-- NA --</v>
      </c>
      <c r="J509" s="3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26">
        <v>509.0</v>
      </c>
      <c r="B510" s="33"/>
      <c r="C510" s="26" t="s">
        <v>464</v>
      </c>
      <c r="D510" s="26" t="str">
        <f t="array" ref="D5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23IT018</v>
      </c>
      <c r="E510" s="32" t="str">
        <f t="array" ref="E5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HARSHAVARDHAN GK</v>
      </c>
      <c r="F510" s="26" t="str">
        <f t="array" ref="F5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510" s="26" t="str">
        <f t="array" ref="G5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10" s="26" t="str">
        <f t="array" ref="H510">IF(
MOD(ROW()-2,6)=0,
INDEX('Form Responses'!I:I,INT((ROW()-2)/6)+2),
"-- NA --"
)</f>
        <v>-- NA --</v>
      </c>
      <c r="I510" s="32" t="str">
        <f t="array" ref="I510">IF(
MOD(ROW()-2,6)=0,
INDEX('Form Responses'!J:J,INT((ROW()-2)/6)+2),
"-- NA --"
)</f>
        <v>-- NA --</v>
      </c>
      <c r="J510" s="3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26">
        <v>510.0</v>
      </c>
      <c r="B511" s="6"/>
      <c r="C511" s="26" t="s">
        <v>500</v>
      </c>
      <c r="D511" s="26" t="str">
        <f t="array" ref="D5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23IT017</v>
      </c>
      <c r="E511" s="32" t="str">
        <f t="array" ref="E5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HARITHA M</v>
      </c>
      <c r="F511" s="26" t="str">
        <f t="array" ref="F5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511" s="26" t="str">
        <f t="array" ref="G5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11" s="26" t="str">
        <f t="array" ref="H511">IF(
MOD(ROW()-2,6)=0,
INDEX('Form Responses'!I:I,INT((ROW()-2)/6)+2),
"-- NA --"
)</f>
        <v>-- NA --</v>
      </c>
      <c r="I511" s="32" t="str">
        <f t="array" ref="I511">IF(
MOD(ROW()-2,6)=0,
INDEX('Form Responses'!J:J,INT((ROW()-2)/6)+2),
"-- NA --"
)</f>
        <v>-- NA --</v>
      </c>
      <c r="J511" s="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26">
        <v>511.0</v>
      </c>
      <c r="B512" s="29" t="str">
        <f t="array" ref="B512">INDEX('Form Responses'!$C:$C,INT((ROW()-2)/6)+2)</f>
        <v>TEAM VOLT</v>
      </c>
      <c r="C512" s="31" t="s">
        <v>140</v>
      </c>
      <c r="D512" s="26" t="str">
        <f t="array" ref="D5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25EC099</v>
      </c>
      <c r="E512" s="32" t="str">
        <f t="array" ref="E5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HARRIZ B </v>
      </c>
      <c r="F512" s="26" t="str">
        <f t="array" ref="F5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2" s="26" t="str">
        <f t="array" ref="G5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12" s="26">
        <f t="array" ref="H512">IF(
MOD(ROW()-2,6)=0,
INDEX('Form Responses'!I:I,INT((ROW()-2)/6)+2),
"-- NA --"
)</f>
        <v>9943065723</v>
      </c>
      <c r="I512" s="32" t="str">
        <f t="array" ref="I512">IF(
MOD(ROW()-2,6)=0,
INDEX('Form Responses'!J:J,INT((ROW()-2)/6)+2),
"-- NA --"
)</f>
        <v>mohamedharriz.b2025ece@sece.ac.in</v>
      </c>
      <c r="J512" s="29" t="str">
        <f t="array" ref="J512">INDEX('Form Responses'!$D:$D,INT((ROW()-2)/6)+2)</f>
        <v>Hardware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26">
        <v>512.0</v>
      </c>
      <c r="B513" s="33"/>
      <c r="C513" s="26" t="s">
        <v>282</v>
      </c>
      <c r="D513" s="26" t="str">
        <f t="array" ref="D5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Lateral-14</v>
      </c>
      <c r="E513" s="32" t="str">
        <f t="array" ref="E5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SHRIRAM G</v>
      </c>
      <c r="F513" s="26" t="str">
        <f t="array" ref="F5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3" s="26" t="str">
        <f t="array" ref="G5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13" s="26" t="str">
        <f t="array" ref="H513">IF(
MOD(ROW()-2,6)=0,
INDEX('Form Responses'!I:I,INT((ROW()-2)/6)+2),
"-- NA --"
)</f>
        <v>-- NA --</v>
      </c>
      <c r="I513" s="32" t="str">
        <f t="array" ref="I513">IF(
MOD(ROW()-2,6)=0,
INDEX('Form Responses'!J:J,INT((ROW()-2)/6)+2),
"-- NA --"
)</f>
        <v>-- NA --</v>
      </c>
      <c r="J513" s="3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26">
        <v>513.0</v>
      </c>
      <c r="B514" s="33"/>
      <c r="C514" s="26" t="s">
        <v>385</v>
      </c>
      <c r="D514" s="26" t="str">
        <f t="array" ref="D5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25EC100</v>
      </c>
      <c r="E514" s="32" t="str">
        <f t="array" ref="E5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MUBASHIR M</v>
      </c>
      <c r="F514" s="26" t="str">
        <f t="array" ref="F5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4" s="26" t="str">
        <f t="array" ref="G5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14" s="26" t="str">
        <f t="array" ref="H514">IF(
MOD(ROW()-2,6)=0,
INDEX('Form Responses'!I:I,INT((ROW()-2)/6)+2),
"-- NA --"
)</f>
        <v>-- NA --</v>
      </c>
      <c r="I514" s="32" t="str">
        <f t="array" ref="I514">IF(
MOD(ROW()-2,6)=0,
INDEX('Form Responses'!J:J,INT((ROW()-2)/6)+2),
"-- NA --"
)</f>
        <v>-- NA --</v>
      </c>
      <c r="J514" s="3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26">
        <v>514.0</v>
      </c>
      <c r="B515" s="33"/>
      <c r="C515" s="26" t="s">
        <v>425</v>
      </c>
      <c r="D515" s="26" t="str">
        <f t="array" ref="D5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25EC114</v>
      </c>
      <c r="E515" s="32" t="str">
        <f t="array" ref="E5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NAREN J M</v>
      </c>
      <c r="F515" s="26" t="str">
        <f t="array" ref="F5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5" s="26" t="str">
        <f t="array" ref="G5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15" s="26" t="str">
        <f t="array" ref="H515">IF(
MOD(ROW()-2,6)=0,
INDEX('Form Responses'!I:I,INT((ROW()-2)/6)+2),
"-- NA --"
)</f>
        <v>-- NA --</v>
      </c>
      <c r="I515" s="32" t="str">
        <f t="array" ref="I515">IF(
MOD(ROW()-2,6)=0,
INDEX('Form Responses'!J:J,INT((ROW()-2)/6)+2),
"-- NA --"
)</f>
        <v>-- NA --</v>
      </c>
      <c r="J515" s="3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26">
        <v>515.0</v>
      </c>
      <c r="B516" s="33"/>
      <c r="C516" s="26" t="s">
        <v>464</v>
      </c>
      <c r="D516" s="26" t="str">
        <f t="array" ref="D5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25AM035</v>
      </c>
      <c r="E516" s="32" t="str">
        <f t="array" ref="E5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GOWSHALYA P</v>
      </c>
      <c r="F516" s="26" t="str">
        <f t="array" ref="F5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6" s="26" t="str">
        <f t="array" ref="G5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16" s="26" t="str">
        <f t="array" ref="H516">IF(
MOD(ROW()-2,6)=0,
INDEX('Form Responses'!I:I,INT((ROW()-2)/6)+2),
"-- NA --"
)</f>
        <v>-- NA --</v>
      </c>
      <c r="I516" s="32" t="str">
        <f t="array" ref="I516">IF(
MOD(ROW()-2,6)=0,
INDEX('Form Responses'!J:J,INT((ROW()-2)/6)+2),
"-- NA --"
)</f>
        <v>-- NA --</v>
      </c>
      <c r="J516" s="3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26">
        <v>516.0</v>
      </c>
      <c r="B517" s="6"/>
      <c r="C517" s="26" t="s">
        <v>500</v>
      </c>
      <c r="D517" s="26" t="str">
        <f t="array" ref="D5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25AM009</v>
      </c>
      <c r="E517" s="32" t="str">
        <f t="array" ref="E5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ASMA S</v>
      </c>
      <c r="F517" s="26" t="str">
        <f t="array" ref="F5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7" s="26" t="str">
        <f t="array" ref="G5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17" s="26" t="str">
        <f t="array" ref="H517">IF(
MOD(ROW()-2,6)=0,
INDEX('Form Responses'!I:I,INT((ROW()-2)/6)+2),
"-- NA --"
)</f>
        <v>-- NA --</v>
      </c>
      <c r="I517" s="32" t="str">
        <f t="array" ref="I517">IF(
MOD(ROW()-2,6)=0,
INDEX('Form Responses'!J:J,INT((ROW()-2)/6)+2),
"-- NA --"
)</f>
        <v>-- NA --</v>
      </c>
      <c r="J517" s="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26">
        <v>517.0</v>
      </c>
      <c r="B518" s="29" t="str">
        <f t="array" ref="B518">INDEX('Form Responses'!$C:$C,INT((ROW()-2)/6)+2)</f>
        <v>BINARY BREAKERS</v>
      </c>
      <c r="C518" s="31" t="s">
        <v>140</v>
      </c>
      <c r="D518" s="26" t="str">
        <f t="array" ref="D5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25AD105</v>
      </c>
      <c r="E518" s="32" t="str">
        <f t="array" ref="E5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KIRUSHIGA N S</v>
      </c>
      <c r="F518" s="26" t="str">
        <f t="array" ref="F5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8" s="26" t="str">
        <f t="array" ref="G5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18" s="26">
        <f t="array" ref="H518">IF(
MOD(ROW()-2,6)=0,
INDEX('Form Responses'!I:I,INT((ROW()-2)/6)+2),
"-- NA --"
)</f>
        <v>8015315274</v>
      </c>
      <c r="I518" s="32" t="str">
        <f t="array" ref="I518">IF(
MOD(ROW()-2,6)=0,
INDEX('Form Responses'!J:J,INT((ROW()-2)/6)+2),
"-- NA --"
)</f>
        <v>kirushiga.ns2025aids@sece.ac.in</v>
      </c>
      <c r="J518" s="29" t="str">
        <f t="array" ref="J518">INDEX('Form Responses'!$D:$D,INT((ROW()-2)/6)+2)</f>
        <v>Software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26">
        <v>518.0</v>
      </c>
      <c r="B519" s="33"/>
      <c r="C519" s="26" t="s">
        <v>282</v>
      </c>
      <c r="D519" s="26" t="str">
        <f t="array" ref="D5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25AD007</v>
      </c>
      <c r="E519" s="32" t="str">
        <f t="array" ref="E5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AMIRTHA VARSHINI R</v>
      </c>
      <c r="F519" s="26" t="str">
        <f t="array" ref="F5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19" s="26" t="str">
        <f t="array" ref="G5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19" s="26" t="str">
        <f t="array" ref="H519">IF(
MOD(ROW()-2,6)=0,
INDEX('Form Responses'!I:I,INT((ROW()-2)/6)+2),
"-- NA --"
)</f>
        <v>-- NA --</v>
      </c>
      <c r="I519" s="32" t="str">
        <f t="array" ref="I519">IF(
MOD(ROW()-2,6)=0,
INDEX('Form Responses'!J:J,INT((ROW()-2)/6)+2),
"-- NA --"
)</f>
        <v>-- NA --</v>
      </c>
      <c r="J519" s="3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26">
        <v>519.0</v>
      </c>
      <c r="B520" s="33"/>
      <c r="C520" s="26" t="s">
        <v>385</v>
      </c>
      <c r="D520" s="26" t="str">
        <f t="array" ref="D5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25AD117</v>
      </c>
      <c r="E520" s="32" t="str">
        <f t="array" ref="E5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MALA T</v>
      </c>
      <c r="F520" s="26" t="str">
        <f t="array" ref="F5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0" s="26" t="str">
        <f t="array" ref="G5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0" s="26" t="str">
        <f t="array" ref="H520">IF(
MOD(ROW()-2,6)=0,
INDEX('Form Responses'!I:I,INT((ROW()-2)/6)+2),
"-- NA --"
)</f>
        <v>-- NA --</v>
      </c>
      <c r="I520" s="32" t="str">
        <f t="array" ref="I520">IF(
MOD(ROW()-2,6)=0,
INDEX('Form Responses'!J:J,INT((ROW()-2)/6)+2),
"-- NA --"
)</f>
        <v>-- NA --</v>
      </c>
      <c r="J520" s="3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26">
        <v>520.0</v>
      </c>
      <c r="B521" s="33"/>
      <c r="C521" s="26" t="s">
        <v>425</v>
      </c>
      <c r="D521" s="26" t="str">
        <f t="array" ref="D5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25AD111</v>
      </c>
      <c r="E521" s="32" t="str">
        <f t="array" ref="E5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LOGALAKSHMI M</v>
      </c>
      <c r="F521" s="26" t="str">
        <f t="array" ref="F5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1" s="26" t="str">
        <f t="array" ref="G5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1" s="26" t="str">
        <f t="array" ref="H521">IF(
MOD(ROW()-2,6)=0,
INDEX('Form Responses'!I:I,INT((ROW()-2)/6)+2),
"-- NA --"
)</f>
        <v>-- NA --</v>
      </c>
      <c r="I521" s="32" t="str">
        <f t="array" ref="I521">IF(
MOD(ROW()-2,6)=0,
INDEX('Form Responses'!J:J,INT((ROW()-2)/6)+2),
"-- NA --"
)</f>
        <v>-- NA --</v>
      </c>
      <c r="J521" s="3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26">
        <v>521.0</v>
      </c>
      <c r="B522" s="33"/>
      <c r="C522" s="26" t="s">
        <v>464</v>
      </c>
      <c r="D522" s="26" t="str">
        <f t="array" ref="D5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25SY062</v>
      </c>
      <c r="E522" s="32" t="str">
        <f t="array" ref="E5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M</v>
      </c>
      <c r="F522" s="26" t="str">
        <f t="array" ref="F5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2" s="26" t="str">
        <f t="array" ref="G5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22" s="26" t="str">
        <f t="array" ref="H522">IF(
MOD(ROW()-2,6)=0,
INDEX('Form Responses'!I:I,INT((ROW()-2)/6)+2),
"-- NA --"
)</f>
        <v>-- NA --</v>
      </c>
      <c r="I522" s="32" t="str">
        <f t="array" ref="I522">IF(
MOD(ROW()-2,6)=0,
INDEX('Form Responses'!J:J,INT((ROW()-2)/6)+2),
"-- NA --"
)</f>
        <v>-- NA --</v>
      </c>
      <c r="J522" s="3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26">
        <v>522.0</v>
      </c>
      <c r="B523" s="6"/>
      <c r="C523" s="26" t="s">
        <v>500</v>
      </c>
      <c r="D523" s="26" t="str">
        <f t="array" ref="D5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25SY048</v>
      </c>
      <c r="E523" s="32" t="str">
        <f t="array" ref="E5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SIRIVARSHAN K</v>
      </c>
      <c r="F523" s="26" t="str">
        <f t="array" ref="F5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3" s="26" t="str">
        <f t="array" ref="G5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23" s="26" t="str">
        <f t="array" ref="H523">IF(
MOD(ROW()-2,6)=0,
INDEX('Form Responses'!I:I,INT((ROW()-2)/6)+2),
"-- NA --"
)</f>
        <v>-- NA --</v>
      </c>
      <c r="I523" s="32" t="str">
        <f t="array" ref="I523">IF(
MOD(ROW()-2,6)=0,
INDEX('Form Responses'!J:J,INT((ROW()-2)/6)+2),
"-- NA --"
)</f>
        <v>-- NA --</v>
      </c>
      <c r="J523" s="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26">
        <v>523.0</v>
      </c>
      <c r="B524" s="29" t="str">
        <f t="array" ref="B524">INDEX('Form Responses'!$C:$C,INT((ROW()-2)/6)+2)</f>
        <v>GRYFFINDOR </v>
      </c>
      <c r="C524" s="31" t="s">
        <v>140</v>
      </c>
      <c r="D524" s="26" t="str">
        <f t="array" ref="D5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25AD052</v>
      </c>
      <c r="E524" s="32" t="str">
        <f t="array" ref="E5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GIRISH K S </v>
      </c>
      <c r="F524" s="26" t="str">
        <f t="array" ref="F5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4" s="26" t="str">
        <f t="array" ref="G5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4" s="26">
        <f t="array" ref="H524">IF(
MOD(ROW()-2,6)=0,
INDEX('Form Responses'!I:I,INT((ROW()-2)/6)+2),
"-- NA --"
)</f>
        <v>8248734365</v>
      </c>
      <c r="I524" s="32" t="str">
        <f t="array" ref="I524">IF(
MOD(ROW()-2,6)=0,
INDEX('Form Responses'!J:J,INT((ROW()-2)/6)+2),
"-- NA --"
)</f>
        <v>girish.ks2025aids@sece.ac.in</v>
      </c>
      <c r="J524" s="29" t="str">
        <f t="array" ref="J524">INDEX('Form Responses'!$D:$D,INT((ROW()-2)/6)+2)</f>
        <v>Software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26">
        <v>524.0</v>
      </c>
      <c r="B525" s="33"/>
      <c r="C525" s="26" t="s">
        <v>282</v>
      </c>
      <c r="D525" s="26" t="str">
        <f t="array" ref="D5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25AD055 </v>
      </c>
      <c r="E525" s="32" t="str">
        <f t="array" ref="E5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 K </v>
      </c>
      <c r="F525" s="26" t="str">
        <f t="array" ref="F5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5" s="26" t="str">
        <f t="array" ref="G5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5" s="26" t="str">
        <f t="array" ref="H525">IF(
MOD(ROW()-2,6)=0,
INDEX('Form Responses'!I:I,INT((ROW()-2)/6)+2),
"-- NA --"
)</f>
        <v>-- NA --</v>
      </c>
      <c r="I525" s="32" t="str">
        <f t="array" ref="I525">IF(
MOD(ROW()-2,6)=0,
INDEX('Form Responses'!J:J,INT((ROW()-2)/6)+2),
"-- NA --"
)</f>
        <v>-- NA --</v>
      </c>
      <c r="J525" s="3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26">
        <v>525.0</v>
      </c>
      <c r="B526" s="33"/>
      <c r="C526" s="26" t="s">
        <v>385</v>
      </c>
      <c r="D526" s="26" t="str">
        <f t="array" ref="D5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25AD044</v>
      </c>
      <c r="E526" s="32" t="str">
        <f t="array" ref="E5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DINESHBALAN P</v>
      </c>
      <c r="F526" s="26" t="str">
        <f t="array" ref="F5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6" s="26" t="str">
        <f t="array" ref="G5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6" s="26" t="str">
        <f t="array" ref="H526">IF(
MOD(ROW()-2,6)=0,
INDEX('Form Responses'!I:I,INT((ROW()-2)/6)+2),
"-- NA --"
)</f>
        <v>-- NA --</v>
      </c>
      <c r="I526" s="32" t="str">
        <f t="array" ref="I526">IF(
MOD(ROW()-2,6)=0,
INDEX('Form Responses'!J:J,INT((ROW()-2)/6)+2),
"-- NA --"
)</f>
        <v>-- NA --</v>
      </c>
      <c r="J526" s="3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26">
        <v>526.0</v>
      </c>
      <c r="B527" s="33"/>
      <c r="C527" s="26" t="s">
        <v>425</v>
      </c>
      <c r="D527" s="26" t="str">
        <f t="array" ref="D5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25AD025</v>
      </c>
      <c r="E527" s="32" t="str">
        <f t="array" ref="E5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BHARATHI SIVASAKTHI D P</v>
      </c>
      <c r="F527" s="26" t="str">
        <f t="array" ref="F5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7" s="26" t="str">
        <f t="array" ref="G5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7" s="26" t="str">
        <f t="array" ref="H527">IF(
MOD(ROW()-2,6)=0,
INDEX('Form Responses'!I:I,INT((ROW()-2)/6)+2),
"-- NA --"
)</f>
        <v>-- NA --</v>
      </c>
      <c r="I527" s="32" t="str">
        <f t="array" ref="I527">IF(
MOD(ROW()-2,6)=0,
INDEX('Form Responses'!J:J,INT((ROW()-2)/6)+2),
"-- NA --"
)</f>
        <v>-- NA --</v>
      </c>
      <c r="J527" s="3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26">
        <v>527.0</v>
      </c>
      <c r="B528" s="33"/>
      <c r="C528" s="26" t="s">
        <v>464</v>
      </c>
      <c r="D528" s="26" t="str">
        <f t="array" ref="D5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25AD039</v>
      </c>
      <c r="E528" s="32" t="str">
        <f t="array" ref="E5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K</v>
      </c>
      <c r="F528" s="26" t="str">
        <f t="array" ref="F5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8" s="26" t="str">
        <f t="array" ref="G5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8" s="26" t="str">
        <f t="array" ref="H528">IF(
MOD(ROW()-2,6)=0,
INDEX('Form Responses'!I:I,INT((ROW()-2)/6)+2),
"-- NA --"
)</f>
        <v>-- NA --</v>
      </c>
      <c r="I528" s="32" t="str">
        <f t="array" ref="I528">IF(
MOD(ROW()-2,6)=0,
INDEX('Form Responses'!J:J,INT((ROW()-2)/6)+2),
"-- NA --"
)</f>
        <v>-- NA --</v>
      </c>
      <c r="J528" s="3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26">
        <v>528.0</v>
      </c>
      <c r="B529" s="6"/>
      <c r="C529" s="26" t="s">
        <v>500</v>
      </c>
      <c r="D529" s="26" t="str">
        <f t="array" ref="D5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25AD062</v>
      </c>
      <c r="E529" s="32" t="str">
        <f t="array" ref="E5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B</v>
      </c>
      <c r="F529" s="26" t="str">
        <f t="array" ref="F5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29" s="26" t="str">
        <f t="array" ref="G5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29" s="26" t="str">
        <f t="array" ref="H529">IF(
MOD(ROW()-2,6)=0,
INDEX('Form Responses'!I:I,INT((ROW()-2)/6)+2),
"-- NA --"
)</f>
        <v>-- NA --</v>
      </c>
      <c r="I529" s="32" t="str">
        <f t="array" ref="I529">IF(
MOD(ROW()-2,6)=0,
INDEX('Form Responses'!J:J,INT((ROW()-2)/6)+2),
"-- NA --"
)</f>
        <v>-- NA --</v>
      </c>
      <c r="J529" s="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26">
        <v>529.0</v>
      </c>
      <c r="B530" s="29" t="str">
        <f t="array" ref="B530">INDEX('Form Responses'!$C:$C,INT((ROW()-2)/6)+2)</f>
        <v>Dream Hackers</v>
      </c>
      <c r="C530" s="31" t="s">
        <v>140</v>
      </c>
      <c r="D530" s="26" t="str">
        <f t="array" ref="D5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25AD032</v>
      </c>
      <c r="E530" s="32" t="str">
        <f t="array" ref="E5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B</v>
      </c>
      <c r="F530" s="26" t="str">
        <f t="array" ref="F5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0" s="26" t="str">
        <f t="array" ref="G5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30" s="26">
        <f t="array" ref="H530">IF(
MOD(ROW()-2,6)=0,
INDEX('Form Responses'!I:I,INT((ROW()-2)/6)+2),
"-- NA --"
)</f>
        <v>9025815940</v>
      </c>
      <c r="I530" s="32" t="str">
        <f t="array" ref="I530">IF(
MOD(ROW()-2,6)=0,
INDEX('Form Responses'!J:J,INT((ROW()-2)/6)+2),
"-- NA --"
)</f>
        <v>deepika.b2025aids@sece.ac.in</v>
      </c>
      <c r="J530" s="29" t="str">
        <f t="array" ref="J530">INDEX('Form Responses'!$D:$D,INT((ROW()-2)/6)+2)</f>
        <v>Software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26">
        <v>530.0</v>
      </c>
      <c r="B531" s="33"/>
      <c r="C531" s="26" t="s">
        <v>282</v>
      </c>
      <c r="D531" s="26" t="str">
        <f t="array" ref="D5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25AD036</v>
      </c>
      <c r="E531" s="32" t="str">
        <f t="array" ref="E5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DHARANISRI M</v>
      </c>
      <c r="F531" s="26" t="str">
        <f t="array" ref="F5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1" s="26" t="str">
        <f t="array" ref="G5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31" s="26" t="str">
        <f t="array" ref="H531">IF(
MOD(ROW()-2,6)=0,
INDEX('Form Responses'!I:I,INT((ROW()-2)/6)+2),
"-- NA --"
)</f>
        <v>-- NA --</v>
      </c>
      <c r="I531" s="32" t="str">
        <f t="array" ref="I531">IF(
MOD(ROW()-2,6)=0,
INDEX('Form Responses'!J:J,INT((ROW()-2)/6)+2),
"-- NA --"
)</f>
        <v>-- NA --</v>
      </c>
      <c r="J531" s="3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26">
        <v>531.0</v>
      </c>
      <c r="B532" s="33"/>
      <c r="C532" s="26" t="s">
        <v>385</v>
      </c>
      <c r="D532" s="26" t="str">
        <f t="array" ref="D5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25AD023</v>
      </c>
      <c r="E532" s="32" t="str">
        <f t="array" ref="E5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BALAJI K</v>
      </c>
      <c r="F532" s="26" t="str">
        <f t="array" ref="F5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2" s="26" t="str">
        <f t="array" ref="G5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32" s="26" t="str">
        <f t="array" ref="H532">IF(
MOD(ROW()-2,6)=0,
INDEX('Form Responses'!I:I,INT((ROW()-2)/6)+2),
"-- NA --"
)</f>
        <v>-- NA --</v>
      </c>
      <c r="I532" s="32" t="str">
        <f t="array" ref="I532">IF(
MOD(ROW()-2,6)=0,
INDEX('Form Responses'!J:J,INT((ROW()-2)/6)+2),
"-- NA --"
)</f>
        <v>-- NA --</v>
      </c>
      <c r="J532" s="3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26">
        <v>532.0</v>
      </c>
      <c r="B533" s="33"/>
      <c r="C533" s="26" t="s">
        <v>425</v>
      </c>
      <c r="D533" s="26" t="str">
        <f t="array" ref="D5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25AD064</v>
      </c>
      <c r="E533" s="32" t="str">
        <f t="array" ref="E5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HARIPRIYA R</v>
      </c>
      <c r="F533" s="26" t="str">
        <f t="array" ref="F5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3" s="26" t="str">
        <f t="array" ref="G5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33" s="26" t="str">
        <f t="array" ref="H533">IF(
MOD(ROW()-2,6)=0,
INDEX('Form Responses'!I:I,INT((ROW()-2)/6)+2),
"-- NA --"
)</f>
        <v>-- NA --</v>
      </c>
      <c r="I533" s="32" t="str">
        <f t="array" ref="I533">IF(
MOD(ROW()-2,6)=0,
INDEX('Form Responses'!J:J,INT((ROW()-2)/6)+2),
"-- NA --"
)</f>
        <v>-- NA --</v>
      </c>
      <c r="J533" s="3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26">
        <v>533.0</v>
      </c>
      <c r="B534" s="33"/>
      <c r="C534" s="26" t="s">
        <v>464</v>
      </c>
      <c r="D534" s="26" t="str">
        <f t="array" ref="D5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25CS215</v>
      </c>
      <c r="E534" s="32" t="str">
        <f t="array" ref="E5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SOWMIYA V</v>
      </c>
      <c r="F534" s="26" t="str">
        <f t="array" ref="F5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4" s="26" t="str">
        <f t="array" ref="G5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34" s="26" t="str">
        <f t="array" ref="H534">IF(
MOD(ROW()-2,6)=0,
INDEX('Form Responses'!I:I,INT((ROW()-2)/6)+2),
"-- NA --"
)</f>
        <v>-- NA --</v>
      </c>
      <c r="I534" s="32" t="str">
        <f t="array" ref="I534">IF(
MOD(ROW()-2,6)=0,
INDEX('Form Responses'!J:J,INT((ROW()-2)/6)+2),
"-- NA --"
)</f>
        <v>-- NA --</v>
      </c>
      <c r="J534" s="3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26">
        <v>534.0</v>
      </c>
      <c r="B535" s="6"/>
      <c r="C535" s="26" t="s">
        <v>500</v>
      </c>
      <c r="D535" s="26" t="str">
        <f t="array" ref="D5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25CS063</v>
      </c>
      <c r="E535" s="32" t="str">
        <f t="array" ref="E5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HARISUDHAN S</v>
      </c>
      <c r="F535" s="26" t="str">
        <f t="array" ref="F5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5" s="26" t="str">
        <f t="array" ref="G5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35" s="26" t="str">
        <f t="array" ref="H535">IF(
MOD(ROW()-2,6)=0,
INDEX('Form Responses'!I:I,INT((ROW()-2)/6)+2),
"-- NA --"
)</f>
        <v>-- NA --</v>
      </c>
      <c r="I535" s="32" t="str">
        <f t="array" ref="I535">IF(
MOD(ROW()-2,6)=0,
INDEX('Form Responses'!J:J,INT((ROW()-2)/6)+2),
"-- NA --"
)</f>
        <v>-- NA --</v>
      </c>
      <c r="J535" s="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26">
        <v>535.0</v>
      </c>
      <c r="B536" s="29" t="str">
        <f t="array" ref="B536">INDEX('Form Responses'!$C:$C,INT((ROW()-2)/6)+2)</f>
        <v>REBOOT REBELS</v>
      </c>
      <c r="C536" s="31" t="s">
        <v>140</v>
      </c>
      <c r="D536" s="26" t="str">
        <f t="array" ref="D5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25CS200</v>
      </c>
      <c r="E536" s="32" t="str">
        <f t="array" ref="E5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SANTHINI S</v>
      </c>
      <c r="F536" s="26" t="str">
        <f t="array" ref="F5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6" s="26" t="str">
        <f t="array" ref="G5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36" s="26">
        <f t="array" ref="H536">IF(
MOD(ROW()-2,6)=0,
INDEX('Form Responses'!I:I,INT((ROW()-2)/6)+2),
"-- NA --"
)</f>
        <v>8807163766</v>
      </c>
      <c r="I536" s="32" t="str">
        <f t="array" ref="I536">IF(
MOD(ROW()-2,6)=0,
INDEX('Form Responses'!J:J,INT((ROW()-2)/6)+2),
"-- NA --"
)</f>
        <v>santhini.s2025cse@sece.ac.in</v>
      </c>
      <c r="J536" s="29" t="str">
        <f t="array" ref="J536">INDEX('Form Responses'!$D:$D,INT((ROW()-2)/6)+2)</f>
        <v>Hardware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26">
        <v>536.0</v>
      </c>
      <c r="B537" s="33"/>
      <c r="C537" s="26" t="s">
        <v>282</v>
      </c>
      <c r="D537" s="26" t="str">
        <f t="array" ref="D5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25EE052</v>
      </c>
      <c r="E537" s="32" t="str">
        <f t="array" ref="E5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SRIDEVAN E</v>
      </c>
      <c r="F537" s="26" t="str">
        <f t="array" ref="F5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7" s="26" t="str">
        <f t="array" ref="G5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537" s="26" t="str">
        <f t="array" ref="H537">IF(
MOD(ROW()-2,6)=0,
INDEX('Form Responses'!I:I,INT((ROW()-2)/6)+2),
"-- NA --"
)</f>
        <v>-- NA --</v>
      </c>
      <c r="I537" s="32" t="str">
        <f t="array" ref="I537">IF(
MOD(ROW()-2,6)=0,
INDEX('Form Responses'!J:J,INT((ROW()-2)/6)+2),
"-- NA --"
)</f>
        <v>-- NA --</v>
      </c>
      <c r="J537" s="3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26">
        <v>537.0</v>
      </c>
      <c r="B538" s="33"/>
      <c r="C538" s="26" t="s">
        <v>385</v>
      </c>
      <c r="D538" s="26" t="str">
        <f t="array" ref="D5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25EE045</v>
      </c>
      <c r="E538" s="32" t="str">
        <f t="array" ref="E5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SANMATHI V</v>
      </c>
      <c r="F538" s="26" t="str">
        <f t="array" ref="F5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8" s="26" t="str">
        <f t="array" ref="G5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538" s="26" t="str">
        <f t="array" ref="H538">IF(
MOD(ROW()-2,6)=0,
INDEX('Form Responses'!I:I,INT((ROW()-2)/6)+2),
"-- NA --"
)</f>
        <v>-- NA --</v>
      </c>
      <c r="I538" s="32" t="str">
        <f t="array" ref="I538">IF(
MOD(ROW()-2,6)=0,
INDEX('Form Responses'!J:J,INT((ROW()-2)/6)+2),
"-- NA --"
)</f>
        <v>-- NA --</v>
      </c>
      <c r="J538" s="3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26">
        <v>538.0</v>
      </c>
      <c r="B539" s="33"/>
      <c r="C539" s="26" t="s">
        <v>425</v>
      </c>
      <c r="D539" s="26" t="str">
        <f t="array" ref="D5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25EC067</v>
      </c>
      <c r="E539" s="32" t="str">
        <f t="array" ref="E5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 M B</v>
      </c>
      <c r="F539" s="26" t="str">
        <f t="array" ref="F5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39" s="26" t="str">
        <f t="array" ref="G5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39" s="26" t="str">
        <f t="array" ref="H539">IF(
MOD(ROW()-2,6)=0,
INDEX('Form Responses'!I:I,INT((ROW()-2)/6)+2),
"-- NA --"
)</f>
        <v>-- NA --</v>
      </c>
      <c r="I539" s="32" t="str">
        <f t="array" ref="I539">IF(
MOD(ROW()-2,6)=0,
INDEX('Form Responses'!J:J,INT((ROW()-2)/6)+2),
"-- NA --"
)</f>
        <v>-- NA --</v>
      </c>
      <c r="J539" s="3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26">
        <v>539.0</v>
      </c>
      <c r="B540" s="33"/>
      <c r="C540" s="26" t="s">
        <v>464</v>
      </c>
      <c r="D540" s="26" t="str">
        <f t="array" ref="D5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25CC007</v>
      </c>
      <c r="E540" s="32" t="str">
        <f t="array" ref="E5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DHEVINTH M S</v>
      </c>
      <c r="F540" s="26" t="str">
        <f t="array" ref="F5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0" s="26" t="str">
        <f t="array" ref="G5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540" s="26" t="str">
        <f t="array" ref="H540">IF(
MOD(ROW()-2,6)=0,
INDEX('Form Responses'!I:I,INT((ROW()-2)/6)+2),
"-- NA --"
)</f>
        <v>-- NA --</v>
      </c>
      <c r="I540" s="32" t="str">
        <f t="array" ref="I540">IF(
MOD(ROW()-2,6)=0,
INDEX('Form Responses'!J:J,INT((ROW()-2)/6)+2),
"-- NA --"
)</f>
        <v>-- NA --</v>
      </c>
      <c r="J540" s="3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26">
        <v>540.0</v>
      </c>
      <c r="B541" s="6"/>
      <c r="C541" s="26" t="s">
        <v>500</v>
      </c>
      <c r="D541" s="26" t="str">
        <f t="array" ref="D5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25CS248</v>
      </c>
      <c r="E541" s="32" t="str">
        <f t="array" ref="E5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VISHALI M</v>
      </c>
      <c r="F541" s="26" t="str">
        <f t="array" ref="F5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1" s="26" t="str">
        <f t="array" ref="G5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41" s="26" t="str">
        <f t="array" ref="H541">IF(
MOD(ROW()-2,6)=0,
INDEX('Form Responses'!I:I,INT((ROW()-2)/6)+2),
"-- NA --"
)</f>
        <v>-- NA --</v>
      </c>
      <c r="I541" s="32" t="str">
        <f t="array" ref="I541">IF(
MOD(ROW()-2,6)=0,
INDEX('Form Responses'!J:J,INT((ROW()-2)/6)+2),
"-- NA --"
)</f>
        <v>-- NA --</v>
      </c>
      <c r="J541" s="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26">
        <v>541.0</v>
      </c>
      <c r="B542" s="29" t="str">
        <f t="array" ref="B542">INDEX('Form Responses'!$C:$C,INT((ROW()-2)/6)+2)</f>
        <v>Syrax</v>
      </c>
      <c r="C542" s="31" t="s">
        <v>140</v>
      </c>
      <c r="D542" s="26" t="str">
        <f t="array" ref="D5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25SY009 </v>
      </c>
      <c r="E542" s="32" t="str">
        <f t="array" ref="E5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CHARUDHARSHINI K</v>
      </c>
      <c r="F542" s="26" t="str">
        <f t="array" ref="F5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2" s="26" t="str">
        <f t="array" ref="G5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42" s="26">
        <f t="array" ref="H542">IF(
MOD(ROW()-2,6)=0,
INDEX('Form Responses'!I:I,INT((ROW()-2)/6)+2),
"-- NA --"
)</f>
        <v>9566302920</v>
      </c>
      <c r="I542" s="32" t="str">
        <f t="array" ref="I542">IF(
MOD(ROW()-2,6)=0,
INDEX('Form Responses'!J:J,INT((ROW()-2)/6)+2),
"-- NA --"
)</f>
        <v>charudharshini.k2025cys@sece.ac.in</v>
      </c>
      <c r="J542" s="29" t="str">
        <f t="array" ref="J542">INDEX('Form Responses'!$D:$D,INT((ROW()-2)/6)+2)</f>
        <v>Software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26">
        <v>542.0</v>
      </c>
      <c r="B543" s="33"/>
      <c r="C543" s="26" t="s">
        <v>282</v>
      </c>
      <c r="D543" s="26" t="str">
        <f t="array" ref="D5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25SY011</v>
      </c>
      <c r="E543" s="32" t="str">
        <f t="array" ref="E5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DEVARAJ S</v>
      </c>
      <c r="F543" s="26" t="str">
        <f t="array" ref="F5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3" s="26" t="str">
        <f t="array" ref="G5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43" s="26" t="str">
        <f t="array" ref="H543">IF(
MOD(ROW()-2,6)=0,
INDEX('Form Responses'!I:I,INT((ROW()-2)/6)+2),
"-- NA --"
)</f>
        <v>-- NA --</v>
      </c>
      <c r="I543" s="32" t="str">
        <f t="array" ref="I543">IF(
MOD(ROW()-2,6)=0,
INDEX('Form Responses'!J:J,INT((ROW()-2)/6)+2),
"-- NA --"
)</f>
        <v>-- NA --</v>
      </c>
      <c r="J543" s="3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26">
        <v>543.0</v>
      </c>
      <c r="B544" s="33"/>
      <c r="C544" s="26" t="s">
        <v>385</v>
      </c>
      <c r="D544" s="26" t="str">
        <f t="array" ref="D5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25SY038</v>
      </c>
      <c r="E544" s="32" t="str">
        <f t="array" ref="E5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MANOJ A</v>
      </c>
      <c r="F544" s="26" t="str">
        <f t="array" ref="F5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4" s="26" t="str">
        <f t="array" ref="G5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44" s="26" t="str">
        <f t="array" ref="H544">IF(
MOD(ROW()-2,6)=0,
INDEX('Form Responses'!I:I,INT((ROW()-2)/6)+2),
"-- NA --"
)</f>
        <v>-- NA --</v>
      </c>
      <c r="I544" s="32" t="str">
        <f t="array" ref="I544">IF(
MOD(ROW()-2,6)=0,
INDEX('Form Responses'!J:J,INT((ROW()-2)/6)+2),
"-- NA --"
)</f>
        <v>-- NA --</v>
      </c>
      <c r="J544" s="3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26">
        <v>544.0</v>
      </c>
      <c r="B545" s="33"/>
      <c r="C545" s="26" t="s">
        <v>425</v>
      </c>
      <c r="D545" s="26" t="str">
        <f t="array" ref="D5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25SY055</v>
      </c>
      <c r="E545" s="32" t="str">
        <f t="array" ref="E5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SUSHIL KUMAR V</v>
      </c>
      <c r="F545" s="26" t="str">
        <f t="array" ref="F5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5" s="26" t="str">
        <f t="array" ref="G5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45" s="26" t="str">
        <f t="array" ref="H545">IF(
MOD(ROW()-2,6)=0,
INDEX('Form Responses'!I:I,INT((ROW()-2)/6)+2),
"-- NA --"
)</f>
        <v>-- NA --</v>
      </c>
      <c r="I545" s="32" t="str">
        <f t="array" ref="I545">IF(
MOD(ROW()-2,6)=0,
INDEX('Form Responses'!J:J,INT((ROW()-2)/6)+2),
"-- NA --"
)</f>
        <v>-- NA --</v>
      </c>
      <c r="J545" s="3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26">
        <v>545.0</v>
      </c>
      <c r="B546" s="33"/>
      <c r="C546" s="26" t="s">
        <v>464</v>
      </c>
      <c r="D546" s="26" t="str">
        <f t="array" ref="D5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25AD020</v>
      </c>
      <c r="E546" s="32" t="str">
        <f t="array" ref="E5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ATCHAYAA V</v>
      </c>
      <c r="F546" s="26" t="str">
        <f t="array" ref="F5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6" s="26" t="str">
        <f t="array" ref="G5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46" s="26" t="str">
        <f t="array" ref="H546">IF(
MOD(ROW()-2,6)=0,
INDEX('Form Responses'!I:I,INT((ROW()-2)/6)+2),
"-- NA --"
)</f>
        <v>-- NA --</v>
      </c>
      <c r="I546" s="32" t="str">
        <f t="array" ref="I546">IF(
MOD(ROW()-2,6)=0,
INDEX('Form Responses'!J:J,INT((ROW()-2)/6)+2),
"-- NA --"
)</f>
        <v>-- NA --</v>
      </c>
      <c r="J546" s="3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26">
        <v>546.0</v>
      </c>
      <c r="B547" s="6"/>
      <c r="C547" s="26" t="s">
        <v>500</v>
      </c>
      <c r="D547" s="26" t="str">
        <f t="array" ref="D5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25AD043</v>
      </c>
      <c r="E547" s="32" t="str">
        <f t="array" ref="E5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DHIVYAVARSHINI K</v>
      </c>
      <c r="F547" s="26" t="str">
        <f t="array" ref="F5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7" s="26" t="str">
        <f t="array" ref="G5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47" s="26" t="str">
        <f t="array" ref="H547">IF(
MOD(ROW()-2,6)=0,
INDEX('Form Responses'!I:I,INT((ROW()-2)/6)+2),
"-- NA --"
)</f>
        <v>-- NA --</v>
      </c>
      <c r="I547" s="32" t="str">
        <f t="array" ref="I547">IF(
MOD(ROW()-2,6)=0,
INDEX('Form Responses'!J:J,INT((ROW()-2)/6)+2),
"-- NA --"
)</f>
        <v>-- NA --</v>
      </c>
      <c r="J547" s="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26">
        <v>547.0</v>
      </c>
      <c r="B548" s="29" t="str">
        <f t="array" ref="B548">INDEX('Form Responses'!$C:$C,INT((ROW()-2)/6)+2)</f>
        <v>INFO HEIST</v>
      </c>
      <c r="C548" s="31" t="s">
        <v>140</v>
      </c>
      <c r="D548" s="26" t="str">
        <f t="array" ref="D5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25IT038</v>
      </c>
      <c r="E548" s="32" t="str">
        <f t="array" ref="E5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NITHISHKUMAR M S</v>
      </c>
      <c r="F548" s="26" t="str">
        <f t="array" ref="F5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8" s="26" t="str">
        <f t="array" ref="G5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48" s="26">
        <f t="array" ref="H548">IF(
MOD(ROW()-2,6)=0,
INDEX('Form Responses'!I:I,INT((ROW()-2)/6)+2),
"-- NA --"
)</f>
        <v>8754247716</v>
      </c>
      <c r="I548" s="32" t="str">
        <f t="array" ref="I548">IF(
MOD(ROW()-2,6)=0,
INDEX('Form Responses'!J:J,INT((ROW()-2)/6)+2),
"-- NA --"
)</f>
        <v>nithishkumar.ms2025it@sece.ac.in</v>
      </c>
      <c r="J548" s="29" t="str">
        <f t="array" ref="J548">INDEX('Form Responses'!$D:$D,INT((ROW()-2)/6)+2)</f>
        <v>Hardware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26">
        <v>548.0</v>
      </c>
      <c r="B549" s="33"/>
      <c r="C549" s="26" t="s">
        <v>282</v>
      </c>
      <c r="D549" s="26" t="str">
        <f t="array" ref="D5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25EE014</v>
      </c>
      <c r="E549" s="32" t="str">
        <f t="array" ref="E5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GOKULA KRISHNAN S</v>
      </c>
      <c r="F549" s="26" t="str">
        <f t="array" ref="F5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49" s="26" t="str">
        <f t="array" ref="G5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549" s="26" t="str">
        <f t="array" ref="H549">IF(
MOD(ROW()-2,6)=0,
INDEX('Form Responses'!I:I,INT((ROW()-2)/6)+2),
"-- NA --"
)</f>
        <v>-- NA --</v>
      </c>
      <c r="I549" s="32" t="str">
        <f t="array" ref="I549">IF(
MOD(ROW()-2,6)=0,
INDEX('Form Responses'!J:J,INT((ROW()-2)/6)+2),
"-- NA --"
)</f>
        <v>-- NA --</v>
      </c>
      <c r="J549" s="3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26">
        <v>549.0</v>
      </c>
      <c r="B550" s="33"/>
      <c r="C550" s="26" t="s">
        <v>385</v>
      </c>
      <c r="D550" s="26" t="str">
        <f t="array" ref="D5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25IT015</v>
      </c>
      <c r="E550" s="32" t="str">
        <f t="array" ref="E5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GIRI L</v>
      </c>
      <c r="F550" s="26" t="str">
        <f t="array" ref="F5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0" s="26" t="str">
        <f t="array" ref="G5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50" s="26" t="str">
        <f t="array" ref="H550">IF(
MOD(ROW()-2,6)=0,
INDEX('Form Responses'!I:I,INT((ROW()-2)/6)+2),
"-- NA --"
)</f>
        <v>-- NA --</v>
      </c>
      <c r="I550" s="32" t="str">
        <f t="array" ref="I550">IF(
MOD(ROW()-2,6)=0,
INDEX('Form Responses'!J:J,INT((ROW()-2)/6)+2),
"-- NA --"
)</f>
        <v>-- NA --</v>
      </c>
      <c r="J550" s="3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26">
        <v>550.0</v>
      </c>
      <c r="B551" s="33"/>
      <c r="C551" s="26" t="s">
        <v>425</v>
      </c>
      <c r="D551" s="26" t="str">
        <f t="array" ref="D5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25EE010</v>
      </c>
      <c r="E551" s="32" t="str">
        <f t="array" ref="E5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DHARUNRAM R </v>
      </c>
      <c r="F551" s="26" t="str">
        <f t="array" ref="F5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1" s="26" t="str">
        <f t="array" ref="G5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551" s="26" t="str">
        <f t="array" ref="H551">IF(
MOD(ROW()-2,6)=0,
INDEX('Form Responses'!I:I,INT((ROW()-2)/6)+2),
"-- NA --"
)</f>
        <v>-- NA --</v>
      </c>
      <c r="I551" s="32" t="str">
        <f t="array" ref="I551">IF(
MOD(ROW()-2,6)=0,
INDEX('Form Responses'!J:J,INT((ROW()-2)/6)+2),
"-- NA --"
)</f>
        <v>-- NA --</v>
      </c>
      <c r="J551" s="3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26">
        <v>551.0</v>
      </c>
      <c r="B552" s="33"/>
      <c r="C552" s="26" t="s">
        <v>464</v>
      </c>
      <c r="D552" s="26" t="str">
        <f t="array" ref="D5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25IT045</v>
      </c>
      <c r="E552" s="32" t="str">
        <f t="array" ref="E5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SANGAMITHRA S</v>
      </c>
      <c r="F552" s="26" t="str">
        <f t="array" ref="F5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2" s="26" t="str">
        <f t="array" ref="G5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52" s="26" t="str">
        <f t="array" ref="H552">IF(
MOD(ROW()-2,6)=0,
INDEX('Form Responses'!I:I,INT((ROW()-2)/6)+2),
"-- NA --"
)</f>
        <v>-- NA --</v>
      </c>
      <c r="I552" s="32" t="str">
        <f t="array" ref="I552">IF(
MOD(ROW()-2,6)=0,
INDEX('Form Responses'!J:J,INT((ROW()-2)/6)+2),
"-- NA --"
)</f>
        <v>-- NA --</v>
      </c>
      <c r="J552" s="3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26">
        <v>552.0</v>
      </c>
      <c r="B553" s="6"/>
      <c r="C553" s="26" t="s">
        <v>500</v>
      </c>
      <c r="D553" s="26" t="str">
        <f t="array" ref="D5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25IT054</v>
      </c>
      <c r="E553" s="32" t="str">
        <f t="array" ref="E5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SRIHARINI C</v>
      </c>
      <c r="F553" s="26" t="str">
        <f t="array" ref="F5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3" s="26" t="str">
        <f t="array" ref="G5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53" s="26" t="str">
        <f t="array" ref="H553">IF(
MOD(ROW()-2,6)=0,
INDEX('Form Responses'!I:I,INT((ROW()-2)/6)+2),
"-- NA --"
)</f>
        <v>-- NA --</v>
      </c>
      <c r="I553" s="32" t="str">
        <f t="array" ref="I553">IF(
MOD(ROW()-2,6)=0,
INDEX('Form Responses'!J:J,INT((ROW()-2)/6)+2),
"-- NA --"
)</f>
        <v>-- NA --</v>
      </c>
      <c r="J553" s="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26">
        <v>553.0</v>
      </c>
      <c r="B554" s="29" t="str">
        <f t="array" ref="B554">INDEX('Form Responses'!$C:$C,INT((ROW()-2)/6)+2)</f>
        <v>METAVERSE</v>
      </c>
      <c r="C554" s="31" t="s">
        <v>140</v>
      </c>
      <c r="D554" s="26" t="str">
        <f t="array" ref="D5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25CS189</v>
      </c>
      <c r="E554" s="32" t="str">
        <f t="array" ref="E5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SADHANA S</v>
      </c>
      <c r="F554" s="26" t="str">
        <f t="array" ref="F5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4" s="26" t="str">
        <f t="array" ref="G5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54" s="26">
        <f t="array" ref="H554">IF(
MOD(ROW()-2,6)=0,
INDEX('Form Responses'!I:I,INT((ROW()-2)/6)+2),
"-- NA --"
)</f>
        <v>7845430295</v>
      </c>
      <c r="I554" s="32" t="str">
        <f t="array" ref="I554">IF(
MOD(ROW()-2,6)=0,
INDEX('Form Responses'!J:J,INT((ROW()-2)/6)+2),
"-- NA --"
)</f>
        <v>sadhana.s2025cse@sece.ac.in</v>
      </c>
      <c r="J554" s="29" t="str">
        <f t="array" ref="J554">INDEX('Form Responses'!$D:$D,INT((ROW()-2)/6)+2)</f>
        <v>Hardware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26">
        <v>554.0</v>
      </c>
      <c r="B555" s="33"/>
      <c r="C555" s="26" t="s">
        <v>282</v>
      </c>
      <c r="D555" s="26" t="str">
        <f t="array" ref="D5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25CS183</v>
      </c>
      <c r="E555" s="32" t="str">
        <f t="array" ref="E5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RIDHINYA SHREE S</v>
      </c>
      <c r="F555" s="26" t="str">
        <f t="array" ref="F5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5" s="26" t="str">
        <f t="array" ref="G5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55" s="26" t="str">
        <f t="array" ref="H555">IF(
MOD(ROW()-2,6)=0,
INDEX('Form Responses'!I:I,INT((ROW()-2)/6)+2),
"-- NA --"
)</f>
        <v>-- NA --</v>
      </c>
      <c r="I555" s="32" t="str">
        <f t="array" ref="I555">IF(
MOD(ROW()-2,6)=0,
INDEX('Form Responses'!J:J,INT((ROW()-2)/6)+2),
"-- NA --"
)</f>
        <v>-- NA --</v>
      </c>
      <c r="J555" s="3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26">
        <v>555.0</v>
      </c>
      <c r="B556" s="33"/>
      <c r="C556" s="26" t="s">
        <v>385</v>
      </c>
      <c r="D556" s="26" t="str">
        <f t="array" ref="D5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25CS168</v>
      </c>
      <c r="E556" s="32" t="str">
        <f t="array" ref="E5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POORNIMA A</v>
      </c>
      <c r="F556" s="26" t="str">
        <f t="array" ref="F5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6" s="26" t="str">
        <f t="array" ref="G5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56" s="26" t="str">
        <f t="array" ref="H556">IF(
MOD(ROW()-2,6)=0,
INDEX('Form Responses'!I:I,INT((ROW()-2)/6)+2),
"-- NA --"
)</f>
        <v>-- NA --</v>
      </c>
      <c r="I556" s="32" t="str">
        <f t="array" ref="I556">IF(
MOD(ROW()-2,6)=0,
INDEX('Form Responses'!J:J,INT((ROW()-2)/6)+2),
"-- NA --"
)</f>
        <v>-- NA --</v>
      </c>
      <c r="J556" s="3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26">
        <v>556.0</v>
      </c>
      <c r="B557" s="33"/>
      <c r="C557" s="26" t="s">
        <v>425</v>
      </c>
      <c r="D557" s="26" t="str">
        <f t="array" ref="D5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25CS157</v>
      </c>
      <c r="E557" s="32" t="str">
        <f t="array" ref="E5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NITHIYA SHREE S</v>
      </c>
      <c r="F557" s="26" t="str">
        <f t="array" ref="F5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7" s="26" t="str">
        <f t="array" ref="G5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57" s="26" t="str">
        <f t="array" ref="H557">IF(
MOD(ROW()-2,6)=0,
INDEX('Form Responses'!I:I,INT((ROW()-2)/6)+2),
"-- NA --"
)</f>
        <v>-- NA --</v>
      </c>
      <c r="I557" s="32" t="str">
        <f t="array" ref="I557">IF(
MOD(ROW()-2,6)=0,
INDEX('Form Responses'!J:J,INT((ROW()-2)/6)+2),
"-- NA --"
)</f>
        <v>-- NA --</v>
      </c>
      <c r="J557" s="3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26">
        <v>557.0</v>
      </c>
      <c r="B558" s="33"/>
      <c r="C558" s="26" t="s">
        <v>464</v>
      </c>
      <c r="D558" s="26" t="str">
        <f t="array" ref="D5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25EC038</v>
      </c>
      <c r="E558" s="32" t="str">
        <f t="array" ref="E5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DHARANISWARAN R S</v>
      </c>
      <c r="F558" s="26" t="str">
        <f t="array" ref="F5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8" s="26" t="str">
        <f t="array" ref="G5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58" s="26" t="str">
        <f t="array" ref="H558">IF(
MOD(ROW()-2,6)=0,
INDEX('Form Responses'!I:I,INT((ROW()-2)/6)+2),
"-- NA --"
)</f>
        <v>-- NA --</v>
      </c>
      <c r="I558" s="32" t="str">
        <f t="array" ref="I558">IF(
MOD(ROW()-2,6)=0,
INDEX('Form Responses'!J:J,INT((ROW()-2)/6)+2),
"-- NA --"
)</f>
        <v>-- NA --</v>
      </c>
      <c r="J558" s="3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26">
        <v>558.0</v>
      </c>
      <c r="B559" s="6"/>
      <c r="C559" s="26" t="s">
        <v>500</v>
      </c>
      <c r="D559" s="26" t="str">
        <f t="array" ref="D5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25EC018</v>
      </c>
      <c r="E559" s="32" t="str">
        <f t="array" ref="E5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ARUN JOTHI P</v>
      </c>
      <c r="F559" s="26" t="str">
        <f t="array" ref="F5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59" s="26" t="str">
        <f t="array" ref="G5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59" s="26" t="str">
        <f t="array" ref="H559">IF(
MOD(ROW()-2,6)=0,
INDEX('Form Responses'!I:I,INT((ROW()-2)/6)+2),
"-- NA --"
)</f>
        <v>-- NA --</v>
      </c>
      <c r="I559" s="32" t="str">
        <f t="array" ref="I559">IF(
MOD(ROW()-2,6)=0,
INDEX('Form Responses'!J:J,INT((ROW()-2)/6)+2),
"-- NA --"
)</f>
        <v>-- NA --</v>
      </c>
      <c r="J559" s="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26">
        <v>559.0</v>
      </c>
      <c r="B560" s="29" t="str">
        <f t="array" ref="B560">INDEX('Form Responses'!$C:$C,INT((ROW()-2)/6)+2)</f>
        <v>TECHPULSE</v>
      </c>
      <c r="C560" s="31" t="s">
        <v>140</v>
      </c>
      <c r="D560" s="26" t="str">
        <f t="array" ref="D5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25CS100</v>
      </c>
      <c r="E560" s="32" t="str">
        <f t="array" ref="E5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KAVINESH M </v>
      </c>
      <c r="F560" s="26" t="str">
        <f t="array" ref="F5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0" s="26" t="str">
        <f t="array" ref="G5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60" s="26">
        <f t="array" ref="H560">IF(
MOD(ROW()-2,6)=0,
INDEX('Form Responses'!I:I,INT((ROW()-2)/6)+2),
"-- NA --"
)</f>
        <v>8148093408</v>
      </c>
      <c r="I560" s="32" t="str">
        <f t="array" ref="I560">IF(
MOD(ROW()-2,6)=0,
INDEX('Form Responses'!J:J,INT((ROW()-2)/6)+2),
"-- NA --"
)</f>
        <v>kavinesh.m2025cse@sece.ac.in</v>
      </c>
      <c r="J560" s="29" t="str">
        <f t="array" ref="J560">INDEX('Form Responses'!$D:$D,INT((ROW()-2)/6)+2)</f>
        <v>Software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26">
        <v>560.0</v>
      </c>
      <c r="B561" s="33"/>
      <c r="C561" s="26" t="s">
        <v>282</v>
      </c>
      <c r="D561" s="26" t="str">
        <f t="array" ref="D5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25CS075</v>
      </c>
      <c r="E561" s="32" t="str">
        <f t="array" ref="E5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INBAMANI B</v>
      </c>
      <c r="F561" s="26" t="str">
        <f t="array" ref="F5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1" s="26" t="str">
        <f t="array" ref="G5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61" s="26" t="str">
        <f t="array" ref="H561">IF(
MOD(ROW()-2,6)=0,
INDEX('Form Responses'!I:I,INT((ROW()-2)/6)+2),
"-- NA --"
)</f>
        <v>-- NA --</v>
      </c>
      <c r="I561" s="32" t="str">
        <f t="array" ref="I561">IF(
MOD(ROW()-2,6)=0,
INDEX('Form Responses'!J:J,INT((ROW()-2)/6)+2),
"-- NA --"
)</f>
        <v>-- NA --</v>
      </c>
      <c r="J561" s="3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26">
        <v>561.0</v>
      </c>
      <c r="B562" s="33"/>
      <c r="C562" s="26" t="s">
        <v>385</v>
      </c>
      <c r="D562" s="26" t="str">
        <f t="array" ref="D5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25CS204</v>
      </c>
      <c r="E562" s="32" t="str">
        <f t="array" ref="E5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SARAVANAMOORTHY M</v>
      </c>
      <c r="F562" s="26" t="str">
        <f t="array" ref="F5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2" s="26" t="str">
        <f t="array" ref="G5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62" s="26" t="str">
        <f t="array" ref="H562">IF(
MOD(ROW()-2,6)=0,
INDEX('Form Responses'!I:I,INT((ROW()-2)/6)+2),
"-- NA --"
)</f>
        <v>-- NA --</v>
      </c>
      <c r="I562" s="32" t="str">
        <f t="array" ref="I562">IF(
MOD(ROW()-2,6)=0,
INDEX('Form Responses'!J:J,INT((ROW()-2)/6)+2),
"-- NA --"
)</f>
        <v>-- NA --</v>
      </c>
      <c r="J562" s="3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26">
        <v>562.0</v>
      </c>
      <c r="B563" s="33"/>
      <c r="C563" s="26" t="s">
        <v>425</v>
      </c>
      <c r="D563" s="26" t="str">
        <f t="array" ref="D5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25EC020</v>
      </c>
      <c r="E563" s="32" t="str">
        <f t="array" ref="E5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ARYANGA E</v>
      </c>
      <c r="F563" s="26" t="str">
        <f t="array" ref="F5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3" s="26" t="str">
        <f t="array" ref="G5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63" s="26" t="str">
        <f t="array" ref="H563">IF(
MOD(ROW()-2,6)=0,
INDEX('Form Responses'!I:I,INT((ROW()-2)/6)+2),
"-- NA --"
)</f>
        <v>-- NA --</v>
      </c>
      <c r="I563" s="32" t="str">
        <f t="array" ref="I563">IF(
MOD(ROW()-2,6)=0,
INDEX('Form Responses'!J:J,INT((ROW()-2)/6)+2),
"-- NA --"
)</f>
        <v>-- NA --</v>
      </c>
      <c r="J563" s="3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26">
        <v>563.0</v>
      </c>
      <c r="B564" s="33"/>
      <c r="C564" s="26" t="s">
        <v>464</v>
      </c>
      <c r="D564" s="26" t="str">
        <f t="array" ref="D5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25AM096</v>
      </c>
      <c r="E564" s="32" t="str">
        <f t="array" ref="E5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SHIVAHLESHA S</v>
      </c>
      <c r="F564" s="26" t="str">
        <f t="array" ref="F5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4" s="26" t="str">
        <f t="array" ref="G5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64" s="26" t="str">
        <f t="array" ref="H564">IF(
MOD(ROW()-2,6)=0,
INDEX('Form Responses'!I:I,INT((ROW()-2)/6)+2),
"-- NA --"
)</f>
        <v>-- NA --</v>
      </c>
      <c r="I564" s="32" t="str">
        <f t="array" ref="I564">IF(
MOD(ROW()-2,6)=0,
INDEX('Form Responses'!J:J,INT((ROW()-2)/6)+2),
"-- NA --"
)</f>
        <v>-- NA --</v>
      </c>
      <c r="J564" s="3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26">
        <v>564.0</v>
      </c>
      <c r="B565" s="6"/>
      <c r="C565" s="26" t="s">
        <v>500</v>
      </c>
      <c r="D565" s="26" t="str">
        <f t="array" ref="D5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25AM103</v>
      </c>
      <c r="E565" s="32" t="str">
        <f t="array" ref="E5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SRIJA B</v>
      </c>
      <c r="F565" s="26" t="str">
        <f t="array" ref="F5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5" s="26" t="str">
        <f t="array" ref="G5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565" s="26" t="str">
        <f t="array" ref="H565">IF(
MOD(ROW()-2,6)=0,
INDEX('Form Responses'!I:I,INT((ROW()-2)/6)+2),
"-- NA --"
)</f>
        <v>-- NA --</v>
      </c>
      <c r="I565" s="32" t="str">
        <f t="array" ref="I565">IF(
MOD(ROW()-2,6)=0,
INDEX('Form Responses'!J:J,INT((ROW()-2)/6)+2),
"-- NA --"
)</f>
        <v>-- NA --</v>
      </c>
      <c r="J565" s="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26">
        <v>565.0</v>
      </c>
      <c r="B566" s="29" t="str">
        <f t="array" ref="B566">INDEX('Form Responses'!$C:$C,INT((ROW()-2)/6)+2)</f>
        <v>GENVERSE</v>
      </c>
      <c r="C566" s="31" t="s">
        <v>140</v>
      </c>
      <c r="D566" s="26" t="str">
        <f t="array" ref="D5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25AD002</v>
      </c>
      <c r="E566" s="32" t="str">
        <f t="array" ref="E5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 NANDHANA S </v>
      </c>
      <c r="F566" s="26" t="str">
        <f t="array" ref="F5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6" s="26" t="str">
        <f t="array" ref="G5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66" s="26">
        <f t="array" ref="H566">IF(
MOD(ROW()-2,6)=0,
INDEX('Form Responses'!I:I,INT((ROW()-2)/6)+2),
"-- NA --"
)</f>
        <v>8072898657</v>
      </c>
      <c r="I566" s="32" t="str">
        <f t="array" ref="I566">IF(
MOD(ROW()-2,6)=0,
INDEX('Form Responses'!J:J,INT((ROW()-2)/6)+2),
"-- NA --"
)</f>
        <v>abinandhana.s2025aids@sece.ac.in</v>
      </c>
      <c r="J566" s="29" t="str">
        <f t="array" ref="J566">INDEX('Form Responses'!$D:$D,INT((ROW()-2)/6)+2)</f>
        <v>Software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26">
        <v>566.0</v>
      </c>
      <c r="B567" s="33"/>
      <c r="C567" s="26" t="s">
        <v>282</v>
      </c>
      <c r="D567" s="26" t="str">
        <f t="array" ref="D5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25AD022</v>
      </c>
      <c r="E567" s="32" t="str">
        <f t="array" ref="E5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 BAVITHRA K</v>
      </c>
      <c r="F567" s="26" t="str">
        <f t="array" ref="F5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7" s="26" t="str">
        <f t="array" ref="G5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67" s="26" t="str">
        <f t="array" ref="H567">IF(
MOD(ROW()-2,6)=0,
INDEX('Form Responses'!I:I,INT((ROW()-2)/6)+2),
"-- NA --"
)</f>
        <v>-- NA --</v>
      </c>
      <c r="I567" s="32" t="str">
        <f t="array" ref="I567">IF(
MOD(ROW()-2,6)=0,
INDEX('Form Responses'!J:J,INT((ROW()-2)/6)+2),
"-- NA --"
)</f>
        <v>-- NA --</v>
      </c>
      <c r="J567" s="3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26">
        <v>567.0</v>
      </c>
      <c r="B568" s="33"/>
      <c r="C568" s="26" t="s">
        <v>385</v>
      </c>
      <c r="D568" s="26" t="str">
        <f t="array" ref="D5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25AD009</v>
      </c>
      <c r="E568" s="32" t="str">
        <f t="array" ref="E5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ANANYA A</v>
      </c>
      <c r="F568" s="26" t="str">
        <f t="array" ref="F5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8" s="26" t="str">
        <f t="array" ref="G5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68" s="26" t="str">
        <f t="array" ref="H568">IF(
MOD(ROW()-2,6)=0,
INDEX('Form Responses'!I:I,INT((ROW()-2)/6)+2),
"-- NA --"
)</f>
        <v>-- NA --</v>
      </c>
      <c r="I568" s="32" t="str">
        <f t="array" ref="I568">IF(
MOD(ROW()-2,6)=0,
INDEX('Form Responses'!J:J,INT((ROW()-2)/6)+2),
"-- NA --"
)</f>
        <v>-- NA --</v>
      </c>
      <c r="J568" s="3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26">
        <v>568.0</v>
      </c>
      <c r="B569" s="33"/>
      <c r="C569" s="26" t="s">
        <v>425</v>
      </c>
      <c r="D569" s="26" t="str">
        <f t="array" ref="D5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25AD008</v>
      </c>
      <c r="E569" s="32" t="str">
        <f t="array" ref="E5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ANANDA KRISHNAN R</v>
      </c>
      <c r="F569" s="26" t="str">
        <f t="array" ref="F5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69" s="26" t="str">
        <f t="array" ref="G5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69" s="26" t="str">
        <f t="array" ref="H569">IF(
MOD(ROW()-2,6)=0,
INDEX('Form Responses'!I:I,INT((ROW()-2)/6)+2),
"-- NA --"
)</f>
        <v>-- NA --</v>
      </c>
      <c r="I569" s="32" t="str">
        <f t="array" ref="I569">IF(
MOD(ROW()-2,6)=0,
INDEX('Form Responses'!J:J,INT((ROW()-2)/6)+2),
"-- NA --"
)</f>
        <v>-- NA --</v>
      </c>
      <c r="J569" s="3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26">
        <v>569.0</v>
      </c>
      <c r="B570" s="33"/>
      <c r="C570" s="26" t="s">
        <v>464</v>
      </c>
      <c r="D570" s="26" t="str">
        <f t="array" ref="D5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25AD014</v>
      </c>
      <c r="E570" s="32" t="str">
        <f t="array" ref="E5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ARUN KUMAR B</v>
      </c>
      <c r="F570" s="26" t="str">
        <f t="array" ref="F5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0" s="26" t="str">
        <f t="array" ref="G5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70" s="26" t="str">
        <f t="array" ref="H570">IF(
MOD(ROW()-2,6)=0,
INDEX('Form Responses'!I:I,INT((ROW()-2)/6)+2),
"-- NA --"
)</f>
        <v>-- NA --</v>
      </c>
      <c r="I570" s="32" t="str">
        <f t="array" ref="I570">IF(
MOD(ROW()-2,6)=0,
INDEX('Form Responses'!J:J,INT((ROW()-2)/6)+2),
"-- NA --"
)</f>
        <v>-- NA --</v>
      </c>
      <c r="J570" s="3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26">
        <v>570.0</v>
      </c>
      <c r="B571" s="6"/>
      <c r="C571" s="26" t="s">
        <v>500</v>
      </c>
      <c r="D571" s="26" t="str">
        <f t="array" ref="D5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25SY016</v>
      </c>
      <c r="E571" s="32" t="str">
        <f t="array" ref="E5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DHAYANANDHAN R S</v>
      </c>
      <c r="F571" s="26" t="str">
        <f t="array" ref="F5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1" s="26" t="str">
        <f t="array" ref="G5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571" s="26" t="str">
        <f t="array" ref="H571">IF(
MOD(ROW()-2,6)=0,
INDEX('Form Responses'!I:I,INT((ROW()-2)/6)+2),
"-- NA --"
)</f>
        <v>-- NA --</v>
      </c>
      <c r="I571" s="32" t="str">
        <f t="array" ref="I571">IF(
MOD(ROW()-2,6)=0,
INDEX('Form Responses'!J:J,INT((ROW()-2)/6)+2),
"-- NA --"
)</f>
        <v>-- NA --</v>
      </c>
      <c r="J571" s="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26">
        <v>571.0</v>
      </c>
      <c r="B572" s="29" t="str">
        <f t="array" ref="B572">INDEX('Form Responses'!$C:$C,INT((ROW()-2)/6)+2)</f>
        <v>DEXTER</v>
      </c>
      <c r="C572" s="31" t="s">
        <v>140</v>
      </c>
      <c r="D572" s="26" t="str">
        <f t="array" ref="D5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25EC040</v>
      </c>
      <c r="E572" s="32" t="str">
        <f t="array" ref="E5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DHARSAN P S </v>
      </c>
      <c r="F572" s="26" t="str">
        <f t="array" ref="F5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2" s="26" t="str">
        <f t="array" ref="G5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72" s="26">
        <f t="array" ref="H572">IF(
MOD(ROW()-2,6)=0,
INDEX('Form Responses'!I:I,INT((ROW()-2)/6)+2),
"-- NA --"
)</f>
        <v>9345642951</v>
      </c>
      <c r="I572" s="32" t="str">
        <f t="array" ref="I572">IF(
MOD(ROW()-2,6)=0,
INDEX('Form Responses'!J:J,INT((ROW()-2)/6)+2),
"-- NA --"
)</f>
        <v>dharsan.ps2025ece@sece.ac.in </v>
      </c>
      <c r="J572" s="29" t="str">
        <f t="array" ref="J572">INDEX('Form Responses'!$D:$D,INT((ROW()-2)/6)+2)</f>
        <v>Hardware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26">
        <v>572.0</v>
      </c>
      <c r="B573" s="33"/>
      <c r="C573" s="26" t="s">
        <v>282</v>
      </c>
      <c r="D573" s="26" t="str">
        <f t="array" ref="D5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25EC021</v>
      </c>
      <c r="E573" s="32" t="str">
        <f t="array" ref="E5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Ashwath P </v>
      </c>
      <c r="F573" s="26" t="str">
        <f t="array" ref="F5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3" s="26" t="str">
        <f t="array" ref="G5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73" s="26" t="str">
        <f t="array" ref="H573">IF(
MOD(ROW()-2,6)=0,
INDEX('Form Responses'!I:I,INT((ROW()-2)/6)+2),
"-- NA --"
)</f>
        <v>-- NA --</v>
      </c>
      <c r="I573" s="32" t="str">
        <f t="array" ref="I573">IF(
MOD(ROW()-2,6)=0,
INDEX('Form Responses'!J:J,INT((ROW()-2)/6)+2),
"-- NA --"
)</f>
        <v>-- NA --</v>
      </c>
      <c r="J573" s="3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26">
        <v>573.0</v>
      </c>
      <c r="B574" s="33"/>
      <c r="C574" s="26" t="s">
        <v>385</v>
      </c>
      <c r="D574" s="26" t="str">
        <f t="array" ref="D5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25EC030</v>
      </c>
      <c r="E574" s="32" t="str">
        <f t="array" ref="E5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CHIRANJEEVI R</v>
      </c>
      <c r="F574" s="26" t="str">
        <f t="array" ref="F5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4" s="26" t="str">
        <f t="array" ref="G5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74" s="26" t="str">
        <f t="array" ref="H574">IF(
MOD(ROW()-2,6)=0,
INDEX('Form Responses'!I:I,INT((ROW()-2)/6)+2),
"-- NA --"
)</f>
        <v>-- NA --</v>
      </c>
      <c r="I574" s="32" t="str">
        <f t="array" ref="I574">IF(
MOD(ROW()-2,6)=0,
INDEX('Form Responses'!J:J,INT((ROW()-2)/6)+2),
"-- NA --"
)</f>
        <v>-- NA --</v>
      </c>
      <c r="J574" s="3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26">
        <v>574.0</v>
      </c>
      <c r="B575" s="33"/>
      <c r="C575" s="26" t="s">
        <v>425</v>
      </c>
      <c r="D575" s="26" t="str">
        <f t="array" ref="D5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25EC023</v>
      </c>
      <c r="E575" s="32" t="str">
        <f t="array" ref="E5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BARANIDHARAN C </v>
      </c>
      <c r="F575" s="26" t="str">
        <f t="array" ref="F5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5" s="26" t="str">
        <f t="array" ref="G5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75" s="26" t="str">
        <f t="array" ref="H575">IF(
MOD(ROW()-2,6)=0,
INDEX('Form Responses'!I:I,INT((ROW()-2)/6)+2),
"-- NA --"
)</f>
        <v>-- NA --</v>
      </c>
      <c r="I575" s="32" t="str">
        <f t="array" ref="I575">IF(
MOD(ROW()-2,6)=0,
INDEX('Form Responses'!J:J,INT((ROW()-2)/6)+2),
"-- NA --"
)</f>
        <v>-- NA --</v>
      </c>
      <c r="J575" s="3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26">
        <v>575.0</v>
      </c>
      <c r="B576" s="33"/>
      <c r="C576" s="26" t="s">
        <v>464</v>
      </c>
      <c r="D576" s="26" t="str">
        <f t="array" ref="D5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25CC055</v>
      </c>
      <c r="E576" s="32" t="str">
        <f t="array" ref="E5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AISWARYA D</v>
      </c>
      <c r="F576" s="26" t="str">
        <f t="array" ref="F5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6" s="26" t="str">
        <f t="array" ref="G5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576" s="26" t="str">
        <f t="array" ref="H576">IF(
MOD(ROW()-2,6)=0,
INDEX('Form Responses'!I:I,INT((ROW()-2)/6)+2),
"-- NA --"
)</f>
        <v>-- NA --</v>
      </c>
      <c r="I576" s="32" t="str">
        <f t="array" ref="I576">IF(
MOD(ROW()-2,6)=0,
INDEX('Form Responses'!J:J,INT((ROW()-2)/6)+2),
"-- NA --"
)</f>
        <v>-- NA --</v>
      </c>
      <c r="J576" s="3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26">
        <v>576.0</v>
      </c>
      <c r="B577" s="6"/>
      <c r="C577" s="26" t="s">
        <v>500</v>
      </c>
      <c r="D577" s="26" t="str">
        <f t="array" ref="D5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25EE022</v>
      </c>
      <c r="E577" s="32" t="str">
        <f t="array" ref="E5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KAYALVIZHI A</v>
      </c>
      <c r="F577" s="26" t="str">
        <f t="array" ref="F5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7" s="26" t="str">
        <f t="array" ref="G5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577" s="26" t="str">
        <f t="array" ref="H577">IF(
MOD(ROW()-2,6)=0,
INDEX('Form Responses'!I:I,INT((ROW()-2)/6)+2),
"-- NA --"
)</f>
        <v>-- NA --</v>
      </c>
      <c r="I577" s="32" t="str">
        <f t="array" ref="I577">IF(
MOD(ROW()-2,6)=0,
INDEX('Form Responses'!J:J,INT((ROW()-2)/6)+2),
"-- NA --"
)</f>
        <v>-- NA --</v>
      </c>
      <c r="J577" s="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26">
        <v>577.0</v>
      </c>
      <c r="B578" s="29" t="str">
        <f t="array" ref="B578">INDEX('Form Responses'!$C:$C,INT((ROW()-2)/6)+2)</f>
        <v>BYTE BRIGADE</v>
      </c>
      <c r="C578" s="31" t="s">
        <v>140</v>
      </c>
      <c r="D578" s="26" t="str">
        <f t="array" ref="D5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25IT061</v>
      </c>
      <c r="E578" s="32" t="str">
        <f t="array" ref="E5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T</v>
      </c>
      <c r="F578" s="26" t="str">
        <f t="array" ref="F5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8" s="26" t="str">
        <f t="array" ref="G5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78" s="26">
        <f t="array" ref="H578">IF(
MOD(ROW()-2,6)=0,
INDEX('Form Responses'!I:I,INT((ROW()-2)/6)+2),
"-- NA --"
)</f>
        <v>9842740700</v>
      </c>
      <c r="I578" s="32" t="str">
        <f t="array" ref="I578">IF(
MOD(ROW()-2,6)=0,
INDEX('Form Responses'!J:J,INT((ROW()-2)/6)+2),
"-- NA --"
)</f>
        <v>vishal.t2025it@sece.ac.in</v>
      </c>
      <c r="J578" s="29" t="str">
        <f t="array" ref="J578">INDEX('Form Responses'!$D:$D,INT((ROW()-2)/6)+2)</f>
        <v>Software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26">
        <v>578.0</v>
      </c>
      <c r="B579" s="33"/>
      <c r="C579" s="26" t="s">
        <v>282</v>
      </c>
      <c r="D579" s="26" t="str">
        <f t="array" ref="D5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25IT049</v>
      </c>
      <c r="E579" s="32" t="str">
        <f t="array" ref="E5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SHARON MELBA N</v>
      </c>
      <c r="F579" s="26" t="str">
        <f t="array" ref="F5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79" s="26" t="str">
        <f t="array" ref="G5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79" s="26" t="str">
        <f t="array" ref="H579">IF(
MOD(ROW()-2,6)=0,
INDEX('Form Responses'!I:I,INT((ROW()-2)/6)+2),
"-- NA --"
)</f>
        <v>-- NA --</v>
      </c>
      <c r="I579" s="32" t="str">
        <f t="array" ref="I579">IF(
MOD(ROW()-2,6)=0,
INDEX('Form Responses'!J:J,INT((ROW()-2)/6)+2),
"-- NA --"
)</f>
        <v>-- NA --</v>
      </c>
      <c r="J579" s="3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26">
        <v>579.0</v>
      </c>
      <c r="B580" s="33"/>
      <c r="C580" s="26" t="s">
        <v>385</v>
      </c>
      <c r="D580" s="26" t="str">
        <f t="array" ref="D5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25IT057</v>
      </c>
      <c r="E580" s="32" t="str">
        <f t="array" ref="E5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SWATHI R</v>
      </c>
      <c r="F580" s="26" t="str">
        <f t="array" ref="F5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0" s="26" t="str">
        <f t="array" ref="G5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80" s="26" t="str">
        <f t="array" ref="H580">IF(
MOD(ROW()-2,6)=0,
INDEX('Form Responses'!I:I,INT((ROW()-2)/6)+2),
"-- NA --"
)</f>
        <v>-- NA --</v>
      </c>
      <c r="I580" s="32" t="str">
        <f t="array" ref="I580">IF(
MOD(ROW()-2,6)=0,
INDEX('Form Responses'!J:J,INT((ROW()-2)/6)+2),
"-- NA --"
)</f>
        <v>-- NA --</v>
      </c>
      <c r="J580" s="3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26">
        <v>580.0</v>
      </c>
      <c r="B581" s="33"/>
      <c r="C581" s="26" t="s">
        <v>425</v>
      </c>
      <c r="D581" s="26" t="str">
        <f t="array" ref="D5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25IT053</v>
      </c>
      <c r="E581" s="32" t="str">
        <f t="array" ref="E5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SREERAM M</v>
      </c>
      <c r="F581" s="26" t="str">
        <f t="array" ref="F5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1" s="26" t="str">
        <f t="array" ref="G5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581" s="26" t="str">
        <f t="array" ref="H581">IF(
MOD(ROW()-2,6)=0,
INDEX('Form Responses'!I:I,INT((ROW()-2)/6)+2),
"-- NA --"
)</f>
        <v>-- NA --</v>
      </c>
      <c r="I581" s="32" t="str">
        <f t="array" ref="I581">IF(
MOD(ROW()-2,6)=0,
INDEX('Form Responses'!J:J,INT((ROW()-2)/6)+2),
"-- NA --"
)</f>
        <v>-- NA --</v>
      </c>
      <c r="J581" s="3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26">
        <v>581.0</v>
      </c>
      <c r="B582" s="33"/>
      <c r="C582" s="26" t="s">
        <v>464</v>
      </c>
      <c r="D582" s="26" t="str">
        <f t="array" ref="D5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25AD123</v>
      </c>
      <c r="E582" s="32" t="str">
        <f t="array" ref="E5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MONISH R</v>
      </c>
      <c r="F582" s="26" t="str">
        <f t="array" ref="F5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2" s="26" t="str">
        <f t="array" ref="G5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82" s="26" t="str">
        <f t="array" ref="H582">IF(
MOD(ROW()-2,6)=0,
INDEX('Form Responses'!I:I,INT((ROW()-2)/6)+2),
"-- NA --"
)</f>
        <v>-- NA --</v>
      </c>
      <c r="I582" s="32" t="str">
        <f t="array" ref="I582">IF(
MOD(ROW()-2,6)=0,
INDEX('Form Responses'!J:J,INT((ROW()-2)/6)+2),
"-- NA --"
)</f>
        <v>-- NA --</v>
      </c>
      <c r="J582" s="3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26">
        <v>582.0</v>
      </c>
      <c r="B583" s="6"/>
      <c r="C583" s="26" t="s">
        <v>500</v>
      </c>
      <c r="D583" s="26" t="str">
        <f t="array" ref="D5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25EC011</v>
      </c>
      <c r="E583" s="32" t="str">
        <f t="array" ref="E5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AKSHAYA J</v>
      </c>
      <c r="F583" s="26" t="str">
        <f t="array" ref="F5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3" s="26" t="str">
        <f t="array" ref="G5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83" s="26" t="str">
        <f t="array" ref="H583">IF(
MOD(ROW()-2,6)=0,
INDEX('Form Responses'!I:I,INT((ROW()-2)/6)+2),
"-- NA --"
)</f>
        <v>-- NA --</v>
      </c>
      <c r="I583" s="32" t="str">
        <f t="array" ref="I583">IF(
MOD(ROW()-2,6)=0,
INDEX('Form Responses'!J:J,INT((ROW()-2)/6)+2),
"-- NA --"
)</f>
        <v>-- NA --</v>
      </c>
      <c r="J583" s="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26">
        <v>583.0</v>
      </c>
      <c r="B584" s="29" t="str">
        <f t="array" ref="B584">INDEX('Form Responses'!$C:$C,INT((ROW()-2)/6)+2)</f>
        <v>UNKNOWN</v>
      </c>
      <c r="C584" s="31" t="s">
        <v>140</v>
      </c>
      <c r="D584" s="26" t="str">
        <f t="array" ref="D5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25EC127</v>
      </c>
      <c r="E584" s="32" t="str">
        <f t="array" ref="E5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PRABAKARAN B</v>
      </c>
      <c r="F584" s="26" t="str">
        <f t="array" ref="F5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4" s="26" t="str">
        <f t="array" ref="G5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84" s="26">
        <f t="array" ref="H584">IF(
MOD(ROW()-2,6)=0,
INDEX('Form Responses'!I:I,INT((ROW()-2)/6)+2),
"-- NA --"
)</f>
        <v>6380347902</v>
      </c>
      <c r="I584" s="32" t="str">
        <f t="array" ref="I584">IF(
MOD(ROW()-2,6)=0,
INDEX('Form Responses'!J:J,INT((ROW()-2)/6)+2),
"-- NA --"
)</f>
        <v>prabakaran.b2025ece@sece.ac.in</v>
      </c>
      <c r="J584" s="29" t="str">
        <f t="array" ref="J584">INDEX('Form Responses'!$D:$D,INT((ROW()-2)/6)+2)</f>
        <v>Hardware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26">
        <v>584.0</v>
      </c>
      <c r="B585" s="33"/>
      <c r="C585" s="26" t="s">
        <v>282</v>
      </c>
      <c r="D585" s="26" t="str">
        <f t="array" ref="D5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25EC129</v>
      </c>
      <c r="E585" s="32" t="str">
        <f t="array" ref="E5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 PRAVEEN KUMAR</v>
      </c>
      <c r="F585" s="26" t="str">
        <f t="array" ref="F5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5" s="26" t="str">
        <f t="array" ref="G5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85" s="26" t="str">
        <f t="array" ref="H585">IF(
MOD(ROW()-2,6)=0,
INDEX('Form Responses'!I:I,INT((ROW()-2)/6)+2),
"-- NA --"
)</f>
        <v>-- NA --</v>
      </c>
      <c r="I585" s="32" t="str">
        <f t="array" ref="I585">IF(
MOD(ROW()-2,6)=0,
INDEX('Form Responses'!J:J,INT((ROW()-2)/6)+2),
"-- NA --"
)</f>
        <v>-- NA --</v>
      </c>
      <c r="J585" s="3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26">
        <v>585.0</v>
      </c>
      <c r="B586" s="33"/>
      <c r="C586" s="26" t="s">
        <v>385</v>
      </c>
      <c r="D586" s="26" t="str">
        <f t="array" ref="D5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25CS107</v>
      </c>
      <c r="E586" s="32" t="str">
        <f t="array" ref="E5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KISHORE R</v>
      </c>
      <c r="F586" s="26" t="str">
        <f t="array" ref="F5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6" s="26" t="str">
        <f t="array" ref="G5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86" s="26" t="str">
        <f t="array" ref="H586">IF(
MOD(ROW()-2,6)=0,
INDEX('Form Responses'!I:I,INT((ROW()-2)/6)+2),
"-- NA --"
)</f>
        <v>-- NA --</v>
      </c>
      <c r="I586" s="32" t="str">
        <f t="array" ref="I586">IF(
MOD(ROW()-2,6)=0,
INDEX('Form Responses'!J:J,INT((ROW()-2)/6)+2),
"-- NA --"
)</f>
        <v>-- NA --</v>
      </c>
      <c r="J586" s="3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26">
        <v>586.0</v>
      </c>
      <c r="B587" s="33"/>
      <c r="C587" s="26" t="s">
        <v>425</v>
      </c>
      <c r="D587" s="26" t="str">
        <f t="array" ref="D5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25EC115</v>
      </c>
      <c r="E587" s="32" t="str">
        <f t="array" ref="E5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NARKIS RAHINA A</v>
      </c>
      <c r="F587" s="26" t="str">
        <f t="array" ref="F5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7" s="26" t="str">
        <f t="array" ref="G5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587" s="26" t="str">
        <f t="array" ref="H587">IF(
MOD(ROW()-2,6)=0,
INDEX('Form Responses'!I:I,INT((ROW()-2)/6)+2),
"-- NA --"
)</f>
        <v>-- NA --</v>
      </c>
      <c r="I587" s="32" t="str">
        <f t="array" ref="I587">IF(
MOD(ROW()-2,6)=0,
INDEX('Form Responses'!J:J,INT((ROW()-2)/6)+2),
"-- NA --"
)</f>
        <v>-- NA --</v>
      </c>
      <c r="J587" s="3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26">
        <v>587.0</v>
      </c>
      <c r="B588" s="33"/>
      <c r="C588" s="26" t="s">
        <v>464</v>
      </c>
      <c r="D588" s="26" t="str">
        <f t="array" ref="D5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25CB024</v>
      </c>
      <c r="E588" s="32" t="str">
        <f t="array" ref="E5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KAVYANJALI P</v>
      </c>
      <c r="F588" s="26" t="str">
        <f t="array" ref="F5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8" s="26" t="str">
        <f t="array" ref="G5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88" s="26" t="str">
        <f t="array" ref="H588">IF(
MOD(ROW()-2,6)=0,
INDEX('Form Responses'!I:I,INT((ROW()-2)/6)+2),
"-- NA --"
)</f>
        <v>-- NA --</v>
      </c>
      <c r="I588" s="32" t="str">
        <f t="array" ref="I588">IF(
MOD(ROW()-2,6)=0,
INDEX('Form Responses'!J:J,INT((ROW()-2)/6)+2),
"-- NA --"
)</f>
        <v>-- NA --</v>
      </c>
      <c r="J588" s="3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26">
        <v>588.0</v>
      </c>
      <c r="B589" s="6"/>
      <c r="C589" s="26" t="s">
        <v>500</v>
      </c>
      <c r="D589" s="26" t="str">
        <f t="array" ref="D5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25AD236</v>
      </c>
      <c r="E589" s="32" t="str">
        <f t="array" ref="E5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VEERA DINESH D</v>
      </c>
      <c r="F589" s="26" t="str">
        <f t="array" ref="F5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89" s="26" t="str">
        <f t="array" ref="G5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89" s="26" t="str">
        <f t="array" ref="H589">IF(
MOD(ROW()-2,6)=0,
INDEX('Form Responses'!I:I,INT((ROW()-2)/6)+2),
"-- NA --"
)</f>
        <v>-- NA --</v>
      </c>
      <c r="I589" s="32" t="str">
        <f t="array" ref="I589">IF(
MOD(ROW()-2,6)=0,
INDEX('Form Responses'!J:J,INT((ROW()-2)/6)+2),
"-- NA --"
)</f>
        <v>-- NA --</v>
      </c>
      <c r="J589" s="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26">
        <v>589.0</v>
      </c>
      <c r="B590" s="29" t="str">
        <f t="array" ref="B590">INDEX('Form Responses'!$C:$C,INT((ROW()-2)/6)+2)</f>
        <v>HELIX</v>
      </c>
      <c r="C590" s="31" t="s">
        <v>140</v>
      </c>
      <c r="D590" s="26" t="str">
        <f t="array" ref="D5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25CS250</v>
      </c>
      <c r="E590" s="32" t="str">
        <f t="array" ref="E5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VITHULL M</v>
      </c>
      <c r="F590" s="26" t="str">
        <f t="array" ref="F5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0" s="26" t="str">
        <f t="array" ref="G5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90" s="26">
        <f t="array" ref="H590">IF(
MOD(ROW()-2,6)=0,
INDEX('Form Responses'!I:I,INT((ROW()-2)/6)+2),
"-- NA --"
)</f>
        <v>9626023872</v>
      </c>
      <c r="I590" s="32" t="str">
        <f t="array" ref="I590">IF(
MOD(ROW()-2,6)=0,
INDEX('Form Responses'!J:J,INT((ROW()-2)/6)+2),
"-- NA --"
)</f>
        <v>vithull.m2025cse@sece.ac.in</v>
      </c>
      <c r="J590" s="29" t="str">
        <f t="array" ref="J590">INDEX('Form Responses'!$D:$D,INT((ROW()-2)/6)+2)</f>
        <v>Software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26">
        <v>590.0</v>
      </c>
      <c r="B591" s="33"/>
      <c r="C591" s="26" t="s">
        <v>282</v>
      </c>
      <c r="D591" s="26" t="str">
        <f t="array" ref="D5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25CS230</v>
      </c>
      <c r="E591" s="32" t="str">
        <f t="array" ref="E5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K</v>
      </c>
      <c r="F591" s="26" t="str">
        <f t="array" ref="F5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1" s="26" t="str">
        <f t="array" ref="G5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91" s="26" t="str">
        <f t="array" ref="H591">IF(
MOD(ROW()-2,6)=0,
INDEX('Form Responses'!I:I,INT((ROW()-2)/6)+2),
"-- NA --"
)</f>
        <v>-- NA --</v>
      </c>
      <c r="I591" s="32" t="str">
        <f t="array" ref="I591">IF(
MOD(ROW()-2,6)=0,
INDEX('Form Responses'!J:J,INT((ROW()-2)/6)+2),
"-- NA --"
)</f>
        <v>-- NA --</v>
      </c>
      <c r="J591" s="3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26">
        <v>591.0</v>
      </c>
      <c r="B592" s="33"/>
      <c r="C592" s="26" t="s">
        <v>385</v>
      </c>
      <c r="D592" s="26" t="str">
        <f t="array" ref="D5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25CS244</v>
      </c>
      <c r="E592" s="32" t="str">
        <f t="array" ref="E5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VIBIN JOSHWA A</v>
      </c>
      <c r="F592" s="26" t="str">
        <f t="array" ref="F5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2" s="26" t="str">
        <f t="array" ref="G5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92" s="26" t="str">
        <f t="array" ref="H592">IF(
MOD(ROW()-2,6)=0,
INDEX('Form Responses'!I:I,INT((ROW()-2)/6)+2),
"-- NA --"
)</f>
        <v>-- NA --</v>
      </c>
      <c r="I592" s="32" t="str">
        <f t="array" ref="I592">IF(
MOD(ROW()-2,6)=0,
INDEX('Form Responses'!J:J,INT((ROW()-2)/6)+2),
"-- NA --"
)</f>
        <v>-- NA --</v>
      </c>
      <c r="J592" s="3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26">
        <v>592.0</v>
      </c>
      <c r="B593" s="33"/>
      <c r="C593" s="26" t="s">
        <v>425</v>
      </c>
      <c r="D593" s="26" t="str">
        <f t="array" ref="D5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25CS221</v>
      </c>
      <c r="E593" s="32" t="str">
        <f t="array" ref="E5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SRUTHI S</v>
      </c>
      <c r="F593" s="26" t="str">
        <f t="array" ref="F5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3" s="26" t="str">
        <f t="array" ref="G5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93" s="26" t="str">
        <f t="array" ref="H593">IF(
MOD(ROW()-2,6)=0,
INDEX('Form Responses'!I:I,INT((ROW()-2)/6)+2),
"-- NA --"
)</f>
        <v>-- NA --</v>
      </c>
      <c r="I593" s="32" t="str">
        <f t="array" ref="I593">IF(
MOD(ROW()-2,6)=0,
INDEX('Form Responses'!J:J,INT((ROW()-2)/6)+2),
"-- NA --"
)</f>
        <v>-- NA --</v>
      </c>
      <c r="J593" s="3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26">
        <v>593.0</v>
      </c>
      <c r="B594" s="33"/>
      <c r="C594" s="26" t="s">
        <v>464</v>
      </c>
      <c r="D594" s="26" t="str">
        <f t="array" ref="D5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25CS193</v>
      </c>
      <c r="E594" s="32" t="str">
        <f t="array" ref="E5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SAMRITHI AMJ</v>
      </c>
      <c r="F594" s="26" t="str">
        <f t="array" ref="F5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4" s="26" t="str">
        <f t="array" ref="G5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594" s="26" t="str">
        <f t="array" ref="H594">IF(
MOD(ROW()-2,6)=0,
INDEX('Form Responses'!I:I,INT((ROW()-2)/6)+2),
"-- NA --"
)</f>
        <v>-- NA --</v>
      </c>
      <c r="I594" s="32" t="str">
        <f t="array" ref="I594">IF(
MOD(ROW()-2,6)=0,
INDEX('Form Responses'!J:J,INT((ROW()-2)/6)+2),
"-- NA --"
)</f>
        <v>-- NA --</v>
      </c>
      <c r="J594" s="3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26">
        <v>594.0</v>
      </c>
      <c r="B595" s="6"/>
      <c r="C595" s="26" t="s">
        <v>500</v>
      </c>
      <c r="D595" s="26" t="str">
        <f t="array" ref="D5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25AD090</v>
      </c>
      <c r="E595" s="32" t="str">
        <f t="array" ref="E5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KANISKA VS</v>
      </c>
      <c r="F595" s="26" t="str">
        <f t="array" ref="F5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5" s="26" t="str">
        <f t="array" ref="G5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95" s="26" t="str">
        <f t="array" ref="H595">IF(
MOD(ROW()-2,6)=0,
INDEX('Form Responses'!I:I,INT((ROW()-2)/6)+2),
"-- NA --"
)</f>
        <v>-- NA --</v>
      </c>
      <c r="I595" s="32" t="str">
        <f t="array" ref="I595">IF(
MOD(ROW()-2,6)=0,
INDEX('Form Responses'!J:J,INT((ROW()-2)/6)+2),
"-- NA --"
)</f>
        <v>-- NA --</v>
      </c>
      <c r="J595" s="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26">
        <v>595.0</v>
      </c>
      <c r="B596" s="29" t="str">
        <f t="array" ref="B596">INDEX('Form Responses'!$C:$C,INT((ROW()-2)/6)+2)</f>
        <v>#FUTURE TECH</v>
      </c>
      <c r="C596" s="31" t="s">
        <v>140</v>
      </c>
      <c r="D596" s="26" t="str">
        <f t="array" ref="D5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25CB004</v>
      </c>
      <c r="E596" s="32" t="str">
        <f t="array" ref="E5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Azhagar S</v>
      </c>
      <c r="F596" s="26" t="str">
        <f t="array" ref="F5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6" s="26" t="str">
        <f t="array" ref="G5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596" s="26">
        <f t="array" ref="H596">IF(
MOD(ROW()-2,6)=0,
INDEX('Form Responses'!I:I,INT((ROW()-2)/6)+2),
"-- NA --"
)</f>
        <v>7708805902</v>
      </c>
      <c r="I596" s="32" t="str">
        <f t="array" ref="I596">IF(
MOD(ROW()-2,6)=0,
INDEX('Form Responses'!J:J,INT((ROW()-2)/6)+2),
"-- NA --"
)</f>
        <v>Azhagar.s2025csbs@sece.ac.in</v>
      </c>
      <c r="J596" s="29" t="str">
        <f t="array" ref="J596">INDEX('Form Responses'!$D:$D,INT((ROW()-2)/6)+2)</f>
        <v>Software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26">
        <v>596.0</v>
      </c>
      <c r="B597" s="33"/>
      <c r="C597" s="26" t="s">
        <v>282</v>
      </c>
      <c r="D597" s="26" t="str">
        <f t="array" ref="D5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25AD001 </v>
      </c>
      <c r="E597" s="32" t="str">
        <f t="array" ref="E5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AATHI A</v>
      </c>
      <c r="F597" s="26" t="str">
        <f t="array" ref="F5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7" s="26" t="str">
        <f t="array" ref="G5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97" s="26" t="str">
        <f t="array" ref="H597">IF(
MOD(ROW()-2,6)=0,
INDEX('Form Responses'!I:I,INT((ROW()-2)/6)+2),
"-- NA --"
)</f>
        <v>-- NA --</v>
      </c>
      <c r="I597" s="32" t="str">
        <f t="array" ref="I597">IF(
MOD(ROW()-2,6)=0,
INDEX('Form Responses'!J:J,INT((ROW()-2)/6)+2),
"-- NA --"
)</f>
        <v>-- NA --</v>
      </c>
      <c r="J597" s="3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26">
        <v>597.0</v>
      </c>
      <c r="B598" s="33"/>
      <c r="C598" s="26" t="s">
        <v>385</v>
      </c>
      <c r="D598" s="26" t="str">
        <f t="array" ref="D5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IC26BEL 0030</v>
      </c>
      <c r="E598" s="32" t="str">
        <f t="array" ref="E5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VASHMITHA S A</v>
      </c>
      <c r="F598" s="26" t="str">
        <f t="array" ref="F5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8" s="26" t="str">
        <f t="array" ref="G5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598" s="26" t="str">
        <f t="array" ref="H598">IF(
MOD(ROW()-2,6)=0,
INDEX('Form Responses'!I:I,INT((ROW()-2)/6)+2),
"-- NA --"
)</f>
        <v>-- NA --</v>
      </c>
      <c r="I598" s="32" t="str">
        <f t="array" ref="I598">IF(
MOD(ROW()-2,6)=0,
INDEX('Form Responses'!J:J,INT((ROW()-2)/6)+2),
"-- NA --"
)</f>
        <v>-- NA --</v>
      </c>
      <c r="J598" s="3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26">
        <v>598.0</v>
      </c>
      <c r="B599" s="33"/>
      <c r="C599" s="26" t="s">
        <v>425</v>
      </c>
      <c r="D599" s="26" t="str">
        <f t="array" ref="D5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25AD0153</v>
      </c>
      <c r="E599" s="32" t="str">
        <f t="array" ref="E5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PRASANTH P</v>
      </c>
      <c r="F599" s="26" t="str">
        <f t="array" ref="F5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599" s="26" t="str">
        <f t="array" ref="G5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599" s="26" t="str">
        <f t="array" ref="H599">IF(
MOD(ROW()-2,6)=0,
INDEX('Form Responses'!I:I,INT((ROW()-2)/6)+2),
"-- NA --"
)</f>
        <v>-- NA --</v>
      </c>
      <c r="I599" s="32" t="str">
        <f t="array" ref="I599">IF(
MOD(ROW()-2,6)=0,
INDEX('Form Responses'!J:J,INT((ROW()-2)/6)+2),
"-- NA --"
)</f>
        <v>-- NA --</v>
      </c>
      <c r="J599" s="3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26">
        <v>599.0</v>
      </c>
      <c r="B600" s="33"/>
      <c r="C600" s="26" t="s">
        <v>464</v>
      </c>
      <c r="D600" s="26" t="str">
        <f t="array" ref="D6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25EC045</v>
      </c>
      <c r="E600" s="32" t="str">
        <f t="array" ref="E6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EZHILARASI E</v>
      </c>
      <c r="F600" s="26" t="str">
        <f t="array" ref="F6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0" s="26" t="str">
        <f t="array" ref="G6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0" s="26" t="str">
        <f t="array" ref="H600">IF(
MOD(ROW()-2,6)=0,
INDEX('Form Responses'!I:I,INT((ROW()-2)/6)+2),
"-- NA --"
)</f>
        <v>-- NA --</v>
      </c>
      <c r="I600" s="32" t="str">
        <f t="array" ref="I600">IF(
MOD(ROW()-2,6)=0,
INDEX('Form Responses'!J:J,INT((ROW()-2)/6)+2),
"-- NA --"
)</f>
        <v>-- NA --</v>
      </c>
      <c r="J600" s="3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26">
        <v>600.0</v>
      </c>
      <c r="B601" s="6"/>
      <c r="C601" s="26" t="s">
        <v>500</v>
      </c>
      <c r="D601" s="26" t="str">
        <f t="array" ref="D6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25EC138</v>
      </c>
      <c r="E601" s="32" t="str">
        <f t="array" ref="E6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RISHVANAPARVEEN S</v>
      </c>
      <c r="F601" s="26" t="str">
        <f t="array" ref="F6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1" s="26" t="str">
        <f t="array" ref="G6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1" s="26" t="str">
        <f t="array" ref="H601">IF(
MOD(ROW()-2,6)=0,
INDEX('Form Responses'!I:I,INT((ROW()-2)/6)+2),
"-- NA --"
)</f>
        <v>-- NA --</v>
      </c>
      <c r="I601" s="32" t="str">
        <f t="array" ref="I601">IF(
MOD(ROW()-2,6)=0,
INDEX('Form Responses'!J:J,INT((ROW()-2)/6)+2),
"-- NA --"
)</f>
        <v>-- NA --</v>
      </c>
      <c r="J601" s="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26">
        <v>601.0</v>
      </c>
      <c r="B602" s="29" t="str">
        <f t="array" ref="B602">INDEX('Form Responses'!$C:$C,INT((ROW()-2)/6)+2)</f>
        <v>APEXTECH</v>
      </c>
      <c r="C602" s="31" t="s">
        <v>140</v>
      </c>
      <c r="D602" s="26" t="str">
        <f t="array" ref="D6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25AM074</v>
      </c>
      <c r="E602" s="32" t="str">
        <f t="array" ref="E6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RAJASHREE A</v>
      </c>
      <c r="F602" s="26" t="str">
        <f t="array" ref="F6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2" s="26" t="str">
        <f t="array" ref="G6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02" s="26">
        <f t="array" ref="H602">IF(
MOD(ROW()-2,6)=0,
INDEX('Form Responses'!I:I,INT((ROW()-2)/6)+2),
"-- NA --"
)</f>
        <v>7845087680</v>
      </c>
      <c r="I602" s="32" t="str">
        <f t="array" ref="I602">IF(
MOD(ROW()-2,6)=0,
INDEX('Form Responses'!J:J,INT((ROW()-2)/6)+2),
"-- NA --"
)</f>
        <v>rajashree.a2025aiml@sece.ac.in</v>
      </c>
      <c r="J602" s="29" t="str">
        <f t="array" ref="J602">INDEX('Form Responses'!$D:$D,INT((ROW()-2)/6)+2)</f>
        <v>Hardware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26">
        <v>602.0</v>
      </c>
      <c r="B603" s="33"/>
      <c r="C603" s="26" t="s">
        <v>282</v>
      </c>
      <c r="D603" s="26" t="str">
        <f t="array" ref="D6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25AM122</v>
      </c>
      <c r="E603" s="32" t="str">
        <f t="array" ref="E6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YOGAPRIYA S</v>
      </c>
      <c r="F603" s="26" t="str">
        <f t="array" ref="F6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3" s="26" t="str">
        <f t="array" ref="G6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03" s="26" t="str">
        <f t="array" ref="H603">IF(
MOD(ROW()-2,6)=0,
INDEX('Form Responses'!I:I,INT((ROW()-2)/6)+2),
"-- NA --"
)</f>
        <v>-- NA --</v>
      </c>
      <c r="I603" s="32" t="str">
        <f t="array" ref="I603">IF(
MOD(ROW()-2,6)=0,
INDEX('Form Responses'!J:J,INT((ROW()-2)/6)+2),
"-- NA --"
)</f>
        <v>-- NA --</v>
      </c>
      <c r="J603" s="3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26">
        <v>603.0</v>
      </c>
      <c r="B604" s="33"/>
      <c r="C604" s="26" t="s">
        <v>385</v>
      </c>
      <c r="D604" s="26" t="str">
        <f t="array" ref="D6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25AM094</v>
      </c>
      <c r="E604" s="32" t="str">
        <f t="array" ref="E6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SHAMRUTHA R P</v>
      </c>
      <c r="F604" s="26" t="str">
        <f t="array" ref="F6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4" s="26" t="str">
        <f t="array" ref="G6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04" s="26" t="str">
        <f t="array" ref="H604">IF(
MOD(ROW()-2,6)=0,
INDEX('Form Responses'!I:I,INT((ROW()-2)/6)+2),
"-- NA --"
)</f>
        <v>-- NA --</v>
      </c>
      <c r="I604" s="32" t="str">
        <f t="array" ref="I604">IF(
MOD(ROW()-2,6)=0,
INDEX('Form Responses'!J:J,INT((ROW()-2)/6)+2),
"-- NA --"
)</f>
        <v>-- NA --</v>
      </c>
      <c r="J604" s="3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26">
        <v>604.0</v>
      </c>
      <c r="B605" s="33"/>
      <c r="C605" s="26" t="s">
        <v>425</v>
      </c>
      <c r="D605" s="26" t="str">
        <f t="array" ref="D6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25AM126</v>
      </c>
      <c r="E605" s="32" t="str">
        <f t="array" ref="E6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YUVASRI S</v>
      </c>
      <c r="F605" s="26" t="str">
        <f t="array" ref="F6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5" s="26" t="str">
        <f t="array" ref="G6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05" s="26" t="str">
        <f t="array" ref="H605">IF(
MOD(ROW()-2,6)=0,
INDEX('Form Responses'!I:I,INT((ROW()-2)/6)+2),
"-- NA --"
)</f>
        <v>-- NA --</v>
      </c>
      <c r="I605" s="32" t="str">
        <f t="array" ref="I605">IF(
MOD(ROW()-2,6)=0,
INDEX('Form Responses'!J:J,INT((ROW()-2)/6)+2),
"-- NA --"
)</f>
        <v>-- NA --</v>
      </c>
      <c r="J605" s="3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26">
        <v>605.0</v>
      </c>
      <c r="B606" s="33"/>
      <c r="C606" s="26" t="s">
        <v>464</v>
      </c>
      <c r="D606" s="26" t="str">
        <f t="array" ref="D6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25EC131</v>
      </c>
      <c r="E606" s="32" t="str">
        <f t="array" ref="E6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PRITHIV D A</v>
      </c>
      <c r="F606" s="26" t="str">
        <f t="array" ref="F6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6" s="26" t="str">
        <f t="array" ref="G6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6" s="26" t="str">
        <f t="array" ref="H606">IF(
MOD(ROW()-2,6)=0,
INDEX('Form Responses'!I:I,INT((ROW()-2)/6)+2),
"-- NA --"
)</f>
        <v>-- NA --</v>
      </c>
      <c r="I606" s="32" t="str">
        <f t="array" ref="I606">IF(
MOD(ROW()-2,6)=0,
INDEX('Form Responses'!J:J,INT((ROW()-2)/6)+2),
"-- NA --"
)</f>
        <v>-- NA --</v>
      </c>
      <c r="J606" s="3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26">
        <v>606.0</v>
      </c>
      <c r="B607" s="6"/>
      <c r="C607" s="26" t="s">
        <v>500</v>
      </c>
      <c r="D607" s="26" t="str">
        <f t="array" ref="D6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25EC136</v>
      </c>
      <c r="E607" s="32" t="str">
        <f t="array" ref="E6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RANJAN P</v>
      </c>
      <c r="F607" s="26" t="str">
        <f t="array" ref="F6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7" s="26" t="str">
        <f t="array" ref="G6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7" s="26" t="str">
        <f t="array" ref="H607">IF(
MOD(ROW()-2,6)=0,
INDEX('Form Responses'!I:I,INT((ROW()-2)/6)+2),
"-- NA --"
)</f>
        <v>-- NA --</v>
      </c>
      <c r="I607" s="32" t="str">
        <f t="array" ref="I607">IF(
MOD(ROW()-2,6)=0,
INDEX('Form Responses'!J:J,INT((ROW()-2)/6)+2),
"-- NA --"
)</f>
        <v>-- NA --</v>
      </c>
      <c r="J607" s="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26">
        <v>607.0</v>
      </c>
      <c r="B608" s="29" t="str">
        <f t="array" ref="B608">INDEX('Form Responses'!$C:$C,INT((ROW()-2)/6)+2)</f>
        <v>Binary Brains</v>
      </c>
      <c r="C608" s="31" t="s">
        <v>140</v>
      </c>
      <c r="D608" s="26" t="str">
        <f t="array" ref="D6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25EC165</v>
      </c>
      <c r="E608" s="32" t="str">
        <f t="array" ref="E6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SUBASRI M</v>
      </c>
      <c r="F608" s="26" t="str">
        <f t="array" ref="F6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8" s="26" t="str">
        <f t="array" ref="G6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8" s="26">
        <f t="array" ref="H608">IF(
MOD(ROW()-2,6)=0,
INDEX('Form Responses'!I:I,INT((ROW()-2)/6)+2),
"-- NA --"
)</f>
        <v>9360793733</v>
      </c>
      <c r="I608" s="32" t="str">
        <f t="array" ref="I608">IF(
MOD(ROW()-2,6)=0,
INDEX('Form Responses'!J:J,INT((ROW()-2)/6)+2),
"-- NA --"
)</f>
        <v>subasri.m2025ece@sece.ac.in</v>
      </c>
      <c r="J608" s="29" t="str">
        <f t="array" ref="J608">INDEX('Form Responses'!$D:$D,INT((ROW()-2)/6)+2)</f>
        <v>Hardware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26">
        <v>608.0</v>
      </c>
      <c r="B609" s="33"/>
      <c r="C609" s="26" t="s">
        <v>282</v>
      </c>
      <c r="D609" s="26" t="str">
        <f t="array" ref="D6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25EC174</v>
      </c>
      <c r="E609" s="32" t="str">
        <f t="array" ref="E6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SWETHA SRI A</v>
      </c>
      <c r="F609" s="26" t="str">
        <f t="array" ref="F6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09" s="26" t="str">
        <f t="array" ref="G6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09" s="26" t="str">
        <f t="array" ref="H609">IF(
MOD(ROW()-2,6)=0,
INDEX('Form Responses'!I:I,INT((ROW()-2)/6)+2),
"-- NA --"
)</f>
        <v>-- NA --</v>
      </c>
      <c r="I609" s="32" t="str">
        <f t="array" ref="I609">IF(
MOD(ROW()-2,6)=0,
INDEX('Form Responses'!J:J,INT((ROW()-2)/6)+2),
"-- NA --"
)</f>
        <v>-- NA --</v>
      </c>
      <c r="J609" s="3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26">
        <v>609.0</v>
      </c>
      <c r="B610" s="33"/>
      <c r="C610" s="26" t="s">
        <v>385</v>
      </c>
      <c r="D610" s="26" t="str">
        <f t="array" ref="D6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25EC172</v>
      </c>
      <c r="E610" s="32" t="str">
        <f t="array" ref="E6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SUNIL ANBARASAN S</v>
      </c>
      <c r="F610" s="26" t="str">
        <f t="array" ref="F6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0" s="26" t="str">
        <f t="array" ref="G6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10" s="26" t="str">
        <f t="array" ref="H610">IF(
MOD(ROW()-2,6)=0,
INDEX('Form Responses'!I:I,INT((ROW()-2)/6)+2),
"-- NA --"
)</f>
        <v>-- NA --</v>
      </c>
      <c r="I610" s="32" t="str">
        <f t="array" ref="I610">IF(
MOD(ROW()-2,6)=0,
INDEX('Form Responses'!J:J,INT((ROW()-2)/6)+2),
"-- NA --"
)</f>
        <v>-- NA --</v>
      </c>
      <c r="J610" s="3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26">
        <v>610.0</v>
      </c>
      <c r="B611" s="33"/>
      <c r="C611" s="26" t="s">
        <v>425</v>
      </c>
      <c r="D611" s="26" t="str">
        <f t="array" ref="D6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25CS232</v>
      </c>
      <c r="E611" s="32" t="str">
        <f t="array" ref="E6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TAMILSELVAN S</v>
      </c>
      <c r="F611" s="26" t="str">
        <f t="array" ref="F6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1" s="26" t="str">
        <f t="array" ref="G6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11" s="26" t="str">
        <f t="array" ref="H611">IF(
MOD(ROW()-2,6)=0,
INDEX('Form Responses'!I:I,INT((ROW()-2)/6)+2),
"-- NA --"
)</f>
        <v>-- NA --</v>
      </c>
      <c r="I611" s="32" t="str">
        <f t="array" ref="I611">IF(
MOD(ROW()-2,6)=0,
INDEX('Form Responses'!J:J,INT((ROW()-2)/6)+2),
"-- NA --"
)</f>
        <v>-- NA --</v>
      </c>
      <c r="J611" s="3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26">
        <v>611.0</v>
      </c>
      <c r="B612" s="33"/>
      <c r="C612" s="26" t="s">
        <v>464</v>
      </c>
      <c r="D612" s="26" t="str">
        <f t="array" ref="D6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25CC008</v>
      </c>
      <c r="E612" s="32" t="str">
        <f t="array" ref="E6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EZHUMALAI M</v>
      </c>
      <c r="F612" s="26" t="str">
        <f t="array" ref="F6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2" s="26" t="str">
        <f t="array" ref="G6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612" s="26" t="str">
        <f t="array" ref="H612">IF(
MOD(ROW()-2,6)=0,
INDEX('Form Responses'!I:I,INT((ROW()-2)/6)+2),
"-- NA --"
)</f>
        <v>-- NA --</v>
      </c>
      <c r="I612" s="32" t="str">
        <f t="array" ref="I612">IF(
MOD(ROW()-2,6)=0,
INDEX('Form Responses'!J:J,INT((ROW()-2)/6)+2),
"-- NA --"
)</f>
        <v>-- NA --</v>
      </c>
      <c r="J612" s="3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26">
        <v>612.0</v>
      </c>
      <c r="B613" s="6"/>
      <c r="C613" s="26" t="s">
        <v>500</v>
      </c>
      <c r="D613" s="26" t="str">
        <f t="array" ref="D6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25CB034</v>
      </c>
      <c r="E613" s="32" t="str">
        <f t="array" ref="E6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NITHYASREE C</v>
      </c>
      <c r="F613" s="26" t="str">
        <f t="array" ref="F6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3" s="26" t="str">
        <f t="array" ref="G6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13" s="26" t="str">
        <f t="array" ref="H613">IF(
MOD(ROW()-2,6)=0,
INDEX('Form Responses'!I:I,INT((ROW()-2)/6)+2),
"-- NA --"
)</f>
        <v>-- NA --</v>
      </c>
      <c r="I613" s="32" t="str">
        <f t="array" ref="I613">IF(
MOD(ROW()-2,6)=0,
INDEX('Form Responses'!J:J,INT((ROW()-2)/6)+2),
"-- NA --"
)</f>
        <v>-- NA --</v>
      </c>
      <c r="J613" s="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26">
        <v>613.0</v>
      </c>
      <c r="B614" s="29" t="str">
        <f t="array" ref="B614">INDEX('Form Responses'!$C:$C,INT((ROW()-2)/6)+2)</f>
        <v>HexaNova</v>
      </c>
      <c r="C614" s="31" t="s">
        <v>140</v>
      </c>
      <c r="D614" s="26" t="str">
        <f t="array" ref="D6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25CS144</v>
      </c>
      <c r="E614" s="32" t="str">
        <f t="array" ref="E6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NANTHANA U</v>
      </c>
      <c r="F614" s="26" t="str">
        <f t="array" ref="F6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4" s="26" t="str">
        <f t="array" ref="G6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14" s="26">
        <f t="array" ref="H614">IF(
MOD(ROW()-2,6)=0,
INDEX('Form Responses'!I:I,INT((ROW()-2)/6)+2),
"-- NA --"
)</f>
        <v>7448846698</v>
      </c>
      <c r="I614" s="32" t="str">
        <f t="array" ref="I614">IF(
MOD(ROW()-2,6)=0,
INDEX('Form Responses'!J:J,INT((ROW()-2)/6)+2),
"-- NA --"
)</f>
        <v>nanthana.u2025cse@sece.ac.in</v>
      </c>
      <c r="J614" s="29" t="str">
        <f t="array" ref="J614">INDEX('Form Responses'!$D:$D,INT((ROW()-2)/6)+2)</f>
        <v>Hardware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26">
        <v>614.0</v>
      </c>
      <c r="B615" s="33"/>
      <c r="C615" s="26" t="s">
        <v>282</v>
      </c>
      <c r="D615" s="26" t="str">
        <f t="array" ref="D6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25CB050</v>
      </c>
      <c r="E615" s="32" t="str">
        <f t="array" ref="E6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SIBIANANTH M</v>
      </c>
      <c r="F615" s="26" t="str">
        <f t="array" ref="F6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5" s="26" t="str">
        <f t="array" ref="G6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15" s="26" t="str">
        <f t="array" ref="H615">IF(
MOD(ROW()-2,6)=0,
INDEX('Form Responses'!I:I,INT((ROW()-2)/6)+2),
"-- NA --"
)</f>
        <v>-- NA --</v>
      </c>
      <c r="I615" s="32" t="str">
        <f t="array" ref="I615">IF(
MOD(ROW()-2,6)=0,
INDEX('Form Responses'!J:J,INT((ROW()-2)/6)+2),
"-- NA --"
)</f>
        <v>-- NA --</v>
      </c>
      <c r="J615" s="3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26">
        <v>615.0</v>
      </c>
      <c r="B616" s="33"/>
      <c r="C616" s="26" t="s">
        <v>385</v>
      </c>
      <c r="D616" s="26" t="str">
        <f t="array" ref="D6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25EC140 </v>
      </c>
      <c r="E616" s="32" t="str">
        <f t="array" ref="E6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SADHANA SRI R K </v>
      </c>
      <c r="F616" s="26" t="str">
        <f t="array" ref="F6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6" s="26" t="str">
        <f t="array" ref="G6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16" s="26" t="str">
        <f t="array" ref="H616">IF(
MOD(ROW()-2,6)=0,
INDEX('Form Responses'!I:I,INT((ROW()-2)/6)+2),
"-- NA --"
)</f>
        <v>-- NA --</v>
      </c>
      <c r="I616" s="32" t="str">
        <f t="array" ref="I616">IF(
MOD(ROW()-2,6)=0,
INDEX('Form Responses'!J:J,INT((ROW()-2)/6)+2),
"-- NA --"
)</f>
        <v>-- NA --</v>
      </c>
      <c r="J616" s="3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26">
        <v>616.0</v>
      </c>
      <c r="B617" s="33"/>
      <c r="C617" s="26" t="s">
        <v>425</v>
      </c>
      <c r="D617" s="26" t="str">
        <f t="array" ref="D6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25CB143</v>
      </c>
      <c r="E617" s="32" t="str">
        <f t="array" ref="E6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D</v>
      </c>
      <c r="F617" s="26" t="str">
        <f t="array" ref="F6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7" s="26" t="str">
        <f t="array" ref="G6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17" s="26" t="str">
        <f t="array" ref="H617">IF(
MOD(ROW()-2,6)=0,
INDEX('Form Responses'!I:I,INT((ROW()-2)/6)+2),
"-- NA --"
)</f>
        <v>-- NA --</v>
      </c>
      <c r="I617" s="32" t="str">
        <f t="array" ref="I617">IF(
MOD(ROW()-2,6)=0,
INDEX('Form Responses'!J:J,INT((ROW()-2)/6)+2),
"-- NA --"
)</f>
        <v>-- NA --</v>
      </c>
      <c r="J617" s="3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26">
        <v>617.0</v>
      </c>
      <c r="B618" s="33"/>
      <c r="C618" s="26" t="s">
        <v>464</v>
      </c>
      <c r="D618" s="26" t="str">
        <f t="array" ref="D6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25CB030</v>
      </c>
      <c r="E618" s="32" t="str">
        <f t="array" ref="E6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MUHAMMAD RILWAAN SHEIKH R S</v>
      </c>
      <c r="F618" s="26" t="str">
        <f t="array" ref="F6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8" s="26" t="str">
        <f t="array" ref="G6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18" s="26" t="str">
        <f t="array" ref="H618">IF(
MOD(ROW()-2,6)=0,
INDEX('Form Responses'!I:I,INT((ROW()-2)/6)+2),
"-- NA --"
)</f>
        <v>-- NA --</v>
      </c>
      <c r="I618" s="32" t="str">
        <f t="array" ref="I618">IF(
MOD(ROW()-2,6)=0,
INDEX('Form Responses'!J:J,INT((ROW()-2)/6)+2),
"-- NA --"
)</f>
        <v>-- NA --</v>
      </c>
      <c r="J618" s="3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26">
        <v>618.0</v>
      </c>
      <c r="B619" s="6"/>
      <c r="C619" s="26" t="s">
        <v>500</v>
      </c>
      <c r="D619" s="26" t="str">
        <f t="array" ref="D6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25AM100</v>
      </c>
      <c r="E619" s="32" t="str">
        <f t="array" ref="E6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 SHANKARI S</v>
      </c>
      <c r="F619" s="26" t="str">
        <f t="array" ref="F6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19" s="26" t="str">
        <f t="array" ref="G6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19" s="26" t="str">
        <f t="array" ref="H619">IF(
MOD(ROW()-2,6)=0,
INDEX('Form Responses'!I:I,INT((ROW()-2)/6)+2),
"-- NA --"
)</f>
        <v>-- NA --</v>
      </c>
      <c r="I619" s="32" t="str">
        <f t="array" ref="I619">IF(
MOD(ROW()-2,6)=0,
INDEX('Form Responses'!J:J,INT((ROW()-2)/6)+2),
"-- NA --"
)</f>
        <v>-- NA --</v>
      </c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26">
        <v>619.0</v>
      </c>
      <c r="B620" s="29" t="str">
        <f t="array" ref="B620">INDEX('Form Responses'!$C:$C,INT((ROW()-2)/6)+2)</f>
        <v>VIYAAN</v>
      </c>
      <c r="C620" s="31" t="s">
        <v>140</v>
      </c>
      <c r="D620" s="26" t="str">
        <f t="array" ref="D6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25AD038</v>
      </c>
      <c r="E620" s="32" t="str">
        <f t="array" ref="E6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DHARSHA.R</v>
      </c>
      <c r="F620" s="26" t="str">
        <f t="array" ref="F6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0" s="26" t="str">
        <f t="array" ref="G6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0" s="26">
        <f t="array" ref="H620">IF(
MOD(ROW()-2,6)=0,
INDEX('Form Responses'!I:I,INT((ROW()-2)/6)+2),
"-- NA --"
)</f>
        <v>8122930316</v>
      </c>
      <c r="I620" s="32" t="str">
        <f t="array" ref="I620">IF(
MOD(ROW()-2,6)=0,
INDEX('Form Responses'!J:J,INT((ROW()-2)/6)+2),
"-- NA --"
)</f>
        <v>dharsha.r2025aids@sece.ac.in</v>
      </c>
      <c r="J620" s="29" t="str">
        <f t="array" ref="J620">INDEX('Form Responses'!$D:$D,INT((ROW()-2)/6)+2)</f>
        <v>Software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26">
        <v>620.0</v>
      </c>
      <c r="B621" s="33"/>
      <c r="C621" s="26" t="s">
        <v>282</v>
      </c>
      <c r="D621" s="26" t="str">
        <f t="array" ref="D6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25AD033</v>
      </c>
      <c r="E621" s="32" t="str">
        <f t="array" ref="E6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DEEPIKA.S</v>
      </c>
      <c r="F621" s="26" t="str">
        <f t="array" ref="F6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1" s="26" t="str">
        <f t="array" ref="G6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1" s="26" t="str">
        <f t="array" ref="H621">IF(
MOD(ROW()-2,6)=0,
INDEX('Form Responses'!I:I,INT((ROW()-2)/6)+2),
"-- NA --"
)</f>
        <v>-- NA --</v>
      </c>
      <c r="I621" s="32" t="str">
        <f t="array" ref="I621">IF(
MOD(ROW()-2,6)=0,
INDEX('Form Responses'!J:J,INT((ROW()-2)/6)+2),
"-- NA --"
)</f>
        <v>-- NA --</v>
      </c>
      <c r="J621" s="3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26">
        <v>621.0</v>
      </c>
      <c r="B622" s="33"/>
      <c r="C622" s="26" t="s">
        <v>385</v>
      </c>
      <c r="D622" s="26" t="str">
        <f t="array" ref="D6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25AD005</v>
      </c>
      <c r="E622" s="32" t="str">
        <f t="array" ref="E6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ADHIKESAVAN.S</v>
      </c>
      <c r="F622" s="26" t="str">
        <f t="array" ref="F6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2" s="26" t="str">
        <f t="array" ref="G6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2" s="26" t="str">
        <f t="array" ref="H622">IF(
MOD(ROW()-2,6)=0,
INDEX('Form Responses'!I:I,INT((ROW()-2)/6)+2),
"-- NA --"
)</f>
        <v>-- NA --</v>
      </c>
      <c r="I622" s="32" t="str">
        <f t="array" ref="I622">IF(
MOD(ROW()-2,6)=0,
INDEX('Form Responses'!J:J,INT((ROW()-2)/6)+2),
"-- NA --"
)</f>
        <v>-- NA --</v>
      </c>
      <c r="J622" s="3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26">
        <v>622.0</v>
      </c>
      <c r="B623" s="33"/>
      <c r="C623" s="26" t="s">
        <v>425</v>
      </c>
      <c r="D623" s="26" t="str">
        <f t="array" ref="D6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25AD006</v>
      </c>
      <c r="E623" s="32" t="str">
        <f t="array" ref="E6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AJAY.M</v>
      </c>
      <c r="F623" s="26" t="str">
        <f t="array" ref="F6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3" s="26" t="str">
        <f t="array" ref="G6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3" s="26" t="str">
        <f t="array" ref="H623">IF(
MOD(ROW()-2,6)=0,
INDEX('Form Responses'!I:I,INT((ROW()-2)/6)+2),
"-- NA --"
)</f>
        <v>-- NA --</v>
      </c>
      <c r="I623" s="32" t="str">
        <f t="array" ref="I623">IF(
MOD(ROW()-2,6)=0,
INDEX('Form Responses'!J:J,INT((ROW()-2)/6)+2),
"-- NA --"
)</f>
        <v>-- NA --</v>
      </c>
      <c r="J623" s="3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26">
        <v>623.0</v>
      </c>
      <c r="B624" s="33"/>
      <c r="C624" s="26" t="s">
        <v>464</v>
      </c>
      <c r="D624" s="26" t="str">
        <f t="array" ref="D6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25AD016</v>
      </c>
      <c r="E624" s="32" t="str">
        <f t="array" ref="E6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ASHVANTH.S</v>
      </c>
      <c r="F624" s="26" t="str">
        <f t="array" ref="F6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4" s="26" t="str">
        <f t="array" ref="G6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4" s="26" t="str">
        <f t="array" ref="H624">IF(
MOD(ROW()-2,6)=0,
INDEX('Form Responses'!I:I,INT((ROW()-2)/6)+2),
"-- NA --"
)</f>
        <v>-- NA --</v>
      </c>
      <c r="I624" s="32" t="str">
        <f t="array" ref="I624">IF(
MOD(ROW()-2,6)=0,
INDEX('Form Responses'!J:J,INT((ROW()-2)/6)+2),
"-- NA --"
)</f>
        <v>-- NA --</v>
      </c>
      <c r="J624" s="3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26">
        <v>624.0</v>
      </c>
      <c r="B625" s="6"/>
      <c r="C625" s="26" t="s">
        <v>500</v>
      </c>
      <c r="D625" s="26" t="str">
        <f t="array" ref="D6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25AD059</v>
      </c>
      <c r="E625" s="32" t="str">
        <f t="array" ref="E6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 PRASATH.K</v>
      </c>
      <c r="F625" s="26" t="str">
        <f t="array" ref="F6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5" s="26" t="str">
        <f t="array" ref="G6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25" s="26" t="str">
        <f t="array" ref="H625">IF(
MOD(ROW()-2,6)=0,
INDEX('Form Responses'!I:I,INT((ROW()-2)/6)+2),
"-- NA --"
)</f>
        <v>-- NA --</v>
      </c>
      <c r="I625" s="32" t="str">
        <f t="array" ref="I625">IF(
MOD(ROW()-2,6)=0,
INDEX('Form Responses'!J:J,INT((ROW()-2)/6)+2),
"-- NA --"
)</f>
        <v>-- NA --</v>
      </c>
      <c r="J625" s="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26">
        <v>625.0</v>
      </c>
      <c r="B626" s="29" t="str">
        <f t="array" ref="B626">INDEX('Form Responses'!$C:$C,INT((ROW()-2)/6)+2)</f>
        <v>NEXVORA</v>
      </c>
      <c r="C626" s="31" t="s">
        <v>140</v>
      </c>
      <c r="D626" s="26" t="str">
        <f t="array" ref="D6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25CS209</v>
      </c>
      <c r="E626" s="32" t="str">
        <f t="array" ref="E6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SHALINI B</v>
      </c>
      <c r="F626" s="26" t="str">
        <f t="array" ref="F6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6" s="26" t="str">
        <f t="array" ref="G6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26" s="26">
        <f t="array" ref="H626">IF(
MOD(ROW()-2,6)=0,
INDEX('Form Responses'!I:I,INT((ROW()-2)/6)+2),
"-- NA --"
)</f>
        <v>8870928660</v>
      </c>
      <c r="I626" s="32" t="str">
        <f t="array" ref="I626">IF(
MOD(ROW()-2,6)=0,
INDEX('Form Responses'!J:J,INT((ROW()-2)/6)+2),
"-- NA --"
)</f>
        <v>shalini.b2025cse@sece.ac.in</v>
      </c>
      <c r="J626" s="29" t="str">
        <f t="array" ref="J626">INDEX('Form Responses'!$D:$D,INT((ROW()-2)/6)+2)</f>
        <v>Hardware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26">
        <v>626.0</v>
      </c>
      <c r="B627" s="33"/>
      <c r="C627" s="26" t="s">
        <v>282</v>
      </c>
      <c r="D627" s="26" t="str">
        <f t="array" ref="D6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25IT031</v>
      </c>
      <c r="E627" s="32" t="str">
        <f t="array" ref="E6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SAABIQ S</v>
      </c>
      <c r="F627" s="26" t="str">
        <f t="array" ref="F6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7" s="26" t="str">
        <f t="array" ref="G6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27" s="26" t="str">
        <f t="array" ref="H627">IF(
MOD(ROW()-2,6)=0,
INDEX('Form Responses'!I:I,INT((ROW()-2)/6)+2),
"-- NA --"
)</f>
        <v>-- NA --</v>
      </c>
      <c r="I627" s="32" t="str">
        <f t="array" ref="I627">IF(
MOD(ROW()-2,6)=0,
INDEX('Form Responses'!J:J,INT((ROW()-2)/6)+2),
"-- NA --"
)</f>
        <v>-- NA --</v>
      </c>
      <c r="J627" s="3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26">
        <v>627.0</v>
      </c>
      <c r="B628" s="33"/>
      <c r="C628" s="26" t="s">
        <v>385</v>
      </c>
      <c r="D628" s="26" t="str">
        <f t="array" ref="D6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25IT035</v>
      </c>
      <c r="E628" s="32" t="str">
        <f t="array" ref="E6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NAVEESWARAN M</v>
      </c>
      <c r="F628" s="26" t="str">
        <f t="array" ref="F6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8" s="26" t="str">
        <f t="array" ref="G6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28" s="26" t="str">
        <f t="array" ref="H628">IF(
MOD(ROW()-2,6)=0,
INDEX('Form Responses'!I:I,INT((ROW()-2)/6)+2),
"-- NA --"
)</f>
        <v>-- NA --</v>
      </c>
      <c r="I628" s="32" t="str">
        <f t="array" ref="I628">IF(
MOD(ROW()-2,6)=0,
INDEX('Form Responses'!J:J,INT((ROW()-2)/6)+2),
"-- NA --"
)</f>
        <v>-- NA --</v>
      </c>
      <c r="J628" s="3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26">
        <v>628.0</v>
      </c>
      <c r="B629" s="33"/>
      <c r="C629" s="26" t="s">
        <v>425</v>
      </c>
      <c r="D629" s="26" t="str">
        <f t="array" ref="D6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25EC164</v>
      </c>
      <c r="E629" s="32" t="str">
        <f t="array" ref="E6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SUBAHARIPPRIYA P</v>
      </c>
      <c r="F629" s="26" t="str">
        <f t="array" ref="F6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29" s="26" t="str">
        <f t="array" ref="G6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29" s="26" t="str">
        <f t="array" ref="H629">IF(
MOD(ROW()-2,6)=0,
INDEX('Form Responses'!I:I,INT((ROW()-2)/6)+2),
"-- NA --"
)</f>
        <v>-- NA --</v>
      </c>
      <c r="I629" s="32" t="str">
        <f t="array" ref="I629">IF(
MOD(ROW()-2,6)=0,
INDEX('Form Responses'!J:J,INT((ROW()-2)/6)+2),
"-- NA --"
)</f>
        <v>-- NA --</v>
      </c>
      <c r="J629" s="3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26">
        <v>629.0</v>
      </c>
      <c r="B630" s="33"/>
      <c r="C630" s="26" t="s">
        <v>464</v>
      </c>
      <c r="D630" s="26" t="str">
        <f t="array" ref="D6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25EC157</v>
      </c>
      <c r="E630" s="32" t="str">
        <f t="array" ref="E6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SREEMUKI M S</v>
      </c>
      <c r="F630" s="26" t="str">
        <f t="array" ref="F6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0" s="26" t="str">
        <f t="array" ref="G6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30" s="26" t="str">
        <f t="array" ref="H630">IF(
MOD(ROW()-2,6)=0,
INDEX('Form Responses'!I:I,INT((ROW()-2)/6)+2),
"-- NA --"
)</f>
        <v>-- NA --</v>
      </c>
      <c r="I630" s="32" t="str">
        <f t="array" ref="I630">IF(
MOD(ROW()-2,6)=0,
INDEX('Form Responses'!J:J,INT((ROW()-2)/6)+2),
"-- NA --"
)</f>
        <v>-- NA --</v>
      </c>
      <c r="J630" s="3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26">
        <v>630.0</v>
      </c>
      <c r="B631" s="6"/>
      <c r="C631" s="26" t="s">
        <v>500</v>
      </c>
      <c r="D631" s="26" t="str">
        <f t="array" ref="D6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25EC043</v>
      </c>
      <c r="E631" s="32" t="str">
        <f t="array" ref="E6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DHARSNA S</v>
      </c>
      <c r="F631" s="26" t="str">
        <f t="array" ref="F6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1" s="26" t="str">
        <f t="array" ref="G6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31" s="26" t="str">
        <f t="array" ref="H631">IF(
MOD(ROW()-2,6)=0,
INDEX('Form Responses'!I:I,INT((ROW()-2)/6)+2),
"-- NA --"
)</f>
        <v>-- NA --</v>
      </c>
      <c r="I631" s="32" t="str">
        <f t="array" ref="I631">IF(
MOD(ROW()-2,6)=0,
INDEX('Form Responses'!J:J,INT((ROW()-2)/6)+2),
"-- NA --"
)</f>
        <v>-- NA --</v>
      </c>
      <c r="J631" s="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26">
        <v>631.0</v>
      </c>
      <c r="B632" s="29" t="str">
        <f t="array" ref="B632">INDEX('Form Responses'!$C:$C,INT((ROW()-2)/6)+2)</f>
        <v>MINDMESH</v>
      </c>
      <c r="C632" s="31" t="s">
        <v>140</v>
      </c>
      <c r="D632" s="26" t="str">
        <f t="array" ref="D6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25CS205</v>
      </c>
      <c r="E632" s="32" t="str">
        <f t="array" ref="E6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SARAVANAN R</v>
      </c>
      <c r="F632" s="26" t="str">
        <f t="array" ref="F6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2" s="26" t="str">
        <f t="array" ref="G6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2" s="26">
        <f t="array" ref="H632">IF(
MOD(ROW()-2,6)=0,
INDEX('Form Responses'!I:I,INT((ROW()-2)/6)+2),
"-- NA --"
)</f>
        <v>9123516532</v>
      </c>
      <c r="I632" s="32" t="str">
        <f t="array" ref="I632">IF(
MOD(ROW()-2,6)=0,
INDEX('Form Responses'!J:J,INT((ROW()-2)/6)+2),
"-- NA --"
)</f>
        <v>saravanan.r2025cse@sece.ac.in</v>
      </c>
      <c r="J632" s="29" t="str">
        <f t="array" ref="J632">INDEX('Form Responses'!$D:$D,INT((ROW()-2)/6)+2)</f>
        <v>Software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26">
        <v>632.0</v>
      </c>
      <c r="B633" s="33"/>
      <c r="C633" s="26" t="s">
        <v>282</v>
      </c>
      <c r="D633" s="26" t="str">
        <f t="array" ref="D6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25CS246</v>
      </c>
      <c r="E633" s="32" t="str">
        <f t="array" ref="E6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VIJAY KRISHNA S</v>
      </c>
      <c r="F633" s="26" t="str">
        <f t="array" ref="F6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3" s="26" t="str">
        <f t="array" ref="G6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3" s="26" t="str">
        <f t="array" ref="H633">IF(
MOD(ROW()-2,6)=0,
INDEX('Form Responses'!I:I,INT((ROW()-2)/6)+2),
"-- NA --"
)</f>
        <v>-- NA --</v>
      </c>
      <c r="I633" s="32" t="str">
        <f t="array" ref="I633">IF(
MOD(ROW()-2,6)=0,
INDEX('Form Responses'!J:J,INT((ROW()-2)/6)+2),
"-- NA --"
)</f>
        <v>-- NA --</v>
      </c>
      <c r="J633" s="3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26">
        <v>633.0</v>
      </c>
      <c r="B634" s="33"/>
      <c r="C634" s="26" t="s">
        <v>385</v>
      </c>
      <c r="D634" s="26" t="str">
        <f t="array" ref="D6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25AD216</v>
      </c>
      <c r="E634" s="32" t="str">
        <f t="array" ref="E6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SUVETHA S.P</v>
      </c>
      <c r="F634" s="26" t="str">
        <f t="array" ref="F6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4" s="26" t="str">
        <f t="array" ref="G6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34" s="26" t="str">
        <f t="array" ref="H634">IF(
MOD(ROW()-2,6)=0,
INDEX('Form Responses'!I:I,INT((ROW()-2)/6)+2),
"-- NA --"
)</f>
        <v>-- NA --</v>
      </c>
      <c r="I634" s="32" t="str">
        <f t="array" ref="I634">IF(
MOD(ROW()-2,6)=0,
INDEX('Form Responses'!J:J,INT((ROW()-2)/6)+2),
"-- NA --"
)</f>
        <v>-- NA --</v>
      </c>
      <c r="J634" s="3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26">
        <v>634.0</v>
      </c>
      <c r="B635" s="33"/>
      <c r="C635" s="26" t="s">
        <v>425</v>
      </c>
      <c r="D635" s="26" t="str">
        <f t="array" ref="D6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25CS038</v>
      </c>
      <c r="E635" s="32" t="str">
        <f t="array" ref="E6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 SRI G</v>
      </c>
      <c r="F635" s="26" t="str">
        <f t="array" ref="F6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5" s="26" t="str">
        <f t="array" ref="G6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5" s="26" t="str">
        <f t="array" ref="H635">IF(
MOD(ROW()-2,6)=0,
INDEX('Form Responses'!I:I,INT((ROW()-2)/6)+2),
"-- NA --"
)</f>
        <v>-- NA --</v>
      </c>
      <c r="I635" s="32" t="str">
        <f t="array" ref="I635">IF(
MOD(ROW()-2,6)=0,
INDEX('Form Responses'!J:J,INT((ROW()-2)/6)+2),
"-- NA --"
)</f>
        <v>-- NA --</v>
      </c>
      <c r="J635" s="3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26">
        <v>635.0</v>
      </c>
      <c r="B636" s="33"/>
      <c r="C636" s="26" t="s">
        <v>464</v>
      </c>
      <c r="D636" s="26" t="str">
        <f t="array" ref="D6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25CS040</v>
      </c>
      <c r="E636" s="32" t="str">
        <f t="array" ref="E6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DHARSHANA V</v>
      </c>
      <c r="F636" s="26" t="str">
        <f t="array" ref="F6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6" s="26" t="str">
        <f t="array" ref="G6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6" s="26" t="str">
        <f t="array" ref="H636">IF(
MOD(ROW()-2,6)=0,
INDEX('Form Responses'!I:I,INT((ROW()-2)/6)+2),
"-- NA --"
)</f>
        <v>-- NA --</v>
      </c>
      <c r="I636" s="32" t="str">
        <f t="array" ref="I636">IF(
MOD(ROW()-2,6)=0,
INDEX('Form Responses'!J:J,INT((ROW()-2)/6)+2),
"-- NA --"
)</f>
        <v>-- NA --</v>
      </c>
      <c r="J636" s="3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26">
        <v>636.0</v>
      </c>
      <c r="B637" s="6"/>
      <c r="C637" s="26" t="s">
        <v>500</v>
      </c>
      <c r="D637" s="26" t="str">
        <f t="array" ref="D6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25CS052</v>
      </c>
      <c r="E637" s="32" t="str">
        <f t="array" ref="E6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FAALIHA M</v>
      </c>
      <c r="F637" s="26" t="str">
        <f t="array" ref="F6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37" s="26" t="str">
        <f t="array" ref="G6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37" s="26" t="str">
        <f t="array" ref="H637">IF(
MOD(ROW()-2,6)=0,
INDEX('Form Responses'!I:I,INT((ROW()-2)/6)+2),
"-- NA --"
)</f>
        <v>-- NA --</v>
      </c>
      <c r="I637" s="32" t="str">
        <f t="array" ref="I637">IF(
MOD(ROW()-2,6)=0,
INDEX('Form Responses'!J:J,INT((ROW()-2)/6)+2),
"-- NA --"
)</f>
        <v>-- NA --</v>
      </c>
      <c r="J637" s="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26">
        <v>637.0</v>
      </c>
      <c r="B638" s="29" t="str">
        <f t="array" ref="B638">INDEX('Form Responses'!$C:$C,INT((ROW()-2)/6)+2)</f>
        <v>Sparking stars</v>
      </c>
      <c r="C638" s="31" t="s">
        <v>140</v>
      </c>
      <c r="D638" s="26" t="str">
        <f t="array" ref="D6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24CB037</v>
      </c>
      <c r="E638" s="32" t="str">
        <f t="array" ref="E6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 Karthik T</v>
      </c>
      <c r="F638" s="26" t="str">
        <f t="array" ref="F6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38" s="26" t="str">
        <f t="array" ref="G6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38" s="26">
        <f t="array" ref="H638">IF(
MOD(ROW()-2,6)=0,
INDEX('Form Responses'!I:I,INT((ROW()-2)/6)+2),
"-- NA --"
)</f>
        <v>9019938209</v>
      </c>
      <c r="I638" s="32" t="str">
        <f t="array" ref="I638">IF(
MOD(ROW()-2,6)=0,
INDEX('Form Responses'!J:J,INT((ROW()-2)/6)+2),
"-- NA --"
)</f>
        <v>ramkarthik.t2024csbs@sece.ac.in</v>
      </c>
      <c r="J638" s="29" t="str">
        <f t="array" ref="J638">INDEX('Form Responses'!$D:$D,INT((ROW()-2)/6)+2)</f>
        <v>Software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26">
        <v>638.0</v>
      </c>
      <c r="B639" s="33"/>
      <c r="C639" s="26" t="s">
        <v>282</v>
      </c>
      <c r="D639" s="26" t="str">
        <f t="array" ref="D6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24AD039</v>
      </c>
      <c r="E639" s="32" t="str">
        <f t="array" ref="E6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Dhaniskha V</v>
      </c>
      <c r="F639" s="26" t="str">
        <f t="array" ref="F6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39" s="26" t="str">
        <f t="array" ref="G6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39" s="26" t="str">
        <f t="array" ref="H639">IF(
MOD(ROW()-2,6)=0,
INDEX('Form Responses'!I:I,INT((ROW()-2)/6)+2),
"-- NA --"
)</f>
        <v>-- NA --</v>
      </c>
      <c r="I639" s="32" t="str">
        <f t="array" ref="I639">IF(
MOD(ROW()-2,6)=0,
INDEX('Form Responses'!J:J,INT((ROW()-2)/6)+2),
"-- NA --"
)</f>
        <v>-- NA --</v>
      </c>
      <c r="J639" s="3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26">
        <v>639.0</v>
      </c>
      <c r="B640" s="33"/>
      <c r="C640" s="26" t="s">
        <v>385</v>
      </c>
      <c r="D640" s="26" t="str">
        <f t="array" ref="D6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24CB0059</v>
      </c>
      <c r="E640" s="32" t="str">
        <f t="array" ref="E6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Prakash B</v>
      </c>
      <c r="F640" s="26" t="str">
        <f t="array" ref="F6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0" s="26" t="str">
        <f t="array" ref="G6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40" s="26" t="str">
        <f t="array" ref="H640">IF(
MOD(ROW()-2,6)=0,
INDEX('Form Responses'!I:I,INT((ROW()-2)/6)+2),
"-- NA --"
)</f>
        <v>-- NA --</v>
      </c>
      <c r="I640" s="32" t="str">
        <f t="array" ref="I640">IF(
MOD(ROW()-2,6)=0,
INDEX('Form Responses'!J:J,INT((ROW()-2)/6)+2),
"-- NA --"
)</f>
        <v>-- NA --</v>
      </c>
      <c r="J640" s="3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26">
        <v>640.0</v>
      </c>
      <c r="B641" s="33"/>
      <c r="C641" s="26" t="s">
        <v>425</v>
      </c>
      <c r="D641" s="26" t="str">
        <f t="array" ref="D6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24AD220</v>
      </c>
      <c r="E641" s="32" t="str">
        <f t="array" ref="E6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Sruthika Sri R</v>
      </c>
      <c r="F641" s="26" t="str">
        <f t="array" ref="F6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1" s="26" t="str">
        <f t="array" ref="G6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41" s="26" t="str">
        <f t="array" ref="H641">IF(
MOD(ROW()-2,6)=0,
INDEX('Form Responses'!I:I,INT((ROW()-2)/6)+2),
"-- NA --"
)</f>
        <v>-- NA --</v>
      </c>
      <c r="I641" s="32" t="str">
        <f t="array" ref="I641">IF(
MOD(ROW()-2,6)=0,
INDEX('Form Responses'!J:J,INT((ROW()-2)/6)+2),
"-- NA --"
)</f>
        <v>-- NA --</v>
      </c>
      <c r="J641" s="3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26">
        <v>641.0</v>
      </c>
      <c r="B642" s="33"/>
      <c r="C642" s="26" t="s">
        <v>464</v>
      </c>
      <c r="D642" s="26" t="str">
        <f t="array" ref="D6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24CB008</v>
      </c>
      <c r="E642" s="32" t="str">
        <f t="array" ref="E6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Deepak I</v>
      </c>
      <c r="F642" s="26" t="str">
        <f t="array" ref="F6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2" s="26" t="str">
        <f t="array" ref="G6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42" s="26" t="str">
        <f t="array" ref="H642">IF(
MOD(ROW()-2,6)=0,
INDEX('Form Responses'!I:I,INT((ROW()-2)/6)+2),
"-- NA --"
)</f>
        <v>-- NA --</v>
      </c>
      <c r="I642" s="32" t="str">
        <f t="array" ref="I642">IF(
MOD(ROW()-2,6)=0,
INDEX('Form Responses'!J:J,INT((ROW()-2)/6)+2),
"-- NA --"
)</f>
        <v>-- NA --</v>
      </c>
      <c r="J642" s="3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26">
        <v>642.0</v>
      </c>
      <c r="B643" s="6"/>
      <c r="C643" s="26" t="s">
        <v>500</v>
      </c>
      <c r="D643" s="26" t="str">
        <f t="array" ref="D6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24EC177</v>
      </c>
      <c r="E643" s="32" t="str">
        <f t="array" ref="E6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S</v>
      </c>
      <c r="F643" s="26" t="str">
        <f t="array" ref="F6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3" s="26" t="str">
        <f t="array" ref="G6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43" s="26" t="str">
        <f t="array" ref="H643">IF(
MOD(ROW()-2,6)=0,
INDEX('Form Responses'!I:I,INT((ROW()-2)/6)+2),
"-- NA --"
)</f>
        <v>-- NA --</v>
      </c>
      <c r="I643" s="32" t="str">
        <f t="array" ref="I643">IF(
MOD(ROW()-2,6)=0,
INDEX('Form Responses'!J:J,INT((ROW()-2)/6)+2),
"-- NA --"
)</f>
        <v>-- NA --</v>
      </c>
      <c r="J643" s="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26">
        <v>643.0</v>
      </c>
      <c r="B644" s="29" t="str">
        <f t="array" ref="B644">INDEX('Form Responses'!$C:$C,INT((ROW()-2)/6)+2)</f>
        <v>BitAura</v>
      </c>
      <c r="C644" s="31" t="s">
        <v>140</v>
      </c>
      <c r="D644" s="26" t="str">
        <f t="array" ref="D6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24AD237 </v>
      </c>
      <c r="E644" s="32" t="str">
        <f t="array" ref="E6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Tarun V </v>
      </c>
      <c r="F644" s="26" t="str">
        <f t="array" ref="F6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4" s="26" t="str">
        <f t="array" ref="G6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44" s="26">
        <f t="array" ref="H644">IF(
MOD(ROW()-2,6)=0,
INDEX('Form Responses'!I:I,INT((ROW()-2)/6)+2),
"-- NA --"
)</f>
        <v>9894242146</v>
      </c>
      <c r="I644" s="32" t="str">
        <f t="array" ref="I644">IF(
MOD(ROW()-2,6)=0,
INDEX('Form Responses'!J:J,INT((ROW()-2)/6)+2),
"-- NA --"
)</f>
        <v>tarun.v2024aids@sece.ac.in</v>
      </c>
      <c r="J644" s="29" t="str">
        <f t="array" ref="J644">INDEX('Form Responses'!$D:$D,INT((ROW()-2)/6)+2)</f>
        <v>Software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26">
        <v>644.0</v>
      </c>
      <c r="B645" s="33"/>
      <c r="C645" s="26" t="s">
        <v>282</v>
      </c>
      <c r="D645" s="26" t="str">
        <f t="array" ref="D6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24AD218 </v>
      </c>
      <c r="E645" s="32" t="str">
        <f t="array" ref="E6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Sriram M</v>
      </c>
      <c r="F645" s="26" t="str">
        <f t="array" ref="F6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5" s="26" t="str">
        <f t="array" ref="G6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45" s="26" t="str">
        <f t="array" ref="H645">IF(
MOD(ROW()-2,6)=0,
INDEX('Form Responses'!I:I,INT((ROW()-2)/6)+2),
"-- NA --"
)</f>
        <v>-- NA --</v>
      </c>
      <c r="I645" s="32" t="str">
        <f t="array" ref="I645">IF(
MOD(ROW()-2,6)=0,
INDEX('Form Responses'!J:J,INT((ROW()-2)/6)+2),
"-- NA --"
)</f>
        <v>-- NA --</v>
      </c>
      <c r="J645" s="3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26">
        <v>645.0</v>
      </c>
      <c r="B646" s="33"/>
      <c r="C646" s="26" t="s">
        <v>385</v>
      </c>
      <c r="D646" s="26" t="str">
        <f t="array" ref="D6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24AD231</v>
      </c>
      <c r="E646" s="32" t="str">
        <f t="array" ref="E6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P R</v>
      </c>
      <c r="F646" s="26" t="str">
        <f t="array" ref="F6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6" s="26" t="str">
        <f t="array" ref="G6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46" s="26" t="str">
        <f t="array" ref="H646">IF(
MOD(ROW()-2,6)=0,
INDEX('Form Responses'!I:I,INT((ROW()-2)/6)+2),
"-- NA --"
)</f>
        <v>-- NA --</v>
      </c>
      <c r="I646" s="32" t="str">
        <f t="array" ref="I646">IF(
MOD(ROW()-2,6)=0,
INDEX('Form Responses'!J:J,INT((ROW()-2)/6)+2),
"-- NA --"
)</f>
        <v>-- NA --</v>
      </c>
      <c r="J646" s="3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26">
        <v>646.0</v>
      </c>
      <c r="B647" s="33"/>
      <c r="C647" s="26" t="s">
        <v>425</v>
      </c>
      <c r="D647" s="26" t="str">
        <f t="array" ref="D6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24SY052</v>
      </c>
      <c r="E647" s="32" t="str">
        <f t="array" ref="E6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Sreejesh S</v>
      </c>
      <c r="F647" s="26" t="str">
        <f t="array" ref="F6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7" s="26" t="str">
        <f t="array" ref="G6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647" s="26" t="str">
        <f t="array" ref="H647">IF(
MOD(ROW()-2,6)=0,
INDEX('Form Responses'!I:I,INT((ROW()-2)/6)+2),
"-- NA --"
)</f>
        <v>-- NA --</v>
      </c>
      <c r="I647" s="32" t="str">
        <f t="array" ref="I647">IF(
MOD(ROW()-2,6)=0,
INDEX('Form Responses'!J:J,INT((ROW()-2)/6)+2),
"-- NA --"
)</f>
        <v>-- NA --</v>
      </c>
      <c r="J647" s="3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26">
        <v>647.0</v>
      </c>
      <c r="B648" s="33"/>
      <c r="C648" s="26" t="s">
        <v>464</v>
      </c>
      <c r="D648" s="26" t="str">
        <f t="array" ref="D6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24SY055</v>
      </c>
      <c r="E648" s="32" t="str">
        <f t="array" ref="E6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Sabari Doss R</v>
      </c>
      <c r="F648" s="26" t="str">
        <f t="array" ref="F6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8" s="26" t="str">
        <f t="array" ref="G6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648" s="26" t="str">
        <f t="array" ref="H648">IF(
MOD(ROW()-2,6)=0,
INDEX('Form Responses'!I:I,INT((ROW()-2)/6)+2),
"-- NA --"
)</f>
        <v>-- NA --</v>
      </c>
      <c r="I648" s="32" t="str">
        <f t="array" ref="I648">IF(
MOD(ROW()-2,6)=0,
INDEX('Form Responses'!J:J,INT((ROW()-2)/6)+2),
"-- NA --"
)</f>
        <v>-- NA --</v>
      </c>
      <c r="J648" s="3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26">
        <v>648.0</v>
      </c>
      <c r="B649" s="6"/>
      <c r="C649" s="26" t="s">
        <v>500</v>
      </c>
      <c r="D649" s="26" t="str">
        <f t="array" ref="D6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24CS023</v>
      </c>
      <c r="E649" s="32" t="str">
        <f t="array" ref="E6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Anumitha V</v>
      </c>
      <c r="F649" s="26" t="str">
        <f t="array" ref="F6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49" s="26" t="str">
        <f t="array" ref="G6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49" s="26" t="str">
        <f t="array" ref="H649">IF(
MOD(ROW()-2,6)=0,
INDEX('Form Responses'!I:I,INT((ROW()-2)/6)+2),
"-- NA --"
)</f>
        <v>-- NA --</v>
      </c>
      <c r="I649" s="32" t="str">
        <f t="array" ref="I649">IF(
MOD(ROW()-2,6)=0,
INDEX('Form Responses'!J:J,INT((ROW()-2)/6)+2),
"-- NA --"
)</f>
        <v>-- NA --</v>
      </c>
      <c r="J649" s="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26">
        <v>649.0</v>
      </c>
      <c r="B650" s="29" t="str">
        <f t="array" ref="B650">INDEX('Form Responses'!$C:$C,INT((ROW()-2)/6)+2)</f>
        <v>HexaMinds</v>
      </c>
      <c r="C650" s="31" t="s">
        <v>140</v>
      </c>
      <c r="D650" s="26" t="str">
        <f t="array" ref="D6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25AD026</v>
      </c>
      <c r="E650" s="32" t="str">
        <f t="array" ref="E6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BRAGALYA YAZHINI KM</v>
      </c>
      <c r="F650" s="26" t="str">
        <f t="array" ref="F6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0" s="26" t="str">
        <f t="array" ref="G6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0" s="26">
        <f t="array" ref="H650">IF(
MOD(ROW()-2,6)=0,
INDEX('Form Responses'!I:I,INT((ROW()-2)/6)+2),
"-- NA --"
)</f>
        <v>9080143282</v>
      </c>
      <c r="I650" s="32" t="str">
        <f t="array" ref="I650">IF(
MOD(ROW()-2,6)=0,
INDEX('Form Responses'!J:J,INT((ROW()-2)/6)+2),
"-- NA --"
)</f>
        <v>bragalyayazhini.km2025aids@sece.ac.in</v>
      </c>
      <c r="J650" s="29" t="str">
        <f t="array" ref="J650">INDEX('Form Responses'!$D:$D,INT((ROW()-2)/6)+2)</f>
        <v>Software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26">
        <v>650.0</v>
      </c>
      <c r="B651" s="33"/>
      <c r="C651" s="26" t="s">
        <v>282</v>
      </c>
      <c r="D651" s="26" t="str">
        <f t="array" ref="D6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25AD018</v>
      </c>
      <c r="E651" s="32" t="str">
        <f t="array" ref="E6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ASWATHY J</v>
      </c>
      <c r="F651" s="26" t="str">
        <f t="array" ref="F6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1" s="26" t="str">
        <f t="array" ref="G6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1" s="26" t="str">
        <f t="array" ref="H651">IF(
MOD(ROW()-2,6)=0,
INDEX('Form Responses'!I:I,INT((ROW()-2)/6)+2),
"-- NA --"
)</f>
        <v>-- NA --</v>
      </c>
      <c r="I651" s="32" t="str">
        <f t="array" ref="I651">IF(
MOD(ROW()-2,6)=0,
INDEX('Form Responses'!J:J,INT((ROW()-2)/6)+2),
"-- NA --"
)</f>
        <v>-- NA --</v>
      </c>
      <c r="J651" s="3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26">
        <v>651.0</v>
      </c>
      <c r="B652" s="33"/>
      <c r="C652" s="26" t="s">
        <v>385</v>
      </c>
      <c r="D652" s="26" t="str">
        <f t="array" ref="D6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25AD046</v>
      </c>
      <c r="E652" s="32" t="str">
        <f t="array" ref="E6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DIVYADHARANI T</v>
      </c>
      <c r="F652" s="26" t="str">
        <f t="array" ref="F6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2" s="26" t="str">
        <f t="array" ref="G6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2" s="26" t="str">
        <f t="array" ref="H652">IF(
MOD(ROW()-2,6)=0,
INDEX('Form Responses'!I:I,INT((ROW()-2)/6)+2),
"-- NA --"
)</f>
        <v>-- NA --</v>
      </c>
      <c r="I652" s="32" t="str">
        <f t="array" ref="I652">IF(
MOD(ROW()-2,6)=0,
INDEX('Form Responses'!J:J,INT((ROW()-2)/6)+2),
"-- NA --"
)</f>
        <v>-- NA --</v>
      </c>
      <c r="J652" s="3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26">
        <v>652.0</v>
      </c>
      <c r="B653" s="33"/>
      <c r="C653" s="26" t="s">
        <v>425</v>
      </c>
      <c r="D653" s="26" t="str">
        <f t="array" ref="D6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25AD047</v>
      </c>
      <c r="E653" s="32" t="str">
        <f t="array" ref="E6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DURAISAMY R</v>
      </c>
      <c r="F653" s="26" t="str">
        <f t="array" ref="F6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3" s="26" t="str">
        <f t="array" ref="G6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3" s="26" t="str">
        <f t="array" ref="H653">IF(
MOD(ROW()-2,6)=0,
INDEX('Form Responses'!I:I,INT((ROW()-2)/6)+2),
"-- NA --"
)</f>
        <v>-- NA --</v>
      </c>
      <c r="I653" s="32" t="str">
        <f t="array" ref="I653">IF(
MOD(ROW()-2,6)=0,
INDEX('Form Responses'!J:J,INT((ROW()-2)/6)+2),
"-- NA --"
)</f>
        <v>-- NA --</v>
      </c>
      <c r="J653" s="3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26">
        <v>653.0</v>
      </c>
      <c r="B654" s="33"/>
      <c r="C654" s="26" t="s">
        <v>464</v>
      </c>
      <c r="D654" s="26" t="str">
        <f t="array" ref="D6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25AD048</v>
      </c>
      <c r="E654" s="32" t="str">
        <f t="array" ref="E6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DURGASRI R V</v>
      </c>
      <c r="F654" s="26" t="str">
        <f t="array" ref="F6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4" s="26" t="str">
        <f t="array" ref="G6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4" s="26" t="str">
        <f t="array" ref="H654">IF(
MOD(ROW()-2,6)=0,
INDEX('Form Responses'!I:I,INT((ROW()-2)/6)+2),
"-- NA --"
)</f>
        <v>-- NA --</v>
      </c>
      <c r="I654" s="32" t="str">
        <f t="array" ref="I654">IF(
MOD(ROW()-2,6)=0,
INDEX('Form Responses'!J:J,INT((ROW()-2)/6)+2),
"-- NA --"
)</f>
        <v>-- NA --</v>
      </c>
      <c r="J654" s="3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26">
        <v>654.0</v>
      </c>
      <c r="B655" s="6"/>
      <c r="C655" s="26" t="s">
        <v>500</v>
      </c>
      <c r="D655" s="26" t="str">
        <f t="array" ref="D6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25AD063</v>
      </c>
      <c r="E655" s="32" t="str">
        <f t="array" ref="E6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S</v>
      </c>
      <c r="F655" s="26" t="str">
        <f t="array" ref="F6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55" s="26" t="str">
        <f t="array" ref="G6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55" s="26" t="str">
        <f t="array" ref="H655">IF(
MOD(ROW()-2,6)=0,
INDEX('Form Responses'!I:I,INT((ROW()-2)/6)+2),
"-- NA --"
)</f>
        <v>-- NA --</v>
      </c>
      <c r="I655" s="32" t="str">
        <f t="array" ref="I655">IF(
MOD(ROW()-2,6)=0,
INDEX('Form Responses'!J:J,INT((ROW()-2)/6)+2),
"-- NA --"
)</f>
        <v>-- NA --</v>
      </c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26">
        <v>655.0</v>
      </c>
      <c r="B656" s="29" t="str">
        <f t="array" ref="B656">INDEX('Form Responses'!$C:$C,INT((ROW()-2)/6)+2)</f>
        <v>COOL CREW</v>
      </c>
      <c r="C656" s="31" t="s">
        <v>140</v>
      </c>
      <c r="D656" s="26" t="str">
        <f t="array" ref="D6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24CB023</v>
      </c>
      <c r="E656" s="32" t="str">
        <f t="array" ref="E6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 V R</v>
      </c>
      <c r="F656" s="26" t="str">
        <f t="array" ref="F6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56" s="26" t="str">
        <f t="array" ref="G6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56" s="26">
        <f t="array" ref="H656">IF(
MOD(ROW()-2,6)=0,
INDEX('Form Responses'!I:I,INT((ROW()-2)/6)+2),
"-- NA --"
)</f>
        <v>7904469199</v>
      </c>
      <c r="I656" s="32" t="str">
        <f t="array" ref="I656">IF(
MOD(ROW()-2,6)=0,
INDEX('Form Responses'!J:J,INT((ROW()-2)/6)+2),
"-- NA --"
)</f>
        <v>keerthi.rv2024csbs@sece.ac.in</v>
      </c>
      <c r="J656" s="29" t="str">
        <f t="array" ref="J656">INDEX('Form Responses'!$D:$D,INT((ROW()-2)/6)+2)</f>
        <v>Hardware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26">
        <v>656.0</v>
      </c>
      <c r="B657" s="33"/>
      <c r="C657" s="26" t="s">
        <v>282</v>
      </c>
      <c r="D657" s="26" t="str">
        <f t="array" ref="D6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24CS213</v>
      </c>
      <c r="E657" s="32" t="str">
        <f t="array" ref="E6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RAM S</v>
      </c>
      <c r="F657" s="26" t="str">
        <f t="array" ref="F6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57" s="26" t="str">
        <f t="array" ref="G6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57" s="26" t="str">
        <f t="array" ref="H657">IF(
MOD(ROW()-2,6)=0,
INDEX('Form Responses'!I:I,INT((ROW()-2)/6)+2),
"-- NA --"
)</f>
        <v>-- NA --</v>
      </c>
      <c r="I657" s="32" t="str">
        <f t="array" ref="I657">IF(
MOD(ROW()-2,6)=0,
INDEX('Form Responses'!J:J,INT((ROW()-2)/6)+2),
"-- NA --"
)</f>
        <v>-- NA --</v>
      </c>
      <c r="J657" s="3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26">
        <v>657.0</v>
      </c>
      <c r="B658" s="33"/>
      <c r="C658" s="26" t="s">
        <v>385</v>
      </c>
      <c r="D658" s="26" t="str">
        <f t="array" ref="D6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24CS243</v>
      </c>
      <c r="E658" s="32" t="str">
        <f t="array" ref="E6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SUJITH M S</v>
      </c>
      <c r="F658" s="26" t="str">
        <f t="array" ref="F6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58" s="26" t="str">
        <f t="array" ref="G6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58" s="26" t="str">
        <f t="array" ref="H658">IF(
MOD(ROW()-2,6)=0,
INDEX('Form Responses'!I:I,INT((ROW()-2)/6)+2),
"-- NA --"
)</f>
        <v>-- NA --</v>
      </c>
      <c r="I658" s="32" t="str">
        <f t="array" ref="I658">IF(
MOD(ROW()-2,6)=0,
INDEX('Form Responses'!J:J,INT((ROW()-2)/6)+2),
"-- NA --"
)</f>
        <v>-- NA --</v>
      </c>
      <c r="J658" s="3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26">
        <v>658.0</v>
      </c>
      <c r="B659" s="33"/>
      <c r="C659" s="26" t="s">
        <v>425</v>
      </c>
      <c r="D659" s="26" t="str">
        <f t="array" ref="D6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24EC114</v>
      </c>
      <c r="E659" s="32" t="str">
        <f t="array" ref="E6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PRAJEEN S</v>
      </c>
      <c r="F659" s="26" t="str">
        <f t="array" ref="F6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59" s="26" t="str">
        <f t="array" ref="G6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59" s="26" t="str">
        <f t="array" ref="H659">IF(
MOD(ROW()-2,6)=0,
INDEX('Form Responses'!I:I,INT((ROW()-2)/6)+2),
"-- NA --"
)</f>
        <v>-- NA --</v>
      </c>
      <c r="I659" s="32" t="str">
        <f t="array" ref="I659">IF(
MOD(ROW()-2,6)=0,
INDEX('Form Responses'!J:J,INT((ROW()-2)/6)+2),
"-- NA --"
)</f>
        <v>-- NA --</v>
      </c>
      <c r="J659" s="3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26">
        <v>659.0</v>
      </c>
      <c r="B660" s="33"/>
      <c r="C660" s="26" t="s">
        <v>464</v>
      </c>
      <c r="D660" s="26" t="str">
        <f t="array" ref="D6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24AM035</v>
      </c>
      <c r="E660" s="32" t="str">
        <f t="array" ref="E6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M</v>
      </c>
      <c r="F660" s="26" t="str">
        <f t="array" ref="F6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0" s="26" t="str">
        <f t="array" ref="G6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60" s="26" t="str">
        <f t="array" ref="H660">IF(
MOD(ROW()-2,6)=0,
INDEX('Form Responses'!I:I,INT((ROW()-2)/6)+2),
"-- NA --"
)</f>
        <v>-- NA --</v>
      </c>
      <c r="I660" s="32" t="str">
        <f t="array" ref="I660">IF(
MOD(ROW()-2,6)=0,
INDEX('Form Responses'!J:J,INT((ROW()-2)/6)+2),
"-- NA --"
)</f>
        <v>-- NA --</v>
      </c>
      <c r="J660" s="3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26">
        <v>660.0</v>
      </c>
      <c r="B661" s="6"/>
      <c r="C661" s="26" t="s">
        <v>500</v>
      </c>
      <c r="D661" s="26" t="str">
        <f t="array" ref="D6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24IT012</v>
      </c>
      <c r="E661" s="32" t="str">
        <f t="array" ref="E6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DIVAKAR G S</v>
      </c>
      <c r="F661" s="26" t="str">
        <f t="array" ref="F6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1" s="26" t="str">
        <f t="array" ref="G6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61" s="26" t="str">
        <f t="array" ref="H661">IF(
MOD(ROW()-2,6)=0,
INDEX('Form Responses'!I:I,INT((ROW()-2)/6)+2),
"-- NA --"
)</f>
        <v>-- NA --</v>
      </c>
      <c r="I661" s="32" t="str">
        <f t="array" ref="I661">IF(
MOD(ROW()-2,6)=0,
INDEX('Form Responses'!J:J,INT((ROW()-2)/6)+2),
"-- NA --"
)</f>
        <v>-- NA --</v>
      </c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26">
        <v>661.0</v>
      </c>
      <c r="B662" s="29" t="str">
        <f t="array" ref="B662">INDEX('Form Responses'!$C:$C,INT((ROW()-2)/6)+2)</f>
        <v>INNOVATE X</v>
      </c>
      <c r="C662" s="31" t="s">
        <v>140</v>
      </c>
      <c r="D662" s="26" t="str">
        <f t="array" ref="D6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24CS194</v>
      </c>
      <c r="E662" s="32" t="str">
        <f t="array" ref="E6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RETHINAVEL SK</v>
      </c>
      <c r="F662" s="26" t="str">
        <f t="array" ref="F6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2" s="26" t="str">
        <f t="array" ref="G6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2" s="26">
        <f t="array" ref="H662">IF(
MOD(ROW()-2,6)=0,
INDEX('Form Responses'!I:I,INT((ROW()-2)/6)+2),
"-- NA --"
)</f>
        <v>8807492829</v>
      </c>
      <c r="I662" s="32" t="str">
        <f t="array" ref="I662">IF(
MOD(ROW()-2,6)=0,
INDEX('Form Responses'!J:J,INT((ROW()-2)/6)+2),
"-- NA --"
)</f>
        <v>rethinavel.sk2024cse@sece.ac.in </v>
      </c>
      <c r="J662" s="29" t="str">
        <f t="array" ref="J662">INDEX('Form Responses'!$D:$D,INT((ROW()-2)/6)+2)</f>
        <v>Software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26">
        <v>662.0</v>
      </c>
      <c r="B663" s="33"/>
      <c r="C663" s="26" t="s">
        <v>282</v>
      </c>
      <c r="D663" s="26" t="str">
        <f t="array" ref="D6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24CS143</v>
      </c>
      <c r="E663" s="32" t="str">
        <f t="array" ref="E6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MUBAARAK M</v>
      </c>
      <c r="F663" s="26" t="str">
        <f t="array" ref="F6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3" s="26" t="str">
        <f t="array" ref="G6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3" s="26" t="str">
        <f t="array" ref="H663">IF(
MOD(ROW()-2,6)=0,
INDEX('Form Responses'!I:I,INT((ROW()-2)/6)+2),
"-- NA --"
)</f>
        <v>-- NA --</v>
      </c>
      <c r="I663" s="32" t="str">
        <f t="array" ref="I663">IF(
MOD(ROW()-2,6)=0,
INDEX('Form Responses'!J:J,INT((ROW()-2)/6)+2),
"-- NA --"
)</f>
        <v>-- NA --</v>
      </c>
      <c r="J663" s="3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26">
        <v>663.0</v>
      </c>
      <c r="B664" s="33"/>
      <c r="C664" s="26" t="s">
        <v>385</v>
      </c>
      <c r="D664" s="26" t="str">
        <f t="array" ref="D6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24CS152</v>
      </c>
      <c r="E664" s="32" t="str">
        <f t="array" ref="E6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 	 NAVEENKUMAR G</v>
      </c>
      <c r="F664" s="26" t="str">
        <f t="array" ref="F6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4" s="26" t="str">
        <f t="array" ref="G6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4" s="26" t="str">
        <f t="array" ref="H664">IF(
MOD(ROW()-2,6)=0,
INDEX('Form Responses'!I:I,INT((ROW()-2)/6)+2),
"-- NA --"
)</f>
        <v>-- NA --</v>
      </c>
      <c r="I664" s="32" t="str">
        <f t="array" ref="I664">IF(
MOD(ROW()-2,6)=0,
INDEX('Form Responses'!J:J,INT((ROW()-2)/6)+2),
"-- NA --"
)</f>
        <v>-- NA --</v>
      </c>
      <c r="J664" s="3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26">
        <v>664.0</v>
      </c>
      <c r="B665" s="33"/>
      <c r="C665" s="26" t="s">
        <v>425</v>
      </c>
      <c r="D665" s="26" t="str">
        <f t="array" ref="D6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24CS172</v>
      </c>
      <c r="E665" s="32" t="str">
        <f t="array" ref="E6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POOJASHREE S</v>
      </c>
      <c r="F665" s="26" t="str">
        <f t="array" ref="F6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5" s="26" t="str">
        <f t="array" ref="G6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5" s="26" t="str">
        <f t="array" ref="H665">IF(
MOD(ROW()-2,6)=0,
INDEX('Form Responses'!I:I,INT((ROW()-2)/6)+2),
"-- NA --"
)</f>
        <v>-- NA --</v>
      </c>
      <c r="I665" s="32" t="str">
        <f t="array" ref="I665">IF(
MOD(ROW()-2,6)=0,
INDEX('Form Responses'!J:J,INT((ROW()-2)/6)+2),
"-- NA --"
)</f>
        <v>-- NA --</v>
      </c>
      <c r="J665" s="3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26">
        <v>665.0</v>
      </c>
      <c r="B666" s="33"/>
      <c r="C666" s="26" t="s">
        <v>464</v>
      </c>
      <c r="D666" s="26" t="str">
        <f t="array" ref="D6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24CS197</v>
      </c>
      <c r="E666" s="32" t="str">
        <f t="array" ref="E6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RITHIKA VI</v>
      </c>
      <c r="F666" s="26" t="str">
        <f t="array" ref="F6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6" s="26" t="str">
        <f t="array" ref="G6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6" s="26" t="str">
        <f t="array" ref="H666">IF(
MOD(ROW()-2,6)=0,
INDEX('Form Responses'!I:I,INT((ROW()-2)/6)+2),
"-- NA --"
)</f>
        <v>-- NA --</v>
      </c>
      <c r="I666" s="32" t="str">
        <f t="array" ref="I666">IF(
MOD(ROW()-2,6)=0,
INDEX('Form Responses'!J:J,INT((ROW()-2)/6)+2),
"-- NA --"
)</f>
        <v>-- NA --</v>
      </c>
      <c r="J666" s="3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26">
        <v>666.0</v>
      </c>
      <c r="B667" s="6"/>
      <c r="C667" s="26" t="s">
        <v>500</v>
      </c>
      <c r="D667" s="26" t="str">
        <f t="array" ref="D6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24EC151</v>
      </c>
      <c r="E667" s="32" t="str">
        <f t="array" ref="E6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SHARUK SULTHAN M</v>
      </c>
      <c r="F667" s="26" t="str">
        <f t="array" ref="F6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7" s="26" t="str">
        <f t="array" ref="G6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67" s="26" t="str">
        <f t="array" ref="H667">IF(
MOD(ROW()-2,6)=0,
INDEX('Form Responses'!I:I,INT((ROW()-2)/6)+2),
"-- NA --"
)</f>
        <v>-- NA --</v>
      </c>
      <c r="I667" s="32" t="str">
        <f t="array" ref="I667">IF(
MOD(ROW()-2,6)=0,
INDEX('Form Responses'!J:J,INT((ROW()-2)/6)+2),
"-- NA --"
)</f>
        <v>-- NA --</v>
      </c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26">
        <v>667.0</v>
      </c>
      <c r="B668" s="29" t="str">
        <f t="array" ref="B668">INDEX('Form Responses'!$C:$C,INT((ROW()-2)/6)+2)</f>
        <v>ZAPHIRE</v>
      </c>
      <c r="C668" s="31" t="s">
        <v>140</v>
      </c>
      <c r="D668" s="26" t="str">
        <f t="array" ref="D6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24CS089</v>
      </c>
      <c r="E668" s="32" t="str">
        <f t="array" ref="E6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JAIANISH J</v>
      </c>
      <c r="F668" s="26" t="str">
        <f t="array" ref="F6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8" s="26" t="str">
        <f t="array" ref="G6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8" s="26">
        <f t="array" ref="H668">IF(
MOD(ROW()-2,6)=0,
INDEX('Form Responses'!I:I,INT((ROW()-2)/6)+2),
"-- NA --"
)</f>
        <v>9384163113</v>
      </c>
      <c r="I668" s="32" t="str">
        <f t="array" ref="I668">IF(
MOD(ROW()-2,6)=0,
INDEX('Form Responses'!J:J,INT((ROW()-2)/6)+2),
"-- NA --"
)</f>
        <v> jaianish.j2024cse@sece.ac.in </v>
      </c>
      <c r="J668" s="29" t="str">
        <f t="array" ref="J668">INDEX('Form Responses'!$D:$D,INT((ROW()-2)/6)+2)</f>
        <v>Software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26">
        <v>668.0</v>
      </c>
      <c r="B669" s="33"/>
      <c r="C669" s="26" t="s">
        <v>282</v>
      </c>
      <c r="D669" s="26" t="str">
        <f t="array" ref="D6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24CS119</v>
      </c>
      <c r="E669" s="32" t="str">
        <f t="array" ref="E6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KOWSALYA V</v>
      </c>
      <c r="F669" s="26" t="str">
        <f t="array" ref="F6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69" s="26" t="str">
        <f t="array" ref="G6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69" s="26" t="str">
        <f t="array" ref="H669">IF(
MOD(ROW()-2,6)=0,
INDEX('Form Responses'!I:I,INT((ROW()-2)/6)+2),
"-- NA --"
)</f>
        <v>-- NA --</v>
      </c>
      <c r="I669" s="32" t="str">
        <f t="array" ref="I669">IF(
MOD(ROW()-2,6)=0,
INDEX('Form Responses'!J:J,INT((ROW()-2)/6)+2),
"-- NA --"
)</f>
        <v>-- NA --</v>
      </c>
      <c r="J669" s="3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26">
        <v>669.0</v>
      </c>
      <c r="B670" s="33"/>
      <c r="C670" s="26" t="s">
        <v>385</v>
      </c>
      <c r="D670" s="26" t="str">
        <f t="array" ref="D6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24CS114</v>
      </c>
      <c r="E670" s="32" t="str">
        <f t="array" ref="E6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KAVYASRI D</v>
      </c>
      <c r="F670" s="26" t="str">
        <f t="array" ref="F6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0" s="26" t="str">
        <f t="array" ref="G6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70" s="26" t="str">
        <f t="array" ref="H670">IF(
MOD(ROW()-2,6)=0,
INDEX('Form Responses'!I:I,INT((ROW()-2)/6)+2),
"-- NA --"
)</f>
        <v>-- NA --</v>
      </c>
      <c r="I670" s="32" t="str">
        <f t="array" ref="I670">IF(
MOD(ROW()-2,6)=0,
INDEX('Form Responses'!J:J,INT((ROW()-2)/6)+2),
"-- NA --"
)</f>
        <v>-- NA --</v>
      </c>
      <c r="J670" s="3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26">
        <v>670.0</v>
      </c>
      <c r="B671" s="33"/>
      <c r="C671" s="26" t="s">
        <v>425</v>
      </c>
      <c r="D671" s="26" t="str">
        <f t="array" ref="D6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24IT050</v>
      </c>
      <c r="E671" s="32" t="str">
        <f t="array" ref="E6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SHARAN ADITHYA K</v>
      </c>
      <c r="F671" s="26" t="str">
        <f t="array" ref="F6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1" s="26" t="str">
        <f t="array" ref="G6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71" s="26" t="str">
        <f t="array" ref="H671">IF(
MOD(ROW()-2,6)=0,
INDEX('Form Responses'!I:I,INT((ROW()-2)/6)+2),
"-- NA --"
)</f>
        <v>-- NA --</v>
      </c>
      <c r="I671" s="32" t="str">
        <f t="array" ref="I671">IF(
MOD(ROW()-2,6)=0,
INDEX('Form Responses'!J:J,INT((ROW()-2)/6)+2),
"-- NA --"
)</f>
        <v>-- NA --</v>
      </c>
      <c r="J671" s="3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26">
        <v>671.0</v>
      </c>
      <c r="B672" s="33"/>
      <c r="C672" s="26" t="s">
        <v>464</v>
      </c>
      <c r="D672" s="26" t="str">
        <f t="array" ref="D6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25AD170</v>
      </c>
      <c r="E672" s="32" t="str">
        <f t="array" ref="E6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RATHEESH M</v>
      </c>
      <c r="F672" s="26" t="str">
        <f t="array" ref="F6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72" s="26" t="str">
        <f t="array" ref="G6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72" s="26" t="str">
        <f t="array" ref="H672">IF(
MOD(ROW()-2,6)=0,
INDEX('Form Responses'!I:I,INT((ROW()-2)/6)+2),
"-- NA --"
)</f>
        <v>-- NA --</v>
      </c>
      <c r="I672" s="32" t="str">
        <f t="array" ref="I672">IF(
MOD(ROW()-2,6)=0,
INDEX('Form Responses'!J:J,INT((ROW()-2)/6)+2),
"-- NA --"
)</f>
        <v>-- NA --</v>
      </c>
      <c r="J672" s="3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26">
        <v>672.0</v>
      </c>
      <c r="B673" s="6"/>
      <c r="C673" s="26" t="s">
        <v>500</v>
      </c>
      <c r="D673" s="26" t="str">
        <f t="array" ref="D6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25AD157</v>
      </c>
      <c r="E673" s="32" t="str">
        <f t="array" ref="E6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 DHARSHINI A</v>
      </c>
      <c r="F673" s="26" t="str">
        <f t="array" ref="F6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73" s="26" t="str">
        <f t="array" ref="G6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673" s="26" t="str">
        <f t="array" ref="H673">IF(
MOD(ROW()-2,6)=0,
INDEX('Form Responses'!I:I,INT((ROW()-2)/6)+2),
"-- NA --"
)</f>
        <v>-- NA --</v>
      </c>
      <c r="I673" s="32" t="str">
        <f t="array" ref="I673">IF(
MOD(ROW()-2,6)=0,
INDEX('Form Responses'!J:J,INT((ROW()-2)/6)+2),
"-- NA --"
)</f>
        <v>-- NA --</v>
      </c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26">
        <v>673.0</v>
      </c>
      <c r="B674" s="29" t="str">
        <f t="array" ref="B674">INDEX('Form Responses'!$C:$C,INT((ROW()-2)/6)+2)</f>
        <v>Git_Push</v>
      </c>
      <c r="C674" s="31" t="s">
        <v>140</v>
      </c>
      <c r="D674" s="26" t="str">
        <f t="array" ref="D6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24AM005</v>
      </c>
      <c r="E674" s="32" t="str">
        <f t="array" ref="E6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Akhilesh M P</v>
      </c>
      <c r="F674" s="26" t="str">
        <f t="array" ref="F6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4" s="26" t="str">
        <f t="array" ref="G6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74" s="26">
        <f t="array" ref="H674">IF(
MOD(ROW()-2,6)=0,
INDEX('Form Responses'!I:I,INT((ROW()-2)/6)+2),
"-- NA --"
)</f>
        <v>9791485630</v>
      </c>
      <c r="I674" s="32" t="str">
        <f t="array" ref="I674">IF(
MOD(ROW()-2,6)=0,
INDEX('Form Responses'!J:J,INT((ROW()-2)/6)+2),
"-- NA --"
)</f>
        <v>akhilesh.mp2024aiml@sece.ac.in</v>
      </c>
      <c r="J674" s="29" t="str">
        <f t="array" ref="J674">INDEX('Form Responses'!$D:$D,INT((ROW()-2)/6)+2)</f>
        <v>Hardware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26">
        <v>674.0</v>
      </c>
      <c r="B675" s="33"/>
      <c r="C675" s="26" t="s">
        <v>282</v>
      </c>
      <c r="D675" s="26" t="str">
        <f t="array" ref="D6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24AM061</v>
      </c>
      <c r="E675" s="32" t="str">
        <f t="array" ref="E6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Fahim Jamal M</v>
      </c>
      <c r="F675" s="26" t="str">
        <f t="array" ref="F6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5" s="26" t="str">
        <f t="array" ref="G6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75" s="26" t="str">
        <f t="array" ref="H675">IF(
MOD(ROW()-2,6)=0,
INDEX('Form Responses'!I:I,INT((ROW()-2)/6)+2),
"-- NA --"
)</f>
        <v>-- NA --</v>
      </c>
      <c r="I675" s="32" t="str">
        <f t="array" ref="I675">IF(
MOD(ROW()-2,6)=0,
INDEX('Form Responses'!J:J,INT((ROW()-2)/6)+2),
"-- NA --"
)</f>
        <v>-- NA --</v>
      </c>
      <c r="J675" s="3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26">
        <v>675.0</v>
      </c>
      <c r="B676" s="33"/>
      <c r="C676" s="26" t="s">
        <v>385</v>
      </c>
      <c r="D676" s="26" t="str">
        <f t="array" ref="D6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24AM034</v>
      </c>
      <c r="E676" s="32" t="str">
        <f t="array" ref="E6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Indhuja V</v>
      </c>
      <c r="F676" s="26" t="str">
        <f t="array" ref="F6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6" s="26" t="str">
        <f t="array" ref="G6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76" s="26" t="str">
        <f t="array" ref="H676">IF(
MOD(ROW()-2,6)=0,
INDEX('Form Responses'!I:I,INT((ROW()-2)/6)+2),
"-- NA --"
)</f>
        <v>-- NA --</v>
      </c>
      <c r="I676" s="32" t="str">
        <f t="array" ref="I676">IF(
MOD(ROW()-2,6)=0,
INDEX('Form Responses'!J:J,INT((ROW()-2)/6)+2),
"-- NA --"
)</f>
        <v>-- NA --</v>
      </c>
      <c r="J676" s="3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26">
        <v>676.0</v>
      </c>
      <c r="B677" s="33"/>
      <c r="C677" s="26" t="s">
        <v>425</v>
      </c>
      <c r="D677" s="26" t="str">
        <f t="array" ref="D6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24EC018</v>
      </c>
      <c r="E677" s="32" t="str">
        <f t="array" ref="E6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Ashwin R</v>
      </c>
      <c r="F677" s="26" t="str">
        <f t="array" ref="F6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7" s="26" t="str">
        <f t="array" ref="G6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677" s="26" t="str">
        <f t="array" ref="H677">IF(
MOD(ROW()-2,6)=0,
INDEX('Form Responses'!I:I,INT((ROW()-2)/6)+2),
"-- NA --"
)</f>
        <v>-- NA --</v>
      </c>
      <c r="I677" s="32" t="str">
        <f t="array" ref="I677">IF(
MOD(ROW()-2,6)=0,
INDEX('Form Responses'!J:J,INT((ROW()-2)/6)+2),
"-- NA --"
)</f>
        <v>-- NA --</v>
      </c>
      <c r="J677" s="3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26">
        <v>677.0</v>
      </c>
      <c r="B678" s="33"/>
      <c r="C678" s="26" t="s">
        <v>464</v>
      </c>
      <c r="D678" s="26" t="str">
        <f t="array" ref="D6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24AM017</v>
      </c>
      <c r="E678" s="32" t="str">
        <f t="array" ref="E6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Dhaarani M</v>
      </c>
      <c r="F678" s="26" t="str">
        <f t="array" ref="F6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8" s="26" t="str">
        <f t="array" ref="G6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78" s="26" t="str">
        <f t="array" ref="H678">IF(
MOD(ROW()-2,6)=0,
INDEX('Form Responses'!I:I,INT((ROW()-2)/6)+2),
"-- NA --"
)</f>
        <v>-- NA --</v>
      </c>
      <c r="I678" s="32" t="str">
        <f t="array" ref="I678">IF(
MOD(ROW()-2,6)=0,
INDEX('Form Responses'!J:J,INT((ROW()-2)/6)+2),
"-- NA --"
)</f>
        <v>-- NA --</v>
      </c>
      <c r="J678" s="3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26">
        <v>678.0</v>
      </c>
      <c r="B679" s="6"/>
      <c r="C679" s="26" t="s">
        <v>500</v>
      </c>
      <c r="D679" s="26" t="str">
        <f t="array" ref="D6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24EE017 </v>
      </c>
      <c r="E679" s="32" t="str">
        <f t="array" ref="E6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A </v>
      </c>
      <c r="F679" s="26" t="str">
        <f t="array" ref="F6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79" s="26" t="str">
        <f t="array" ref="G6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679" s="26" t="str">
        <f t="array" ref="H679">IF(
MOD(ROW()-2,6)=0,
INDEX('Form Responses'!I:I,INT((ROW()-2)/6)+2),
"-- NA --"
)</f>
        <v>-- NA --</v>
      </c>
      <c r="I679" s="32" t="str">
        <f t="array" ref="I679">IF(
MOD(ROW()-2,6)=0,
INDEX('Form Responses'!J:J,INT((ROW()-2)/6)+2),
"-- NA --"
)</f>
        <v>-- NA --</v>
      </c>
      <c r="J679" s="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26">
        <v>679.0</v>
      </c>
      <c r="B680" s="29" t="str">
        <f t="array" ref="B680">INDEX('Form Responses'!$C:$C,INT((ROW()-2)/6)+2)</f>
        <v>Phantom</v>
      </c>
      <c r="C680" s="31" t="s">
        <v>140</v>
      </c>
      <c r="D680" s="26" t="str">
        <f t="array" ref="D6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25CB042</v>
      </c>
      <c r="E680" s="32" t="str">
        <f t="array" ref="E6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SAKTHIKANTH R</v>
      </c>
      <c r="F680" s="26" t="str">
        <f t="array" ref="F6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0" s="26" t="str">
        <f t="array" ref="G6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80" s="26">
        <f t="array" ref="H680">IF(
MOD(ROW()-2,6)=0,
INDEX('Form Responses'!I:I,INT((ROW()-2)/6)+2),
"-- NA --"
)</f>
        <v>8438873983</v>
      </c>
      <c r="I680" s="32" t="str">
        <f t="array" ref="I680">IF(
MOD(ROW()-2,6)=0,
INDEX('Form Responses'!J:J,INT((ROW()-2)/6)+2),
"-- NA --"
)</f>
        <v>sakthikanth07@gmail.com</v>
      </c>
      <c r="J680" s="29" t="str">
        <f t="array" ref="J680">INDEX('Form Responses'!$D:$D,INT((ROW()-2)/6)+2)</f>
        <v>Software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26">
        <v>680.0</v>
      </c>
      <c r="B681" s="33"/>
      <c r="C681" s="26" t="s">
        <v>282</v>
      </c>
      <c r="D681" s="26" t="str">
        <f t="array" ref="D6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25CB044</v>
      </c>
      <c r="E681" s="32" t="str">
        <f t="array" ref="E6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ADHITHYAN B</v>
      </c>
      <c r="F681" s="26" t="str">
        <f t="array" ref="F6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1" s="26" t="str">
        <f t="array" ref="G6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81" s="26" t="str">
        <f t="array" ref="H681">IF(
MOD(ROW()-2,6)=0,
INDEX('Form Responses'!I:I,INT((ROW()-2)/6)+2),
"-- NA --"
)</f>
        <v>-- NA --</v>
      </c>
      <c r="I681" s="32" t="str">
        <f t="array" ref="I681">IF(
MOD(ROW()-2,6)=0,
INDEX('Form Responses'!J:J,INT((ROW()-2)/6)+2),
"-- NA --"
)</f>
        <v>-- NA --</v>
      </c>
      <c r="J681" s="3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26">
        <v>681.0</v>
      </c>
      <c r="B682" s="33"/>
      <c r="C682" s="26" t="s">
        <v>385</v>
      </c>
      <c r="D682" s="26" t="str">
        <f t="array" ref="D6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25CB039</v>
      </c>
      <c r="E682" s="32" t="str">
        <f t="array" ref="E6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RITHISH S</v>
      </c>
      <c r="F682" s="26" t="str">
        <f t="array" ref="F6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2" s="26" t="str">
        <f t="array" ref="G6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682" s="26" t="str">
        <f t="array" ref="H682">IF(
MOD(ROW()-2,6)=0,
INDEX('Form Responses'!I:I,INT((ROW()-2)/6)+2),
"-- NA --"
)</f>
        <v>-- NA --</v>
      </c>
      <c r="I682" s="32" t="str">
        <f t="array" ref="I682">IF(
MOD(ROW()-2,6)=0,
INDEX('Form Responses'!J:J,INT((ROW()-2)/6)+2),
"-- NA --"
)</f>
        <v>-- NA --</v>
      </c>
      <c r="J682" s="3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26">
        <v>682.0</v>
      </c>
      <c r="B683" s="33"/>
      <c r="C683" s="26" t="s">
        <v>425</v>
      </c>
      <c r="D683" s="26" t="str">
        <f t="array" ref="D6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25CS086</v>
      </c>
      <c r="E683" s="32" t="str">
        <f t="array" ref="E6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JESSICA A</v>
      </c>
      <c r="F683" s="26" t="str">
        <f t="array" ref="F6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3" s="26" t="str">
        <f t="array" ref="G6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83" s="26" t="str">
        <f t="array" ref="H683">IF(
MOD(ROW()-2,6)=0,
INDEX('Form Responses'!I:I,INT((ROW()-2)/6)+2),
"-- NA --"
)</f>
        <v>-- NA --</v>
      </c>
      <c r="I683" s="32" t="str">
        <f t="array" ref="I683">IF(
MOD(ROW()-2,6)=0,
INDEX('Form Responses'!J:J,INT((ROW()-2)/6)+2),
"-- NA --"
)</f>
        <v>-- NA --</v>
      </c>
      <c r="J683" s="3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26">
        <v>683.0</v>
      </c>
      <c r="B684" s="33"/>
      <c r="C684" s="26" t="s">
        <v>464</v>
      </c>
      <c r="D684" s="26" t="str">
        <f t="array" ref="D6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25CS122</v>
      </c>
      <c r="E684" s="32" t="str">
        <f t="array" ref="E6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MALATHI K</v>
      </c>
      <c r="F684" s="26" t="str">
        <f t="array" ref="F6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4" s="26" t="str">
        <f t="array" ref="G6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84" s="26" t="str">
        <f t="array" ref="H684">IF(
MOD(ROW()-2,6)=0,
INDEX('Form Responses'!I:I,INT((ROW()-2)/6)+2),
"-- NA --"
)</f>
        <v>-- NA --</v>
      </c>
      <c r="I684" s="32" t="str">
        <f t="array" ref="I684">IF(
MOD(ROW()-2,6)=0,
INDEX('Form Responses'!J:J,INT((ROW()-2)/6)+2),
"-- NA --"
)</f>
        <v>-- NA --</v>
      </c>
      <c r="J684" s="3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26">
        <v>684.0</v>
      </c>
      <c r="B685" s="6"/>
      <c r="C685" s="26" t="s">
        <v>500</v>
      </c>
      <c r="D685" s="26" t="str">
        <f t="array" ref="D6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25CS104</v>
      </c>
      <c r="E685" s="32" t="str">
        <f t="array" ref="E6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KAVYASHREE R</v>
      </c>
      <c r="F685" s="26" t="str">
        <f t="array" ref="F6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5" s="26" t="str">
        <f t="array" ref="G6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85" s="26" t="str">
        <f t="array" ref="H685">IF(
MOD(ROW()-2,6)=0,
INDEX('Form Responses'!I:I,INT((ROW()-2)/6)+2),
"-- NA --"
)</f>
        <v>-- NA --</v>
      </c>
      <c r="I685" s="32" t="str">
        <f t="array" ref="I685">IF(
MOD(ROW()-2,6)=0,
INDEX('Form Responses'!J:J,INT((ROW()-2)/6)+2),
"-- NA --"
)</f>
        <v>-- NA --</v>
      </c>
      <c r="J685" s="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26">
        <v>685.0</v>
      </c>
      <c r="B686" s="29" t="str">
        <f t="array" ref="B686">INDEX('Form Responses'!$C:$C,INT((ROW()-2)/6)+2)</f>
        <v>Spark X</v>
      </c>
      <c r="C686" s="31" t="s">
        <v>140</v>
      </c>
      <c r="D686" s="26" t="str">
        <f t="array" ref="D6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25IT014</v>
      </c>
      <c r="E686" s="32" t="str">
        <f t="array" ref="E6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FAMIEZ Z</v>
      </c>
      <c r="F686" s="26" t="str">
        <f t="array" ref="F6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6" s="26" t="str">
        <f t="array" ref="G6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86" s="26" t="str">
        <f t="array" ref="H686">IF(
MOD(ROW()-2,6)=0,
INDEX('Form Responses'!I:I,INT((ROW()-2)/6)+2),
"-- NA --"
)</f>
        <v>94894 78345</v>
      </c>
      <c r="I686" s="32" t="str">
        <f t="array" ref="I686">IF(
MOD(ROW()-2,6)=0,
INDEX('Form Responses'!J:J,INT((ROW()-2)/6)+2),
"-- NA --"
)</f>
        <v>famiez.z2025it@sece.ac.in</v>
      </c>
      <c r="J686" s="29" t="str">
        <f t="array" ref="J686">INDEX('Form Responses'!$D:$D,INT((ROW()-2)/6)+2)</f>
        <v>Hardware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26">
        <v>686.0</v>
      </c>
      <c r="B687" s="33"/>
      <c r="C687" s="26" t="s">
        <v>282</v>
      </c>
      <c r="D687" s="26" t="str">
        <f t="array" ref="D6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25IT039 </v>
      </c>
      <c r="E687" s="32" t="str">
        <f t="array" ref="E6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 NIVRITI NANDHIKA </v>
      </c>
      <c r="F687" s="26" t="str">
        <f t="array" ref="F6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7" s="26" t="str">
        <f t="array" ref="G6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87" s="26" t="str">
        <f t="array" ref="H687">IF(
MOD(ROW()-2,6)=0,
INDEX('Form Responses'!I:I,INT((ROW()-2)/6)+2),
"-- NA --"
)</f>
        <v>-- NA --</v>
      </c>
      <c r="I687" s="32" t="str">
        <f t="array" ref="I687">IF(
MOD(ROW()-2,6)=0,
INDEX('Form Responses'!J:J,INT((ROW()-2)/6)+2),
"-- NA --"
)</f>
        <v>-- NA --</v>
      </c>
      <c r="J687" s="3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26">
        <v>687.0</v>
      </c>
      <c r="B688" s="33"/>
      <c r="C688" s="26" t="s">
        <v>385</v>
      </c>
      <c r="D688" s="26" t="str">
        <f t="array" ref="D6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25IT026</v>
      </c>
      <c r="E688" s="32" t="str">
        <f t="array" ref="E6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KANISHKAN S</v>
      </c>
      <c r="F688" s="26" t="str">
        <f t="array" ref="F6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88" s="26" t="str">
        <f t="array" ref="G6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88" s="26" t="str">
        <f t="array" ref="H688">IF(
MOD(ROW()-2,6)=0,
INDEX('Form Responses'!I:I,INT((ROW()-2)/6)+2),
"-- NA --"
)</f>
        <v>-- NA --</v>
      </c>
      <c r="I688" s="32" t="str">
        <f t="array" ref="I688">IF(
MOD(ROW()-2,6)=0,
INDEX('Form Responses'!J:J,INT((ROW()-2)/6)+2),
"-- NA --"
)</f>
        <v>-- NA --</v>
      </c>
      <c r="J688" s="3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26">
        <v>688.0</v>
      </c>
      <c r="B689" s="33"/>
      <c r="C689" s="26" t="s">
        <v>425</v>
      </c>
      <c r="D689" s="26" t="str">
        <f t="array" ref="D6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24IT040</v>
      </c>
      <c r="E689" s="32" t="str">
        <f t="array" ref="E6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RAJKUMAR N S</v>
      </c>
      <c r="F689" s="26" t="str">
        <f t="array" ref="F6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89" s="26" t="str">
        <f t="array" ref="G6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89" s="26" t="str">
        <f t="array" ref="H689">IF(
MOD(ROW()-2,6)=0,
INDEX('Form Responses'!I:I,INT((ROW()-2)/6)+2),
"-- NA --"
)</f>
        <v>-- NA --</v>
      </c>
      <c r="I689" s="32" t="str">
        <f t="array" ref="I689">IF(
MOD(ROW()-2,6)=0,
INDEX('Form Responses'!J:J,INT((ROW()-2)/6)+2),
"-- NA --"
)</f>
        <v>-- NA --</v>
      </c>
      <c r="J689" s="3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26">
        <v>689.0</v>
      </c>
      <c r="B690" s="33"/>
      <c r="C690" s="26" t="s">
        <v>464</v>
      </c>
      <c r="D690" s="26" t="str">
        <f t="array" ref="D6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25IT003</v>
      </c>
      <c r="E690" s="32" t="str">
        <f t="array" ref="E6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ANIRUDH S</v>
      </c>
      <c r="F690" s="26" t="str">
        <f t="array" ref="F6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90" s="26" t="str">
        <f t="array" ref="G6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690" s="26" t="str">
        <f t="array" ref="H690">IF(
MOD(ROW()-2,6)=0,
INDEX('Form Responses'!I:I,INT((ROW()-2)/6)+2),
"-- NA --"
)</f>
        <v>-- NA --</v>
      </c>
      <c r="I690" s="32" t="str">
        <f t="array" ref="I690">IF(
MOD(ROW()-2,6)=0,
INDEX('Form Responses'!J:J,INT((ROW()-2)/6)+2),
"-- NA --"
)</f>
        <v>-- NA --</v>
      </c>
      <c r="J690" s="3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26">
        <v>690.0</v>
      </c>
      <c r="B691" s="6"/>
      <c r="C691" s="26" t="s">
        <v>500</v>
      </c>
      <c r="D691" s="26" t="str">
        <f t="array" ref="D6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25AM106</v>
      </c>
      <c r="E691" s="32" t="str">
        <f t="array" ref="E6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SUNDARESWARI E</v>
      </c>
      <c r="F691" s="26" t="str">
        <f t="array" ref="F6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691" s="26" t="str">
        <f t="array" ref="G6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691" s="26" t="str">
        <f t="array" ref="H691">IF(
MOD(ROW()-2,6)=0,
INDEX('Form Responses'!I:I,INT((ROW()-2)/6)+2),
"-- NA --"
)</f>
        <v>-- NA --</v>
      </c>
      <c r="I691" s="32" t="str">
        <f t="array" ref="I691">IF(
MOD(ROW()-2,6)=0,
INDEX('Form Responses'!J:J,INT((ROW()-2)/6)+2),
"-- NA --"
)</f>
        <v>-- NA --</v>
      </c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26">
        <v>691.0</v>
      </c>
      <c r="B692" s="29" t="str">
        <f t="array" ref="B692">INDEX('Form Responses'!$C:$C,INT((ROW()-2)/6)+2)</f>
        <v>LEVELUPDEVS</v>
      </c>
      <c r="C692" s="31" t="s">
        <v>140</v>
      </c>
      <c r="D692" s="26" t="str">
        <f t="array" ref="D6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24CS006</v>
      </c>
      <c r="E692" s="32" t="str">
        <f t="array" ref="E6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ADARSHA U</v>
      </c>
      <c r="F692" s="26" t="str">
        <f t="array" ref="F6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2" s="26" t="str">
        <f t="array" ref="G6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2" s="26">
        <f t="array" ref="H692">IF(
MOD(ROW()-2,6)=0,
INDEX('Form Responses'!I:I,INT((ROW()-2)/6)+2),
"-- NA --"
)</f>
        <v>7010668113</v>
      </c>
      <c r="I692" s="32" t="str">
        <f t="array" ref="I692">IF(
MOD(ROW()-2,6)=0,
INDEX('Form Responses'!J:J,INT((ROW()-2)/6)+2),
"-- NA --"
)</f>
        <v>adarsha.u2024cse@sece.ac.in</v>
      </c>
      <c r="J692" s="29" t="str">
        <f t="array" ref="J692">INDEX('Form Responses'!$D:$D,INT((ROW()-2)/6)+2)</f>
        <v>Software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26">
        <v>692.0</v>
      </c>
      <c r="B693" s="33"/>
      <c r="C693" s="26" t="s">
        <v>282</v>
      </c>
      <c r="D693" s="26" t="str">
        <f t="array" ref="D6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24CS050</v>
      </c>
      <c r="E693" s="32" t="str">
        <f t="array" ref="E6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DHANUSHRI D</v>
      </c>
      <c r="F693" s="26" t="str">
        <f t="array" ref="F6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3" s="26" t="str">
        <f t="array" ref="G6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3" s="26" t="str">
        <f t="array" ref="H693">IF(
MOD(ROW()-2,6)=0,
INDEX('Form Responses'!I:I,INT((ROW()-2)/6)+2),
"-- NA --"
)</f>
        <v>-- NA --</v>
      </c>
      <c r="I693" s="32" t="str">
        <f t="array" ref="I693">IF(
MOD(ROW()-2,6)=0,
INDEX('Form Responses'!J:J,INT((ROW()-2)/6)+2),
"-- NA --"
)</f>
        <v>-- NA --</v>
      </c>
      <c r="J693" s="3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26">
        <v>693.0</v>
      </c>
      <c r="B694" s="33"/>
      <c r="C694" s="26" t="s">
        <v>385</v>
      </c>
      <c r="D694" s="26" t="str">
        <f t="array" ref="D6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24CS051</v>
      </c>
      <c r="E694" s="32" t="str">
        <f t="array" ref="E6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DHANUSHYA R</v>
      </c>
      <c r="F694" s="26" t="str">
        <f t="array" ref="F6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4" s="26" t="str">
        <f t="array" ref="G6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4" s="26" t="str">
        <f t="array" ref="H694">IF(
MOD(ROW()-2,6)=0,
INDEX('Form Responses'!I:I,INT((ROW()-2)/6)+2),
"-- NA --"
)</f>
        <v>-- NA --</v>
      </c>
      <c r="I694" s="32" t="str">
        <f t="array" ref="I694">IF(
MOD(ROW()-2,6)=0,
INDEX('Form Responses'!J:J,INT((ROW()-2)/6)+2),
"-- NA --"
)</f>
        <v>-- NA --</v>
      </c>
      <c r="J694" s="3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26">
        <v>694.0</v>
      </c>
      <c r="B695" s="33"/>
      <c r="C695" s="26" t="s">
        <v>425</v>
      </c>
      <c r="D695" s="26" t="str">
        <f t="array" ref="D6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24CS055</v>
      </c>
      <c r="E695" s="32" t="str">
        <f t="array" ref="E6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 KUMAR N</v>
      </c>
      <c r="F695" s="26" t="str">
        <f t="array" ref="F6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5" s="26" t="str">
        <f t="array" ref="G6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5" s="26" t="str">
        <f t="array" ref="H695">IF(
MOD(ROW()-2,6)=0,
INDEX('Form Responses'!I:I,INT((ROW()-2)/6)+2),
"-- NA --"
)</f>
        <v>-- NA --</v>
      </c>
      <c r="I695" s="32" t="str">
        <f t="array" ref="I695">IF(
MOD(ROW()-2,6)=0,
INDEX('Form Responses'!J:J,INT((ROW()-2)/6)+2),
"-- NA --"
)</f>
        <v>-- NA --</v>
      </c>
      <c r="J695" s="3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26">
        <v>695.0</v>
      </c>
      <c r="B696" s="33"/>
      <c r="C696" s="26" t="s">
        <v>464</v>
      </c>
      <c r="D696" s="26" t="str">
        <f t="array" ref="D6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24CS124</v>
      </c>
      <c r="E696" s="32" t="str">
        <f t="array" ref="E6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LOGAVARSHHNI S</v>
      </c>
      <c r="F696" s="26" t="str">
        <f t="array" ref="F6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6" s="26" t="str">
        <f t="array" ref="G6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6" s="26" t="str">
        <f t="array" ref="H696">IF(
MOD(ROW()-2,6)=0,
INDEX('Form Responses'!I:I,INT((ROW()-2)/6)+2),
"-- NA --"
)</f>
        <v>-- NA --</v>
      </c>
      <c r="I696" s="32" t="str">
        <f t="array" ref="I696">IF(
MOD(ROW()-2,6)=0,
INDEX('Form Responses'!J:J,INT((ROW()-2)/6)+2),
"-- NA --"
)</f>
        <v>-- NA --</v>
      </c>
      <c r="J696" s="3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26">
        <v>696.0</v>
      </c>
      <c r="B697" s="6"/>
      <c r="C697" s="26" t="s">
        <v>500</v>
      </c>
      <c r="D697" s="26" t="str">
        <f t="array" ref="D6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24SY013</v>
      </c>
      <c r="E697" s="32" t="str">
        <f t="array" ref="E6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DISHANYAA SHRII K M</v>
      </c>
      <c r="F697" s="26" t="str">
        <f t="array" ref="F6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7" s="26" t="str">
        <f t="array" ref="G6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697" s="26" t="str">
        <f t="array" ref="H697">IF(
MOD(ROW()-2,6)=0,
INDEX('Form Responses'!I:I,INT((ROW()-2)/6)+2),
"-- NA --"
)</f>
        <v>-- NA --</v>
      </c>
      <c r="I697" s="32" t="str">
        <f t="array" ref="I697">IF(
MOD(ROW()-2,6)=0,
INDEX('Form Responses'!J:J,INT((ROW()-2)/6)+2),
"-- NA --"
)</f>
        <v>-- NA --</v>
      </c>
      <c r="J697" s="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26">
        <v>697.0</v>
      </c>
      <c r="B698" s="29" t="str">
        <f t="array" ref="B698">INDEX('Form Responses'!$C:$C,INT((ROW()-2)/6)+2)</f>
        <v>Starblazers</v>
      </c>
      <c r="C698" s="31" t="s">
        <v>140</v>
      </c>
      <c r="D698" s="26" t="str">
        <f t="array" ref="D6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24CS153</v>
      </c>
      <c r="E698" s="32" t="str">
        <f t="array" ref="E6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NAVIN S</v>
      </c>
      <c r="F698" s="26" t="str">
        <f t="array" ref="F6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8" s="26" t="str">
        <f t="array" ref="G6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8" s="26" t="str">
        <f t="array" ref="H698">IF(
MOD(ROW()-2,6)=0,
INDEX('Form Responses'!I:I,INT((ROW()-2)/6)+2),
"-- NA --"
)</f>
        <v>+91 77085 66849</v>
      </c>
      <c r="I698" s="32" t="str">
        <f t="array" ref="I698">IF(
MOD(ROW()-2,6)=0,
INDEX('Form Responses'!J:J,INT((ROW()-2)/6)+2),
"-- NA --"
)</f>
        <v>navin.s2024cse@sece.ac.in</v>
      </c>
      <c r="J698" s="29" t="str">
        <f t="array" ref="J698">INDEX('Form Responses'!$D:$D,INT((ROW()-2)/6)+2)</f>
        <v>Software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26">
        <v>698.0</v>
      </c>
      <c r="B699" s="33"/>
      <c r="C699" s="26" t="s">
        <v>282</v>
      </c>
      <c r="D699" s="26" t="str">
        <f t="array" ref="D6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24CS156</v>
      </c>
      <c r="E699" s="32" t="str">
        <f t="array" ref="E6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NETHRA S</v>
      </c>
      <c r="F699" s="26" t="str">
        <f t="array" ref="F6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699" s="26" t="str">
        <f t="array" ref="G6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699" s="26" t="str">
        <f t="array" ref="H699">IF(
MOD(ROW()-2,6)=0,
INDEX('Form Responses'!I:I,INT((ROW()-2)/6)+2),
"-- NA --"
)</f>
        <v>-- NA --</v>
      </c>
      <c r="I699" s="32" t="str">
        <f t="array" ref="I699">IF(
MOD(ROW()-2,6)=0,
INDEX('Form Responses'!J:J,INT((ROW()-2)/6)+2),
"-- NA --"
)</f>
        <v>-- NA --</v>
      </c>
      <c r="J699" s="3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26">
        <v>699.0</v>
      </c>
      <c r="B700" s="33"/>
      <c r="C700" s="26" t="s">
        <v>385</v>
      </c>
      <c r="D700" s="26" t="str">
        <f t="array" ref="D7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24CS082</v>
      </c>
      <c r="E700" s="32" t="str">
        <f t="array" ref="E7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HARITHA E</v>
      </c>
      <c r="F700" s="26" t="str">
        <f t="array" ref="F7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00" s="26" t="str">
        <f t="array" ref="G7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00" s="26" t="str">
        <f t="array" ref="H700">IF(
MOD(ROW()-2,6)=0,
INDEX('Form Responses'!I:I,INT((ROW()-2)/6)+2),
"-- NA --"
)</f>
        <v>-- NA --</v>
      </c>
      <c r="I700" s="32" t="str">
        <f t="array" ref="I700">IF(
MOD(ROW()-2,6)=0,
INDEX('Form Responses'!J:J,INT((ROW()-2)/6)+2),
"-- NA --"
)</f>
        <v>-- NA --</v>
      </c>
      <c r="J700" s="3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26">
        <v>700.0</v>
      </c>
      <c r="B701" s="33"/>
      <c r="C701" s="26" t="s">
        <v>425</v>
      </c>
      <c r="D701" s="26" t="str">
        <f t="array" ref="D7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24CS032</v>
      </c>
      <c r="E701" s="32" t="str">
        <f t="array" ref="E7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BAVITHRA </v>
      </c>
      <c r="F701" s="26" t="str">
        <f t="array" ref="F7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01" s="26" t="str">
        <f t="array" ref="G7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01" s="26" t="str">
        <f t="array" ref="H701">IF(
MOD(ROW()-2,6)=0,
INDEX('Form Responses'!I:I,INT((ROW()-2)/6)+2),
"-- NA --"
)</f>
        <v>-- NA --</v>
      </c>
      <c r="I701" s="32" t="str">
        <f t="array" ref="I701">IF(
MOD(ROW()-2,6)=0,
INDEX('Form Responses'!J:J,INT((ROW()-2)/6)+2),
"-- NA --"
)</f>
        <v>-- NA --</v>
      </c>
      <c r="J701" s="3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26">
        <v>701.0</v>
      </c>
      <c r="B702" s="33"/>
      <c r="C702" s="26" t="s">
        <v>464</v>
      </c>
      <c r="D702" s="26" t="str">
        <f t="array" ref="D7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24AM068</v>
      </c>
      <c r="E702" s="32" t="str">
        <f t="array" ref="E7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NIVETHIKA M</v>
      </c>
      <c r="F702" s="26" t="str">
        <f t="array" ref="F7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02" s="26" t="str">
        <f t="array" ref="G7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02" s="26" t="str">
        <f t="array" ref="H702">IF(
MOD(ROW()-2,6)=0,
INDEX('Form Responses'!I:I,INT((ROW()-2)/6)+2),
"-- NA --"
)</f>
        <v>-- NA --</v>
      </c>
      <c r="I702" s="32" t="str">
        <f t="array" ref="I702">IF(
MOD(ROW()-2,6)=0,
INDEX('Form Responses'!J:J,INT((ROW()-2)/6)+2),
"-- NA --"
)</f>
        <v>-- NA --</v>
      </c>
      <c r="J702" s="3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26">
        <v>702.0</v>
      </c>
      <c r="B703" s="6"/>
      <c r="C703" s="26" t="s">
        <v>500</v>
      </c>
      <c r="D703" s="26" t="str">
        <f t="array" ref="D7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24EC013</v>
      </c>
      <c r="E703" s="32" t="str">
        <f t="array" ref="E7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ARJUNAN J </v>
      </c>
      <c r="F703" s="26" t="str">
        <f t="array" ref="F7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03" s="26" t="str">
        <f t="array" ref="G7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03" s="26" t="str">
        <f t="array" ref="H703">IF(
MOD(ROW()-2,6)=0,
INDEX('Form Responses'!I:I,INT((ROW()-2)/6)+2),
"-- NA --"
)</f>
        <v>-- NA --</v>
      </c>
      <c r="I703" s="32" t="str">
        <f t="array" ref="I703">IF(
MOD(ROW()-2,6)=0,
INDEX('Form Responses'!J:J,INT((ROW()-2)/6)+2),
"-- NA --"
)</f>
        <v>-- NA --</v>
      </c>
      <c r="J703" s="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26">
        <v>703.0</v>
      </c>
      <c r="B704" s="29" t="str">
        <f t="array" ref="B704">INDEX('Form Responses'!$C:$C,INT((ROW()-2)/6)+2)</f>
        <v>Ctrl+Alt+Elite</v>
      </c>
      <c r="C704" s="31" t="s">
        <v>140</v>
      </c>
      <c r="D704" s="26" t="str">
        <f t="array" ref="D7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25AD221</v>
      </c>
      <c r="E704" s="32" t="str">
        <f t="array" ref="E7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TARUNIKA B.S</v>
      </c>
      <c r="F704" s="26" t="str">
        <f t="array" ref="F7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4" s="26" t="str">
        <f t="array" ref="G7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04" s="26">
        <f t="array" ref="H704">IF(
MOD(ROW()-2,6)=0,
INDEX('Form Responses'!I:I,INT((ROW()-2)/6)+2),
"-- NA --"
)</f>
        <v>9942674205</v>
      </c>
      <c r="I704" s="32" t="str">
        <f t="array" ref="I704">IF(
MOD(ROW()-2,6)=0,
INDEX('Form Responses'!J:J,INT((ROW()-2)/6)+2),
"-- NA --"
)</f>
        <v>tarunika.bs2025aids@sece.ac.in</v>
      </c>
      <c r="J704" s="29" t="str">
        <f t="array" ref="J704">INDEX('Form Responses'!$D:$D,INT((ROW()-2)/6)+2)</f>
        <v>Software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26">
        <v>704.0</v>
      </c>
      <c r="B705" s="33"/>
      <c r="C705" s="26" t="s">
        <v>282</v>
      </c>
      <c r="D705" s="26" t="str">
        <f t="array" ref="D7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25AD233</v>
      </c>
      <c r="E705" s="32" t="str">
        <f t="array" ref="E7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VARCHALADEVI M </v>
      </c>
      <c r="F705" s="26" t="str">
        <f t="array" ref="F7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5" s="26" t="str">
        <f t="array" ref="G7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05" s="26" t="str">
        <f t="array" ref="H705">IF(
MOD(ROW()-2,6)=0,
INDEX('Form Responses'!I:I,INT((ROW()-2)/6)+2),
"-- NA --"
)</f>
        <v>-- NA --</v>
      </c>
      <c r="I705" s="32" t="str">
        <f t="array" ref="I705">IF(
MOD(ROW()-2,6)=0,
INDEX('Form Responses'!J:J,INT((ROW()-2)/6)+2),
"-- NA --"
)</f>
        <v>-- NA --</v>
      </c>
      <c r="J705" s="3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26">
        <v>705.0</v>
      </c>
      <c r="B706" s="33"/>
      <c r="C706" s="26" t="s">
        <v>385</v>
      </c>
      <c r="D706" s="26" t="str">
        <f t="array" ref="D7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25AD225</v>
      </c>
      <c r="E706" s="32" t="str">
        <f t="array" ref="E7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THARUNIKA K.S</v>
      </c>
      <c r="F706" s="26" t="str">
        <f t="array" ref="F7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6" s="26" t="str">
        <f t="array" ref="G7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06" s="26" t="str">
        <f t="array" ref="H706">IF(
MOD(ROW()-2,6)=0,
INDEX('Form Responses'!I:I,INT((ROW()-2)/6)+2),
"-- NA --"
)</f>
        <v>-- NA --</v>
      </c>
      <c r="I706" s="32" t="str">
        <f t="array" ref="I706">IF(
MOD(ROW()-2,6)=0,
INDEX('Form Responses'!J:J,INT((ROW()-2)/6)+2),
"-- NA --"
)</f>
        <v>-- NA --</v>
      </c>
      <c r="J706" s="3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26">
        <v>706.0</v>
      </c>
      <c r="B707" s="33"/>
      <c r="C707" s="26" t="s">
        <v>425</v>
      </c>
      <c r="D707" s="26" t="str">
        <f t="array" ref="D7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25AD215</v>
      </c>
      <c r="E707" s="32" t="str">
        <f t="array" ref="E7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SUVETHA S</v>
      </c>
      <c r="F707" s="26" t="str">
        <f t="array" ref="F7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7" s="26" t="str">
        <f t="array" ref="G7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07" s="26" t="str">
        <f t="array" ref="H707">IF(
MOD(ROW()-2,6)=0,
INDEX('Form Responses'!I:I,INT((ROW()-2)/6)+2),
"-- NA --"
)</f>
        <v>-- NA --</v>
      </c>
      <c r="I707" s="32" t="str">
        <f t="array" ref="I707">IF(
MOD(ROW()-2,6)=0,
INDEX('Form Responses'!J:J,INT((ROW()-2)/6)+2),
"-- NA --"
)</f>
        <v>-- NA --</v>
      </c>
      <c r="J707" s="3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26">
        <v>707.0</v>
      </c>
      <c r="B708" s="33"/>
      <c r="C708" s="26" t="s">
        <v>464</v>
      </c>
      <c r="D708" s="26" t="str">
        <f t="array" ref="D7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25CS170</v>
      </c>
      <c r="E708" s="32" t="str">
        <f t="array" ref="E7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PRADHATCHANA P</v>
      </c>
      <c r="F708" s="26" t="str">
        <f t="array" ref="F7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8" s="26" t="str">
        <f t="array" ref="G7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08" s="26" t="str">
        <f t="array" ref="H708">IF(
MOD(ROW()-2,6)=0,
INDEX('Form Responses'!I:I,INT((ROW()-2)/6)+2),
"-- NA --"
)</f>
        <v>-- NA --</v>
      </c>
      <c r="I708" s="32" t="str">
        <f t="array" ref="I708">IF(
MOD(ROW()-2,6)=0,
INDEX('Form Responses'!J:J,INT((ROW()-2)/6)+2),
"-- NA --"
)</f>
        <v>-- NA --</v>
      </c>
      <c r="J708" s="3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26">
        <v>708.0</v>
      </c>
      <c r="B709" s="6"/>
      <c r="C709" s="26" t="s">
        <v>500</v>
      </c>
      <c r="D709" s="26" t="str">
        <f t="array" ref="D7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25CS158</v>
      </c>
      <c r="E709" s="32" t="str">
        <f t="array" ref="E7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NITHUVARSHAN T</v>
      </c>
      <c r="F709" s="26" t="str">
        <f t="array" ref="F7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09" s="26" t="str">
        <f t="array" ref="G7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09" s="26" t="str">
        <f t="array" ref="H709">IF(
MOD(ROW()-2,6)=0,
INDEX('Form Responses'!I:I,INT((ROW()-2)/6)+2),
"-- NA --"
)</f>
        <v>-- NA --</v>
      </c>
      <c r="I709" s="32" t="str">
        <f t="array" ref="I709">IF(
MOD(ROW()-2,6)=0,
INDEX('Form Responses'!J:J,INT((ROW()-2)/6)+2),
"-- NA --"
)</f>
        <v>-- NA --</v>
      </c>
      <c r="J709" s="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26">
        <v>709.0</v>
      </c>
      <c r="B710" s="29" t="str">
        <f t="array" ref="B710">INDEX('Form Responses'!$C:$C,INT((ROW()-2)/6)+2)</f>
        <v>CODESHIFT</v>
      </c>
      <c r="C710" s="31" t="s">
        <v>140</v>
      </c>
      <c r="D710" s="26" t="str">
        <f t="array" ref="D7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25CS211</v>
      </c>
      <c r="E710" s="32" t="str">
        <f t="array" ref="E7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SHOBIKA S</v>
      </c>
      <c r="F710" s="26" t="str">
        <f t="array" ref="F7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0" s="26" t="str">
        <f t="array" ref="G7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0" s="26">
        <f t="array" ref="H710">IF(
MOD(ROW()-2,6)=0,
INDEX('Form Responses'!I:I,INT((ROW()-2)/6)+2),
"-- NA --"
)</f>
        <v>9944969647</v>
      </c>
      <c r="I710" s="32" t="str">
        <f t="array" ref="I710">IF(
MOD(ROW()-2,6)=0,
INDEX('Form Responses'!J:J,INT((ROW()-2)/6)+2),
"-- NA --"
)</f>
        <v>shobika.s2025cse@sece.ac.in</v>
      </c>
      <c r="J710" s="29" t="str">
        <f t="array" ref="J710">INDEX('Form Responses'!$D:$D,INT((ROW()-2)/6)+2)</f>
        <v>Software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26">
        <v>710.0</v>
      </c>
      <c r="B711" s="33"/>
      <c r="C711" s="26" t="s">
        <v>282</v>
      </c>
      <c r="D711" s="26" t="str">
        <f t="array" ref="D7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25CS208</v>
      </c>
      <c r="E711" s="32" t="str">
        <f t="array" ref="E7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SETHUKAMAL P G</v>
      </c>
      <c r="F711" s="26" t="str">
        <f t="array" ref="F7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1" s="26" t="str">
        <f t="array" ref="G7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1" s="26" t="str">
        <f t="array" ref="H711">IF(
MOD(ROW()-2,6)=0,
INDEX('Form Responses'!I:I,INT((ROW()-2)/6)+2),
"-- NA --"
)</f>
        <v>-- NA --</v>
      </c>
      <c r="I711" s="32" t="str">
        <f t="array" ref="I711">IF(
MOD(ROW()-2,6)=0,
INDEX('Form Responses'!J:J,INT((ROW()-2)/6)+2),
"-- NA --"
)</f>
        <v>-- NA --</v>
      </c>
      <c r="J711" s="3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26">
        <v>711.0</v>
      </c>
      <c r="B712" s="33"/>
      <c r="C712" s="26" t="s">
        <v>385</v>
      </c>
      <c r="D712" s="26" t="str">
        <f t="array" ref="D7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25CS237</v>
      </c>
      <c r="E712" s="32" t="str">
        <f t="array" ref="E7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UDHAYAN L</v>
      </c>
      <c r="F712" s="26" t="str">
        <f t="array" ref="F7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2" s="26" t="str">
        <f t="array" ref="G7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2" s="26" t="str">
        <f t="array" ref="H712">IF(
MOD(ROW()-2,6)=0,
INDEX('Form Responses'!I:I,INT((ROW()-2)/6)+2),
"-- NA --"
)</f>
        <v>-- NA --</v>
      </c>
      <c r="I712" s="32" t="str">
        <f t="array" ref="I712">IF(
MOD(ROW()-2,6)=0,
INDEX('Form Responses'!J:J,INT((ROW()-2)/6)+2),
"-- NA --"
)</f>
        <v>-- NA --</v>
      </c>
      <c r="J712" s="3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26">
        <v>712.0</v>
      </c>
      <c r="B713" s="33"/>
      <c r="C713" s="26" t="s">
        <v>425</v>
      </c>
      <c r="D713" s="26" t="str">
        <f t="array" ref="D7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25CS238</v>
      </c>
      <c r="E713" s="32" t="str">
        <f t="array" ref="E7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VAANATHI J</v>
      </c>
      <c r="F713" s="26" t="str">
        <f t="array" ref="F7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3" s="26" t="str">
        <f t="array" ref="G7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3" s="26" t="str">
        <f t="array" ref="H713">IF(
MOD(ROW()-2,6)=0,
INDEX('Form Responses'!I:I,INT((ROW()-2)/6)+2),
"-- NA --"
)</f>
        <v>-- NA --</v>
      </c>
      <c r="I713" s="32" t="str">
        <f t="array" ref="I713">IF(
MOD(ROW()-2,6)=0,
INDEX('Form Responses'!J:J,INT((ROW()-2)/6)+2),
"-- NA --"
)</f>
        <v>-- NA --</v>
      </c>
      <c r="J713" s="3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26">
        <v>713.0</v>
      </c>
      <c r="B714" s="33"/>
      <c r="C714" s="26" t="s">
        <v>464</v>
      </c>
      <c r="D714" s="26" t="str">
        <f t="array" ref="D7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25CS235</v>
      </c>
      <c r="E714" s="32" t="str">
        <f t="array" ref="E7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THIRUVARASU S R</v>
      </c>
      <c r="F714" s="26" t="str">
        <f t="array" ref="F7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4" s="26" t="str">
        <f t="array" ref="G7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4" s="26" t="str">
        <f t="array" ref="H714">IF(
MOD(ROW()-2,6)=0,
INDEX('Form Responses'!I:I,INT((ROW()-2)/6)+2),
"-- NA --"
)</f>
        <v>-- NA --</v>
      </c>
      <c r="I714" s="32" t="str">
        <f t="array" ref="I714">IF(
MOD(ROW()-2,6)=0,
INDEX('Form Responses'!J:J,INT((ROW()-2)/6)+2),
"-- NA --"
)</f>
        <v>-- NA --</v>
      </c>
      <c r="J714" s="3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26">
        <v>714.0</v>
      </c>
      <c r="B715" s="6"/>
      <c r="C715" s="26" t="s">
        <v>500</v>
      </c>
      <c r="D715" s="26" t="str">
        <f t="array" ref="D7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25AM044</v>
      </c>
      <c r="E715" s="32" t="str">
        <f t="array" ref="E7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JANARDHANAN L G</v>
      </c>
      <c r="F715" s="26" t="str">
        <f t="array" ref="F7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5" s="26" t="str">
        <f t="array" ref="G7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15" s="26" t="str">
        <f t="array" ref="H715">IF(
MOD(ROW()-2,6)=0,
INDEX('Form Responses'!I:I,INT((ROW()-2)/6)+2),
"-- NA --"
)</f>
        <v>-- NA --</v>
      </c>
      <c r="I715" s="32" t="str">
        <f t="array" ref="I715">IF(
MOD(ROW()-2,6)=0,
INDEX('Form Responses'!J:J,INT((ROW()-2)/6)+2),
"-- NA --"
)</f>
        <v>-- NA --</v>
      </c>
      <c r="J715" s="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26">
        <v>715.0</v>
      </c>
      <c r="B716" s="29" t="str">
        <f t="array" ref="B716">INDEX('Form Responses'!$C:$C,INT((ROW()-2)/6)+2)</f>
        <v>YUTA</v>
      </c>
      <c r="C716" s="31" t="s">
        <v>140</v>
      </c>
      <c r="D716" s="26" t="str">
        <f t="array" ref="D7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25CS254</v>
      </c>
      <c r="E716" s="32" t="str">
        <f t="array" ref="E7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YUGESHWARAN S</v>
      </c>
      <c r="F716" s="26" t="str">
        <f t="array" ref="F7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6" s="26" t="str">
        <f t="array" ref="G7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6" s="26">
        <f t="array" ref="H716">IF(
MOD(ROW()-2,6)=0,
INDEX('Form Responses'!I:I,INT((ROW()-2)/6)+2),
"-- NA --"
)</f>
        <v>9566246403</v>
      </c>
      <c r="I716" s="32" t="str">
        <f t="array" ref="I716">IF(
MOD(ROW()-2,6)=0,
INDEX('Form Responses'!J:J,INT((ROW()-2)/6)+2),
"-- NA --"
)</f>
        <v>yugeshwaran.s2025cse@sece.ac.in</v>
      </c>
      <c r="J716" s="29" t="str">
        <f t="array" ref="J716">INDEX('Form Responses'!$D:$D,INT((ROW()-2)/6)+2)</f>
        <v>Software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26">
        <v>716.0</v>
      </c>
      <c r="B717" s="33"/>
      <c r="C717" s="26" t="s">
        <v>282</v>
      </c>
      <c r="D717" s="26" t="str">
        <f t="array" ref="D7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25CS191</v>
      </c>
      <c r="E717" s="32" t="str">
        <f t="array" ref="E7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SAI SIDHARTH R</v>
      </c>
      <c r="F717" s="26" t="str">
        <f t="array" ref="F7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7" s="26" t="str">
        <f t="array" ref="G7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7" s="26" t="str">
        <f t="array" ref="H717">IF(
MOD(ROW()-2,6)=0,
INDEX('Form Responses'!I:I,INT((ROW()-2)/6)+2),
"-- NA --"
)</f>
        <v>-- NA --</v>
      </c>
      <c r="I717" s="32" t="str">
        <f t="array" ref="I717">IF(
MOD(ROW()-2,6)=0,
INDEX('Form Responses'!J:J,INT((ROW()-2)/6)+2),
"-- NA --"
)</f>
        <v>-- NA --</v>
      </c>
      <c r="J717" s="3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26">
        <v>717.0</v>
      </c>
      <c r="B718" s="33"/>
      <c r="C718" s="26" t="s">
        <v>385</v>
      </c>
      <c r="D718" s="26" t="str">
        <f t="array" ref="D7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25CS196</v>
      </c>
      <c r="E718" s="32" t="str">
        <f t="array" ref="E7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S</v>
      </c>
      <c r="F718" s="26" t="str">
        <f t="array" ref="F7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8" s="26" t="str">
        <f t="array" ref="G7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8" s="26" t="str">
        <f t="array" ref="H718">IF(
MOD(ROW()-2,6)=0,
INDEX('Form Responses'!I:I,INT((ROW()-2)/6)+2),
"-- NA --"
)</f>
        <v>-- NA --</v>
      </c>
      <c r="I718" s="32" t="str">
        <f t="array" ref="I718">IF(
MOD(ROW()-2,6)=0,
INDEX('Form Responses'!J:J,INT((ROW()-2)/6)+2),
"-- NA --"
)</f>
        <v>-- NA --</v>
      </c>
      <c r="J718" s="3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26">
        <v>718.0</v>
      </c>
      <c r="B719" s="33"/>
      <c r="C719" s="26" t="s">
        <v>425</v>
      </c>
      <c r="D719" s="26" t="str">
        <f t="array" ref="D7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NIL</v>
      </c>
      <c r="E719" s="32" t="str">
        <f t="array" ref="E7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MONIKA S</v>
      </c>
      <c r="F719" s="26" t="str">
        <f t="array" ref="F7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19" s="26" t="str">
        <f t="array" ref="G7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19" s="26" t="str">
        <f t="array" ref="H719">IF(
MOD(ROW()-2,6)=0,
INDEX('Form Responses'!I:I,INT((ROW()-2)/6)+2),
"-- NA --"
)</f>
        <v>-- NA --</v>
      </c>
      <c r="I719" s="32" t="str">
        <f t="array" ref="I719">IF(
MOD(ROW()-2,6)=0,
INDEX('Form Responses'!J:J,INT((ROW()-2)/6)+2),
"-- NA --"
)</f>
        <v>-- NA --</v>
      </c>
      <c r="J719" s="3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26">
        <v>719.0</v>
      </c>
      <c r="B720" s="33"/>
      <c r="C720" s="26" t="s">
        <v>464</v>
      </c>
      <c r="D720" s="26" t="str">
        <f t="array" ref="D7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NIL</v>
      </c>
      <c r="E720" s="32" t="str">
        <f t="array" ref="E7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N</v>
      </c>
      <c r="F720" s="26" t="str">
        <f t="array" ref="F7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20" s="26" t="str">
        <f t="array" ref="G7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720" s="26" t="str">
        <f t="array" ref="H720">IF(
MOD(ROW()-2,6)=0,
INDEX('Form Responses'!I:I,INT((ROW()-2)/6)+2),
"-- NA --"
)</f>
        <v>-- NA --</v>
      </c>
      <c r="I720" s="32" t="str">
        <f t="array" ref="I720">IF(
MOD(ROW()-2,6)=0,
INDEX('Form Responses'!J:J,INT((ROW()-2)/6)+2),
"-- NA --"
)</f>
        <v>-- NA --</v>
      </c>
      <c r="J720" s="3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26">
        <v>720.0</v>
      </c>
      <c r="B721" s="6"/>
      <c r="C721" s="26" t="s">
        <v>500</v>
      </c>
      <c r="D721" s="26" t="str">
        <f t="array" ref="D7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25AD254</v>
      </c>
      <c r="E721" s="32" t="str">
        <f t="array" ref="E7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DINA ALEX MAJURA </v>
      </c>
      <c r="F721" s="26" t="str">
        <f t="array" ref="F7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21" s="26" t="str">
        <f t="array" ref="G7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21" s="26" t="str">
        <f t="array" ref="H721">IF(
MOD(ROW()-2,6)=0,
INDEX('Form Responses'!I:I,INT((ROW()-2)/6)+2),
"-- NA --"
)</f>
        <v>-- NA --</v>
      </c>
      <c r="I721" s="32" t="str">
        <f t="array" ref="I721">IF(
MOD(ROW()-2,6)=0,
INDEX('Form Responses'!J:J,INT((ROW()-2)/6)+2),
"-- NA --"
)</f>
        <v>-- NA --</v>
      </c>
      <c r="J721" s="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26">
        <v>721.0</v>
      </c>
      <c r="B722" s="29" t="str">
        <f t="array" ref="B722">INDEX('Form Responses'!$C:$C,INT((ROW()-2)/6)+2)</f>
        <v>LAUGH TALE</v>
      </c>
      <c r="C722" s="31" t="s">
        <v>140</v>
      </c>
      <c r="D722" s="26" t="str">
        <f t="array" ref="D7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24IT029</v>
      </c>
      <c r="E722" s="32" t="str">
        <f t="array" ref="E7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SABEEK H</v>
      </c>
      <c r="F722" s="26" t="str">
        <f t="array" ref="F7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2" s="26" t="str">
        <f t="array" ref="G7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22" s="26">
        <f t="array" ref="H722">IF(
MOD(ROW()-2,6)=0,
INDEX('Form Responses'!I:I,INT((ROW()-2)/6)+2),
"-- NA --"
)</f>
        <v>6383028607</v>
      </c>
      <c r="I722" s="32" t="str">
        <f t="array" ref="I722">IF(
MOD(ROW()-2,6)=0,
INDEX('Form Responses'!J:J,INT((ROW()-2)/6)+2),
"-- NA --"
)</f>
        <v>mohamedsabeek.h2024it@sece.ac.in</v>
      </c>
      <c r="J722" s="29" t="str">
        <f t="array" ref="J722">INDEX('Form Responses'!$D:$D,INT((ROW()-2)/6)+2)</f>
        <v>Software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26">
        <v>722.0</v>
      </c>
      <c r="B723" s="33"/>
      <c r="C723" s="26" t="s">
        <v>282</v>
      </c>
      <c r="D723" s="26" t="str">
        <f t="array" ref="D7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24IT034</v>
      </c>
      <c r="E723" s="32" t="str">
        <f t="array" ref="E7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NIVETHA K</v>
      </c>
      <c r="F723" s="26" t="str">
        <f t="array" ref="F7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3" s="26" t="str">
        <f t="array" ref="G7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23" s="26" t="str">
        <f t="array" ref="H723">IF(
MOD(ROW()-2,6)=0,
INDEX('Form Responses'!I:I,INT((ROW()-2)/6)+2),
"-- NA --"
)</f>
        <v>-- NA --</v>
      </c>
      <c r="I723" s="32" t="str">
        <f t="array" ref="I723">IF(
MOD(ROW()-2,6)=0,
INDEX('Form Responses'!J:J,INT((ROW()-2)/6)+2),
"-- NA --"
)</f>
        <v>-- NA --</v>
      </c>
      <c r="J723" s="3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26">
        <v>723.0</v>
      </c>
      <c r="B724" s="33"/>
      <c r="C724" s="26" t="s">
        <v>385</v>
      </c>
      <c r="D724" s="26" t="str">
        <f t="array" ref="D7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24IT031</v>
      </c>
      <c r="E724" s="32" t="str">
        <f t="array" ref="E7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MONISH R K</v>
      </c>
      <c r="F724" s="26" t="str">
        <f t="array" ref="F7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4" s="26" t="str">
        <f t="array" ref="G7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24" s="26" t="str">
        <f t="array" ref="H724">IF(
MOD(ROW()-2,6)=0,
INDEX('Form Responses'!I:I,INT((ROW()-2)/6)+2),
"-- NA --"
)</f>
        <v>-- NA --</v>
      </c>
      <c r="I724" s="32" t="str">
        <f t="array" ref="I724">IF(
MOD(ROW()-2,6)=0,
INDEX('Form Responses'!J:J,INT((ROW()-2)/6)+2),
"-- NA --"
)</f>
        <v>-- NA --</v>
      </c>
      <c r="J724" s="3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26">
        <v>724.0</v>
      </c>
      <c r="B725" s="33"/>
      <c r="C725" s="26" t="s">
        <v>425</v>
      </c>
      <c r="D725" s="26" t="str">
        <f t="array" ref="D7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24IT003</v>
      </c>
      <c r="E725" s="32" t="str">
        <f t="array" ref="E7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ABIRAMI S</v>
      </c>
      <c r="F725" s="26" t="str">
        <f t="array" ref="F7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5" s="26" t="str">
        <f t="array" ref="G7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25" s="26" t="str">
        <f t="array" ref="H725">IF(
MOD(ROW()-2,6)=0,
INDEX('Form Responses'!I:I,INT((ROW()-2)/6)+2),
"-- NA --"
)</f>
        <v>-- NA --</v>
      </c>
      <c r="I725" s="32" t="str">
        <f t="array" ref="I725">IF(
MOD(ROW()-2,6)=0,
INDEX('Form Responses'!J:J,INT((ROW()-2)/6)+2),
"-- NA --"
)</f>
        <v>-- NA --</v>
      </c>
      <c r="J725" s="3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26">
        <v>725.0</v>
      </c>
      <c r="B726" s="33"/>
      <c r="C726" s="26" t="s">
        <v>464</v>
      </c>
      <c r="D726" s="26" t="str">
        <f t="array" ref="D7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24AM018</v>
      </c>
      <c r="E726" s="32" t="str">
        <f t="array" ref="E7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DHAKSHATHA S</v>
      </c>
      <c r="F726" s="26" t="str">
        <f t="array" ref="F7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6" s="26" t="str">
        <f t="array" ref="G7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26" s="26" t="str">
        <f t="array" ref="H726">IF(
MOD(ROW()-2,6)=0,
INDEX('Form Responses'!I:I,INT((ROW()-2)/6)+2),
"-- NA --"
)</f>
        <v>-- NA --</v>
      </c>
      <c r="I726" s="32" t="str">
        <f t="array" ref="I726">IF(
MOD(ROW()-2,6)=0,
INDEX('Form Responses'!J:J,INT((ROW()-2)/6)+2),
"-- NA --"
)</f>
        <v>-- NA --</v>
      </c>
      <c r="J726" s="3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26">
        <v>726.0</v>
      </c>
      <c r="B727" s="6"/>
      <c r="C727" s="26" t="s">
        <v>500</v>
      </c>
      <c r="D727" s="26" t="str">
        <f t="array" ref="D7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24AD195</v>
      </c>
      <c r="E727" s="32" t="str">
        <f t="array" ref="E7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SASIVARNAN R S</v>
      </c>
      <c r="F727" s="26" t="str">
        <f t="array" ref="F7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27" s="26" t="str">
        <f t="array" ref="G7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27" s="26" t="str">
        <f t="array" ref="H727">IF(
MOD(ROW()-2,6)=0,
INDEX('Form Responses'!I:I,INT((ROW()-2)/6)+2),
"-- NA --"
)</f>
        <v>-- NA --</v>
      </c>
      <c r="I727" s="32" t="str">
        <f t="array" ref="I727">IF(
MOD(ROW()-2,6)=0,
INDEX('Form Responses'!J:J,INT((ROW()-2)/6)+2),
"-- NA --"
)</f>
        <v>-- NA --</v>
      </c>
      <c r="J727" s="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26">
        <v>727.0</v>
      </c>
      <c r="B728" s="29" t="str">
        <f t="array" ref="B728">INDEX('Form Responses'!$C:$C,INT((ROW()-2)/6)+2)</f>
        <v>TEAM JARVIS </v>
      </c>
      <c r="C728" s="31" t="s">
        <v>140</v>
      </c>
      <c r="D728" s="26" t="str">
        <f t="array" ref="D7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25CB052</v>
      </c>
      <c r="E728" s="32" t="str">
        <f t="array" ref="E7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 M</v>
      </c>
      <c r="F728" s="26" t="str">
        <f t="array" ref="F7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28" s="26" t="str">
        <f t="array" ref="G7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28" s="26">
        <f t="array" ref="H728">IF(
MOD(ROW()-2,6)=0,
INDEX('Form Responses'!I:I,INT((ROW()-2)/6)+2),
"-- NA --"
)</f>
        <v>6380494428</v>
      </c>
      <c r="I728" s="32" t="str">
        <f t="array" ref="I728">IF(
MOD(ROW()-2,6)=0,
INDEX('Form Responses'!J:J,INT((ROW()-2)/6)+2),
"-- NA --"
)</f>
        <v>siva.m2025csbs@sece.ac.in</v>
      </c>
      <c r="J728" s="29" t="str">
        <f t="array" ref="J728">INDEX('Form Responses'!$D:$D,INT((ROW()-2)/6)+2)</f>
        <v>Hardware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26">
        <v>728.0</v>
      </c>
      <c r="B729" s="33"/>
      <c r="C729" s="26" t="s">
        <v>282</v>
      </c>
      <c r="D729" s="26" t="str">
        <f t="array" ref="D7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25CB014</v>
      </c>
      <c r="E729" s="32" t="str">
        <f t="array" ref="E7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 R</v>
      </c>
      <c r="F729" s="26" t="str">
        <f t="array" ref="F7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29" s="26" t="str">
        <f t="array" ref="G7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29" s="26" t="str">
        <f t="array" ref="H729">IF(
MOD(ROW()-2,6)=0,
INDEX('Form Responses'!I:I,INT((ROW()-2)/6)+2),
"-- NA --"
)</f>
        <v>-- NA --</v>
      </c>
      <c r="I729" s="32" t="str">
        <f t="array" ref="I729">IF(
MOD(ROW()-2,6)=0,
INDEX('Form Responses'!J:J,INT((ROW()-2)/6)+2),
"-- NA --"
)</f>
        <v>-- NA --</v>
      </c>
      <c r="J729" s="3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26">
        <v>729.0</v>
      </c>
      <c r="B730" s="33"/>
      <c r="C730" s="26" t="s">
        <v>385</v>
      </c>
      <c r="D730" s="26" t="str">
        <f t="array" ref="D7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25CB025</v>
      </c>
      <c r="E730" s="32" t="str">
        <f t="array" ref="E7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LIJILJEROME </v>
      </c>
      <c r="F730" s="26" t="str">
        <f t="array" ref="F7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0" s="26" t="str">
        <f t="array" ref="G7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30" s="26" t="str">
        <f t="array" ref="H730">IF(
MOD(ROW()-2,6)=0,
INDEX('Form Responses'!I:I,INT((ROW()-2)/6)+2),
"-- NA --"
)</f>
        <v>-- NA --</v>
      </c>
      <c r="I730" s="32" t="str">
        <f t="array" ref="I730">IF(
MOD(ROW()-2,6)=0,
INDEX('Form Responses'!J:J,INT((ROW()-2)/6)+2),
"-- NA --"
)</f>
        <v>-- NA --</v>
      </c>
      <c r="J730" s="3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26">
        <v>730.0</v>
      </c>
      <c r="B731" s="33"/>
      <c r="C731" s="26" t="s">
        <v>425</v>
      </c>
      <c r="D731" s="26" t="str">
        <f t="array" ref="D7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25CB009</v>
      </c>
      <c r="E731" s="32" t="str">
        <f t="array" ref="E7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R S</v>
      </c>
      <c r="F731" s="26" t="str">
        <f t="array" ref="F7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1" s="26" t="str">
        <f t="array" ref="G7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31" s="26" t="str">
        <f t="array" ref="H731">IF(
MOD(ROW()-2,6)=0,
INDEX('Form Responses'!I:I,INT((ROW()-2)/6)+2),
"-- NA --"
)</f>
        <v>-- NA --</v>
      </c>
      <c r="I731" s="32" t="str">
        <f t="array" ref="I731">IF(
MOD(ROW()-2,6)=0,
INDEX('Form Responses'!J:J,INT((ROW()-2)/6)+2),
"-- NA --"
)</f>
        <v>-- NA --</v>
      </c>
      <c r="J731" s="3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26">
        <v>731.0</v>
      </c>
      <c r="B732" s="33"/>
      <c r="C732" s="26" t="s">
        <v>464</v>
      </c>
      <c r="D732" s="26" t="str">
        <f t="array" ref="D7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25EC170</v>
      </c>
      <c r="E732" s="32" t="str">
        <f t="array" ref="E7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SUJITHA S</v>
      </c>
      <c r="F732" s="26" t="str">
        <f t="array" ref="F7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2" s="26" t="str">
        <f t="array" ref="G7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32" s="26" t="str">
        <f t="array" ref="H732">IF(
MOD(ROW()-2,6)=0,
INDEX('Form Responses'!I:I,INT((ROW()-2)/6)+2),
"-- NA --"
)</f>
        <v>-- NA --</v>
      </c>
      <c r="I732" s="32" t="str">
        <f t="array" ref="I732">IF(
MOD(ROW()-2,6)=0,
INDEX('Form Responses'!J:J,INT((ROW()-2)/6)+2),
"-- NA --"
)</f>
        <v>-- NA --</v>
      </c>
      <c r="J732" s="3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26">
        <v>732.0</v>
      </c>
      <c r="B733" s="6"/>
      <c r="C733" s="26" t="s">
        <v>500</v>
      </c>
      <c r="D733" s="26" t="str">
        <f t="array" ref="D7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L0011</v>
      </c>
      <c r="E733" s="32" t="str">
        <f t="array" ref="E7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DURGA DEVI R</v>
      </c>
      <c r="F733" s="26" t="str">
        <f t="array" ref="F7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3" s="26" t="str">
        <f t="array" ref="G7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33" s="26" t="str">
        <f t="array" ref="H733">IF(
MOD(ROW()-2,6)=0,
INDEX('Form Responses'!I:I,INT((ROW()-2)/6)+2),
"-- NA --"
)</f>
        <v>-- NA --</v>
      </c>
      <c r="I733" s="32" t="str">
        <f t="array" ref="I733">IF(
MOD(ROW()-2,6)=0,
INDEX('Form Responses'!J:J,INT((ROW()-2)/6)+2),
"-- NA --"
)</f>
        <v>-- NA --</v>
      </c>
      <c r="J733" s="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26">
        <v>733.0</v>
      </c>
      <c r="B734" s="29" t="str">
        <f t="array" ref="B734">INDEX('Form Responses'!$C:$C,INT((ROW()-2)/6)+2)</f>
        <v>HEXACORE</v>
      </c>
      <c r="C734" s="31" t="s">
        <v>140</v>
      </c>
      <c r="D734" s="26" t="str">
        <f t="array" ref="D7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24AD221</v>
      </c>
      <c r="E734" s="32" t="str">
        <f t="array" ref="E7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SUBASH S</v>
      </c>
      <c r="F734" s="26" t="str">
        <f t="array" ref="F7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34" s="26" t="str">
        <f t="array" ref="G7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34" s="26">
        <f t="array" ref="H734">IF(
MOD(ROW()-2,6)=0,
INDEX('Form Responses'!I:I,INT((ROW()-2)/6)+2),
"-- NA --"
)</f>
        <v>9597683038</v>
      </c>
      <c r="I734" s="32" t="str">
        <f t="array" ref="I734">IF(
MOD(ROW()-2,6)=0,
INDEX('Form Responses'!J:J,INT((ROW()-2)/6)+2),
"-- NA --"
)</f>
        <v>subash.s2024aids@sece.ac.in</v>
      </c>
      <c r="J734" s="29" t="str">
        <f t="array" ref="J734">INDEX('Form Responses'!$D:$D,INT((ROW()-2)/6)+2)</f>
        <v>Hardware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26">
        <v>734.0</v>
      </c>
      <c r="B735" s="33"/>
      <c r="C735" s="26" t="s">
        <v>282</v>
      </c>
      <c r="D735" s="26" t="str">
        <f t="array" ref="D7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24AD222</v>
      </c>
      <c r="E735" s="32" t="str">
        <f t="array" ref="E7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SUDHARSINI R</v>
      </c>
      <c r="F735" s="26" t="str">
        <f t="array" ref="F7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35" s="26" t="str">
        <f t="array" ref="G7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35" s="26" t="str">
        <f t="array" ref="H735">IF(
MOD(ROW()-2,6)=0,
INDEX('Form Responses'!I:I,INT((ROW()-2)/6)+2),
"-- NA --"
)</f>
        <v>-- NA --</v>
      </c>
      <c r="I735" s="32" t="str">
        <f t="array" ref="I735">IF(
MOD(ROW()-2,6)=0,
INDEX('Form Responses'!J:J,INT((ROW()-2)/6)+2),
"-- NA --"
)</f>
        <v>-- NA --</v>
      </c>
      <c r="J735" s="3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26">
        <v>735.0</v>
      </c>
      <c r="B736" s="33"/>
      <c r="C736" s="26" t="s">
        <v>385</v>
      </c>
      <c r="D736" s="26" t="str">
        <f t="array" ref="D7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24AD223</v>
      </c>
      <c r="E736" s="32" t="str">
        <f t="array" ref="E7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SUGANMANTHRAN SG</v>
      </c>
      <c r="F736" s="26" t="str">
        <f t="array" ref="F7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36" s="26" t="str">
        <f t="array" ref="G7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36" s="26" t="str">
        <f t="array" ref="H736">IF(
MOD(ROW()-2,6)=0,
INDEX('Form Responses'!I:I,INT((ROW()-2)/6)+2),
"-- NA --"
)</f>
        <v>-- NA --</v>
      </c>
      <c r="I736" s="32" t="str">
        <f t="array" ref="I736">IF(
MOD(ROW()-2,6)=0,
INDEX('Form Responses'!J:J,INT((ROW()-2)/6)+2),
"-- NA --"
)</f>
        <v>-- NA --</v>
      </c>
      <c r="J736" s="3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26">
        <v>736.0</v>
      </c>
      <c r="B737" s="33"/>
      <c r="C737" s="26" t="s">
        <v>425</v>
      </c>
      <c r="D737" s="26" t="str">
        <f t="array" ref="D7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25AD084</v>
      </c>
      <c r="E737" s="32" t="str">
        <f t="array" ref="E7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JENIN JOHN S</v>
      </c>
      <c r="F737" s="26" t="str">
        <f t="array" ref="F7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7" s="26" t="str">
        <f t="array" ref="G7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37" s="26" t="str">
        <f t="array" ref="H737">IF(
MOD(ROW()-2,6)=0,
INDEX('Form Responses'!I:I,INT((ROW()-2)/6)+2),
"-- NA --"
)</f>
        <v>-- NA --</v>
      </c>
      <c r="I737" s="32" t="str">
        <f t="array" ref="I737">IF(
MOD(ROW()-2,6)=0,
INDEX('Form Responses'!J:J,INT((ROW()-2)/6)+2),
"-- NA --"
)</f>
        <v>-- NA --</v>
      </c>
      <c r="J737" s="3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26">
        <v>737.0</v>
      </c>
      <c r="B738" s="33"/>
      <c r="C738" s="26" t="s">
        <v>464</v>
      </c>
      <c r="D738" s="26" t="str">
        <f t="array" ref="D7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25EC154</v>
      </c>
      <c r="E738" s="32" t="str">
        <f t="array" ref="E7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SNEHALATHA N</v>
      </c>
      <c r="F738" s="26" t="str">
        <f t="array" ref="F7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8" s="26" t="str">
        <f t="array" ref="G7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38" s="26" t="str">
        <f t="array" ref="H738">IF(
MOD(ROW()-2,6)=0,
INDEX('Form Responses'!I:I,INT((ROW()-2)/6)+2),
"-- NA --"
)</f>
        <v>-- NA --</v>
      </c>
      <c r="I738" s="32" t="str">
        <f t="array" ref="I738">IF(
MOD(ROW()-2,6)=0,
INDEX('Form Responses'!J:J,INT((ROW()-2)/6)+2),
"-- NA --"
)</f>
        <v>-- NA --</v>
      </c>
      <c r="J738" s="3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26">
        <v>738.0</v>
      </c>
      <c r="B739" s="6"/>
      <c r="C739" s="26" t="s">
        <v>500</v>
      </c>
      <c r="D739" s="26" t="str">
        <f t="array" ref="D7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25EC132</v>
      </c>
      <c r="E739" s="32" t="str">
        <f t="array" ref="E7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 K</v>
      </c>
      <c r="F739" s="26" t="str">
        <f t="array" ref="F7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39" s="26" t="str">
        <f t="array" ref="G7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39" s="26" t="str">
        <f t="array" ref="H739">IF(
MOD(ROW()-2,6)=0,
INDEX('Form Responses'!I:I,INT((ROW()-2)/6)+2),
"-- NA --"
)</f>
        <v>-- NA --</v>
      </c>
      <c r="I739" s="32" t="str">
        <f t="array" ref="I739">IF(
MOD(ROW()-2,6)=0,
INDEX('Form Responses'!J:J,INT((ROW()-2)/6)+2),
"-- NA --"
)</f>
        <v>-- NA --</v>
      </c>
      <c r="J739" s="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26">
        <v>739.0</v>
      </c>
      <c r="B740" s="29" t="str">
        <f t="array" ref="B740">INDEX('Form Responses'!$C:$C,INT((ROW()-2)/6)+2)</f>
        <v>THE LAST COMMIT</v>
      </c>
      <c r="C740" s="31" t="s">
        <v>140</v>
      </c>
      <c r="D740" s="26" t="str">
        <f t="array" ref="D7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24EE022</v>
      </c>
      <c r="E740" s="32" t="str">
        <f t="array" ref="E7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Magizhan A T </v>
      </c>
      <c r="F740" s="26" t="str">
        <f t="array" ref="F7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0" s="26" t="str">
        <f t="array" ref="G7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40" s="26">
        <f t="array" ref="H740">IF(
MOD(ROW()-2,6)=0,
INDEX('Form Responses'!I:I,INT((ROW()-2)/6)+2),
"-- NA --"
)</f>
        <v>9952788717</v>
      </c>
      <c r="I740" s="32" t="str">
        <f t="array" ref="I740">IF(
MOD(ROW()-2,6)=0,
INDEX('Form Responses'!J:J,INT((ROW()-2)/6)+2),
"-- NA --"
)</f>
        <v>magizhan.at2024eee@sece.ac.in</v>
      </c>
      <c r="J740" s="29" t="str">
        <f t="array" ref="J740">INDEX('Form Responses'!$D:$D,INT((ROW()-2)/6)+2)</f>
        <v>Software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26">
        <v>740.0</v>
      </c>
      <c r="B741" s="33"/>
      <c r="C741" s="26" t="s">
        <v>282</v>
      </c>
      <c r="D741" s="26" t="str">
        <f t="array" ref="D7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24EE014</v>
      </c>
      <c r="E741" s="32" t="str">
        <f t="array" ref="E7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HARIPRASHANNA V</v>
      </c>
      <c r="F741" s="26" t="str">
        <f t="array" ref="F7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1" s="26" t="str">
        <f t="array" ref="G7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41" s="26" t="str">
        <f t="array" ref="H741">IF(
MOD(ROW()-2,6)=0,
INDEX('Form Responses'!I:I,INT((ROW()-2)/6)+2),
"-- NA --"
)</f>
        <v>-- NA --</v>
      </c>
      <c r="I741" s="32" t="str">
        <f t="array" ref="I741">IF(
MOD(ROW()-2,6)=0,
INDEX('Form Responses'!J:J,INT((ROW()-2)/6)+2),
"-- NA --"
)</f>
        <v>-- NA --</v>
      </c>
      <c r="J741" s="3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26">
        <v>741.0</v>
      </c>
      <c r="B742" s="33"/>
      <c r="C742" s="26" t="s">
        <v>385</v>
      </c>
      <c r="D742" s="26" t="str">
        <f t="array" ref="D7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24EE002</v>
      </c>
      <c r="E742" s="32" t="str">
        <f t="array" ref="E7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ABISHEK K</v>
      </c>
      <c r="F742" s="26" t="str">
        <f t="array" ref="F7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2" s="26" t="str">
        <f t="array" ref="G7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42" s="26" t="str">
        <f t="array" ref="H742">IF(
MOD(ROW()-2,6)=0,
INDEX('Form Responses'!I:I,INT((ROW()-2)/6)+2),
"-- NA --"
)</f>
        <v>-- NA --</v>
      </c>
      <c r="I742" s="32" t="str">
        <f t="array" ref="I742">IF(
MOD(ROW()-2,6)=0,
INDEX('Form Responses'!J:J,INT((ROW()-2)/6)+2),
"-- NA --"
)</f>
        <v>-- NA --</v>
      </c>
      <c r="J742" s="3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26">
        <v>742.0</v>
      </c>
      <c r="B743" s="33"/>
      <c r="C743" s="26" t="s">
        <v>425</v>
      </c>
      <c r="D743" s="26" t="str">
        <f t="array" ref="D7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24CS049</v>
      </c>
      <c r="E743" s="32" t="str">
        <f t="array" ref="E7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DHANASEELAN M</v>
      </c>
      <c r="F743" s="26" t="str">
        <f t="array" ref="F7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3" s="26" t="str">
        <f t="array" ref="G7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43" s="26" t="str">
        <f t="array" ref="H743">IF(
MOD(ROW()-2,6)=0,
INDEX('Form Responses'!I:I,INT((ROW()-2)/6)+2),
"-- NA --"
)</f>
        <v>-- NA --</v>
      </c>
      <c r="I743" s="32" t="str">
        <f t="array" ref="I743">IF(
MOD(ROW()-2,6)=0,
INDEX('Form Responses'!J:J,INT((ROW()-2)/6)+2),
"-- NA --"
)</f>
        <v>-- NA --</v>
      </c>
      <c r="J743" s="3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26">
        <v>743.0</v>
      </c>
      <c r="B744" s="33"/>
      <c r="C744" s="26" t="s">
        <v>464</v>
      </c>
      <c r="D744" s="26" t="str">
        <f t="array" ref="D7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24AM124</v>
      </c>
      <c r="E744" s="32" t="str">
        <f t="array" ref="E7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YOGITA R</v>
      </c>
      <c r="F744" s="26" t="str">
        <f t="array" ref="F7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4" s="26" t="str">
        <f t="array" ref="G7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44" s="26" t="str">
        <f t="array" ref="H744">IF(
MOD(ROW()-2,6)=0,
INDEX('Form Responses'!I:I,INT((ROW()-2)/6)+2),
"-- NA --"
)</f>
        <v>-- NA --</v>
      </c>
      <c r="I744" s="32" t="str">
        <f t="array" ref="I744">IF(
MOD(ROW()-2,6)=0,
INDEX('Form Responses'!J:J,INT((ROW()-2)/6)+2),
"-- NA --"
)</f>
        <v>-- NA --</v>
      </c>
      <c r="J744" s="3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26">
        <v>744.0</v>
      </c>
      <c r="B745" s="6"/>
      <c r="C745" s="26" t="s">
        <v>500</v>
      </c>
      <c r="D745" s="26" t="str">
        <f t="array" ref="D7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24AM111</v>
      </c>
      <c r="E745" s="32" t="str">
        <f t="array" ref="E7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VANDHANA G M</v>
      </c>
      <c r="F745" s="26" t="str">
        <f t="array" ref="F7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45" s="26" t="str">
        <f t="array" ref="G7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45" s="26" t="str">
        <f t="array" ref="H745">IF(
MOD(ROW()-2,6)=0,
INDEX('Form Responses'!I:I,INT((ROW()-2)/6)+2),
"-- NA --"
)</f>
        <v>-- NA --</v>
      </c>
      <c r="I745" s="32" t="str">
        <f t="array" ref="I745">IF(
MOD(ROW()-2,6)=0,
INDEX('Form Responses'!J:J,INT((ROW()-2)/6)+2),
"-- NA --"
)</f>
        <v>-- NA --</v>
      </c>
      <c r="J745" s="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26">
        <v>745.0</v>
      </c>
      <c r="B746" s="29" t="str">
        <f t="array" ref="B746">INDEX('Form Responses'!$C:$C,INT((ROW()-2)/6)+2)</f>
        <v>SCAR FACE</v>
      </c>
      <c r="C746" s="31" t="s">
        <v>140</v>
      </c>
      <c r="D746" s="26" t="str">
        <f t="array" ref="D7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25CS001</v>
      </c>
      <c r="E746" s="32" t="str">
        <f t="array" ref="E7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ABHISHEIK RAJA ST </v>
      </c>
      <c r="F746" s="26" t="str">
        <f t="array" ref="F7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46" s="26" t="str">
        <f t="array" ref="G7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46" s="26">
        <f t="array" ref="H746">IF(
MOD(ROW()-2,6)=0,
INDEX('Form Responses'!I:I,INT((ROW()-2)/6)+2),
"-- NA --"
)</f>
        <v>8903450031</v>
      </c>
      <c r="I746" s="32" t="str">
        <f t="array" ref="I746">IF(
MOD(ROW()-2,6)=0,
INDEX('Form Responses'!J:J,INT((ROW()-2)/6)+2),
"-- NA --"
)</f>
        <v>abhisheikraja.st2025cse@sece.ac.in</v>
      </c>
      <c r="J746" s="29" t="str">
        <f t="array" ref="J746">INDEX('Form Responses'!$D:$D,INT((ROW()-2)/6)+2)</f>
        <v>Hardware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26">
        <v>746.0</v>
      </c>
      <c r="B747" s="33"/>
      <c r="C747" s="26" t="s">
        <v>282</v>
      </c>
      <c r="D747" s="26" t="str">
        <f t="array" ref="D7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25CS023</v>
      </c>
      <c r="E747" s="32" t="str">
        <f t="array" ref="E7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BHUVANAHAMSADVANI K S </v>
      </c>
      <c r="F747" s="26" t="str">
        <f t="array" ref="F7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47" s="26" t="str">
        <f t="array" ref="G7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47" s="26" t="str">
        <f t="array" ref="H747">IF(
MOD(ROW()-2,6)=0,
INDEX('Form Responses'!I:I,INT((ROW()-2)/6)+2),
"-- NA --"
)</f>
        <v>-- NA --</v>
      </c>
      <c r="I747" s="32" t="str">
        <f t="array" ref="I747">IF(
MOD(ROW()-2,6)=0,
INDEX('Form Responses'!J:J,INT((ROW()-2)/6)+2),
"-- NA --"
)</f>
        <v>-- NA --</v>
      </c>
      <c r="J747" s="3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26">
        <v>747.0</v>
      </c>
      <c r="B748" s="33"/>
      <c r="C748" s="26" t="s">
        <v>385</v>
      </c>
      <c r="D748" s="26" t="str">
        <f t="array" ref="D7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25AM081</v>
      </c>
      <c r="E748" s="32" t="str">
        <f t="array" ref="E7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SAJITHA M</v>
      </c>
      <c r="F748" s="26" t="str">
        <f t="array" ref="F7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48" s="26" t="str">
        <f t="array" ref="G7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48" s="26" t="str">
        <f t="array" ref="H748">IF(
MOD(ROW()-2,6)=0,
INDEX('Form Responses'!I:I,INT((ROW()-2)/6)+2),
"-- NA --"
)</f>
        <v>-- NA --</v>
      </c>
      <c r="I748" s="32" t="str">
        <f t="array" ref="I748">IF(
MOD(ROW()-2,6)=0,
INDEX('Form Responses'!J:J,INT((ROW()-2)/6)+2),
"-- NA --"
)</f>
        <v>-- NA --</v>
      </c>
      <c r="J748" s="3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26">
        <v>748.0</v>
      </c>
      <c r="B749" s="33"/>
      <c r="C749" s="26" t="s">
        <v>425</v>
      </c>
      <c r="D749" s="26" t="str">
        <f t="array" ref="D7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25AM107</v>
      </c>
      <c r="E749" s="32" t="str">
        <f t="array" ref="E7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TAMILSELVAN A</v>
      </c>
      <c r="F749" s="26" t="str">
        <f t="array" ref="F7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49" s="26" t="str">
        <f t="array" ref="G7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49" s="26" t="str">
        <f t="array" ref="H749">IF(
MOD(ROW()-2,6)=0,
INDEX('Form Responses'!I:I,INT((ROW()-2)/6)+2),
"-- NA --"
)</f>
        <v>-- NA --</v>
      </c>
      <c r="I749" s="32" t="str">
        <f t="array" ref="I749">IF(
MOD(ROW()-2,6)=0,
INDEX('Form Responses'!J:J,INT((ROW()-2)/6)+2),
"-- NA --"
)</f>
        <v>-- NA --</v>
      </c>
      <c r="J749" s="3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26">
        <v>749.0</v>
      </c>
      <c r="B750" s="33"/>
      <c r="C750" s="26" t="s">
        <v>464</v>
      </c>
      <c r="D750" s="26" t="str">
        <f t="array" ref="D7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</v>
      </c>
      <c r="E750" s="32" t="str">
        <f t="array" ref="E7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VISNU P </v>
      </c>
      <c r="F750" s="26" t="str">
        <f t="array" ref="F7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0" s="26" t="str">
        <f t="array" ref="G7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50" s="26" t="str">
        <f t="array" ref="H750">IF(
MOD(ROW()-2,6)=0,
INDEX('Form Responses'!I:I,INT((ROW()-2)/6)+2),
"-- NA --"
)</f>
        <v>-- NA --</v>
      </c>
      <c r="I750" s="32" t="str">
        <f t="array" ref="I750">IF(
MOD(ROW()-2,6)=0,
INDEX('Form Responses'!J:J,INT((ROW()-2)/6)+2),
"-- NA --"
)</f>
        <v>-- NA --</v>
      </c>
      <c r="J750" s="3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26">
        <v>750.0</v>
      </c>
      <c r="B751" s="6"/>
      <c r="C751" s="26" t="s">
        <v>500</v>
      </c>
      <c r="D751" s="26" t="str">
        <f t="array" ref="D7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25IT009</v>
      </c>
      <c r="E751" s="32" t="str">
        <f t="array" ref="E7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Baranidharan</v>
      </c>
      <c r="F751" s="26" t="str">
        <f t="array" ref="F7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1" s="26" t="str">
        <f t="array" ref="G7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51" s="26" t="str">
        <f t="array" ref="H751">IF(
MOD(ROW()-2,6)=0,
INDEX('Form Responses'!I:I,INT((ROW()-2)/6)+2),
"-- NA --"
)</f>
        <v>-- NA --</v>
      </c>
      <c r="I751" s="32" t="str">
        <f t="array" ref="I751">IF(
MOD(ROW()-2,6)=0,
INDEX('Form Responses'!J:J,INT((ROW()-2)/6)+2),
"-- NA --"
)</f>
        <v>-- NA --</v>
      </c>
      <c r="J751" s="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26">
        <v>751.0</v>
      </c>
      <c r="B752" s="29" t="str">
        <f t="array" ref="B752">INDEX('Form Responses'!$C:$C,INT((ROW()-2)/6)+2)</f>
        <v>NOVA NEXUS</v>
      </c>
      <c r="C752" s="31" t="s">
        <v>140</v>
      </c>
      <c r="D752" s="26" t="str">
        <f t="array" ref="D7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25CB003</v>
      </c>
      <c r="E752" s="32" t="str">
        <f t="array" ref="E7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ASWATHA S</v>
      </c>
      <c r="F752" s="26" t="str">
        <f t="array" ref="F7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2" s="26" t="str">
        <f t="array" ref="G7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52" s="26">
        <f t="array" ref="H752">IF(
MOD(ROW()-2,6)=0,
INDEX('Form Responses'!I:I,INT((ROW()-2)/6)+2),
"-- NA --"
)</f>
        <v>9952312646</v>
      </c>
      <c r="I752" s="32" t="str">
        <f t="array" ref="I752">IF(
MOD(ROW()-2,6)=0,
INDEX('Form Responses'!J:J,INT((ROW()-2)/6)+2),
"-- NA --"
)</f>
        <v>aswatha.s2025csbs@sece.ac.in</v>
      </c>
      <c r="J752" s="29" t="str">
        <f t="array" ref="J752">INDEX('Form Responses'!$D:$D,INT((ROW()-2)/6)+2)</f>
        <v>Software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26">
        <v>752.0</v>
      </c>
      <c r="B753" s="33"/>
      <c r="C753" s="26" t="s">
        <v>282</v>
      </c>
      <c r="D753" s="26" t="str">
        <f t="array" ref="D7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25IT025</v>
      </c>
      <c r="E753" s="32" t="str">
        <f t="array" ref="E7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 S</v>
      </c>
      <c r="F753" s="26" t="str">
        <f t="array" ref="F7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3" s="26" t="str">
        <f t="array" ref="G7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53" s="26" t="str">
        <f t="array" ref="H753">IF(
MOD(ROW()-2,6)=0,
INDEX('Form Responses'!I:I,INT((ROW()-2)/6)+2),
"-- NA --"
)</f>
        <v>-- NA --</v>
      </c>
      <c r="I753" s="32" t="str">
        <f t="array" ref="I753">IF(
MOD(ROW()-2,6)=0,
INDEX('Form Responses'!J:J,INT((ROW()-2)/6)+2),
"-- NA --"
)</f>
        <v>-- NA --</v>
      </c>
      <c r="J753" s="3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26">
        <v>753.0</v>
      </c>
      <c r="B754" s="33"/>
      <c r="C754" s="26" t="s">
        <v>385</v>
      </c>
      <c r="D754" s="26" t="str">
        <f t="array" ref="D7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25IT027</v>
      </c>
      <c r="E754" s="32" t="str">
        <f t="array" ref="E7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LAL GOWTHAM M</v>
      </c>
      <c r="F754" s="26" t="str">
        <f t="array" ref="F7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4" s="26" t="str">
        <f t="array" ref="G7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54" s="26" t="str">
        <f t="array" ref="H754">IF(
MOD(ROW()-2,6)=0,
INDEX('Form Responses'!I:I,INT((ROW()-2)/6)+2),
"-- NA --"
)</f>
        <v>-- NA --</v>
      </c>
      <c r="I754" s="32" t="str">
        <f t="array" ref="I754">IF(
MOD(ROW()-2,6)=0,
INDEX('Form Responses'!J:J,INT((ROW()-2)/6)+2),
"-- NA --"
)</f>
        <v>-- NA --</v>
      </c>
      <c r="J754" s="3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26">
        <v>754.0</v>
      </c>
      <c r="B755" s="33"/>
      <c r="C755" s="26" t="s">
        <v>425</v>
      </c>
      <c r="D755" s="26" t="str">
        <f t="array" ref="D7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25IT036</v>
      </c>
      <c r="E755" s="32" t="str">
        <f t="array" ref="E7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NIKHIL RJ</v>
      </c>
      <c r="F755" s="26" t="str">
        <f t="array" ref="F7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5" s="26" t="str">
        <f t="array" ref="G7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755" s="26" t="str">
        <f t="array" ref="H755">IF(
MOD(ROW()-2,6)=0,
INDEX('Form Responses'!I:I,INT((ROW()-2)/6)+2),
"-- NA --"
)</f>
        <v>-- NA --</v>
      </c>
      <c r="I755" s="32" t="str">
        <f t="array" ref="I755">IF(
MOD(ROW()-2,6)=0,
INDEX('Form Responses'!J:J,INT((ROW()-2)/6)+2),
"-- NA --"
)</f>
        <v>-- NA --</v>
      </c>
      <c r="J755" s="3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26">
        <v>755.0</v>
      </c>
      <c r="B756" s="33"/>
      <c r="C756" s="26" t="s">
        <v>464</v>
      </c>
      <c r="D756" s="26" t="str">
        <f t="array" ref="D7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25CB023</v>
      </c>
      <c r="E756" s="32" t="str">
        <f t="array" ref="E7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KAVISRI V R</v>
      </c>
      <c r="F756" s="26" t="str">
        <f t="array" ref="F7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6" s="26" t="str">
        <f t="array" ref="G7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56" s="26" t="str">
        <f t="array" ref="H756">IF(
MOD(ROW()-2,6)=0,
INDEX('Form Responses'!I:I,INT((ROW()-2)/6)+2),
"-- NA --"
)</f>
        <v>-- NA --</v>
      </c>
      <c r="I756" s="32" t="str">
        <f t="array" ref="I756">IF(
MOD(ROW()-2,6)=0,
INDEX('Form Responses'!J:J,INT((ROW()-2)/6)+2),
"-- NA --"
)</f>
        <v>-- NA --</v>
      </c>
      <c r="J756" s="3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26">
        <v>756.0</v>
      </c>
      <c r="B757" s="6"/>
      <c r="C757" s="26" t="s">
        <v>500</v>
      </c>
      <c r="D757" s="26" t="str">
        <f t="array" ref="D7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25AD206</v>
      </c>
      <c r="E757" s="32" t="str">
        <f t="array" ref="E7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SRIHA P</v>
      </c>
      <c r="F757" s="26" t="str">
        <f t="array" ref="F7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57" s="26" t="str">
        <f t="array" ref="G7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57" s="26" t="str">
        <f t="array" ref="H757">IF(
MOD(ROW()-2,6)=0,
INDEX('Form Responses'!I:I,INT((ROW()-2)/6)+2),
"-- NA --"
)</f>
        <v>-- NA --</v>
      </c>
      <c r="I757" s="32" t="str">
        <f t="array" ref="I757">IF(
MOD(ROW()-2,6)=0,
INDEX('Form Responses'!J:J,INT((ROW()-2)/6)+2),
"-- NA --"
)</f>
        <v>-- NA --</v>
      </c>
      <c r="J757" s="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26">
        <v>757.0</v>
      </c>
      <c r="B758" s="29" t="str">
        <f t="array" ref="B758">INDEX('Form Responses'!$C:$C,INT((ROW()-2)/6)+2)</f>
        <v>KNOWHERE </v>
      </c>
      <c r="C758" s="31" t="s">
        <v>140</v>
      </c>
      <c r="D758" s="26" t="str">
        <f t="array" ref="D7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24CS224</v>
      </c>
      <c r="E758" s="32" t="str">
        <f t="array" ref="E7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SHANKAR V</v>
      </c>
      <c r="F758" s="26" t="str">
        <f t="array" ref="F7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58" s="26" t="str">
        <f t="array" ref="G7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58" s="26">
        <f t="array" ref="H758">IF(
MOD(ROW()-2,6)=0,
INDEX('Form Responses'!I:I,INT((ROW()-2)/6)+2),
"-- NA --"
)</f>
        <v>9092055487</v>
      </c>
      <c r="I758" s="32" t="str">
        <f t="array" ref="I758">IF(
MOD(ROW()-2,6)=0,
INDEX('Form Responses'!J:J,INT((ROW()-2)/6)+2),
"-- NA --"
)</f>
        <v>shankar.v2024cse@sece.ac.in</v>
      </c>
      <c r="J758" s="29" t="str">
        <f t="array" ref="J758">INDEX('Form Responses'!$D:$D,INT((ROW()-2)/6)+2)</f>
        <v>Software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26">
        <v>758.0</v>
      </c>
      <c r="B759" s="33"/>
      <c r="C759" s="26" t="s">
        <v>282</v>
      </c>
      <c r="D759" s="26" t="str">
        <f t="array" ref="D7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24CS262</v>
      </c>
      <c r="E759" s="32" t="str">
        <f t="array" ref="E7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VIBINCHANDAR AM </v>
      </c>
      <c r="F759" s="26" t="str">
        <f t="array" ref="F7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59" s="26" t="str">
        <f t="array" ref="G7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59" s="26" t="str">
        <f t="array" ref="H759">IF(
MOD(ROW()-2,6)=0,
INDEX('Form Responses'!I:I,INT((ROW()-2)/6)+2),
"-- NA --"
)</f>
        <v>-- NA --</v>
      </c>
      <c r="I759" s="32" t="str">
        <f t="array" ref="I759">IF(
MOD(ROW()-2,6)=0,
INDEX('Form Responses'!J:J,INT((ROW()-2)/6)+2),
"-- NA --"
)</f>
        <v>-- NA --</v>
      </c>
      <c r="J759" s="3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26">
        <v>759.0</v>
      </c>
      <c r="B760" s="33"/>
      <c r="C760" s="26" t="s">
        <v>385</v>
      </c>
      <c r="D760" s="26" t="str">
        <f t="array" ref="D7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24CS229</v>
      </c>
      <c r="E760" s="32" t="str">
        <f t="array" ref="E7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SOWMIYA M S </v>
      </c>
      <c r="F760" s="26" t="str">
        <f t="array" ref="F7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60" s="26" t="str">
        <f t="array" ref="G7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60" s="26" t="str">
        <f t="array" ref="H760">IF(
MOD(ROW()-2,6)=0,
INDEX('Form Responses'!I:I,INT((ROW()-2)/6)+2),
"-- NA --"
)</f>
        <v>-- NA --</v>
      </c>
      <c r="I760" s="32" t="str">
        <f t="array" ref="I760">IF(
MOD(ROW()-2,6)=0,
INDEX('Form Responses'!J:J,INT((ROW()-2)/6)+2),
"-- NA --"
)</f>
        <v>-- NA --</v>
      </c>
      <c r="J760" s="3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26">
        <v>760.0</v>
      </c>
      <c r="B761" s="33"/>
      <c r="C761" s="26" t="s">
        <v>425</v>
      </c>
      <c r="D761" s="26" t="str">
        <f t="array" ref="D7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24CS240</v>
      </c>
      <c r="E761" s="32" t="str">
        <f t="array" ref="E7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SUGANTH V</v>
      </c>
      <c r="F761" s="26" t="str">
        <f t="array" ref="F7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61" s="26" t="str">
        <f t="array" ref="G7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61" s="26" t="str">
        <f t="array" ref="H761">IF(
MOD(ROW()-2,6)=0,
INDEX('Form Responses'!I:I,INT((ROW()-2)/6)+2),
"-- NA --"
)</f>
        <v>-- NA --</v>
      </c>
      <c r="I761" s="32" t="str">
        <f t="array" ref="I761">IF(
MOD(ROW()-2,6)=0,
INDEX('Form Responses'!J:J,INT((ROW()-2)/6)+2),
"-- NA --"
)</f>
        <v>-- NA --</v>
      </c>
      <c r="J761" s="3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26">
        <v>761.0</v>
      </c>
      <c r="B762" s="33"/>
      <c r="C762" s="26" t="s">
        <v>464</v>
      </c>
      <c r="D762" s="26" t="str">
        <f t="array" ref="D7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24CS233</v>
      </c>
      <c r="E762" s="32" t="str">
        <f t="array" ref="E7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SWATHIGA S</v>
      </c>
      <c r="F762" s="26" t="str">
        <f t="array" ref="F7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62" s="26" t="str">
        <f t="array" ref="G7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62" s="26" t="str">
        <f t="array" ref="H762">IF(
MOD(ROW()-2,6)=0,
INDEX('Form Responses'!I:I,INT((ROW()-2)/6)+2),
"-- NA --"
)</f>
        <v>-- NA --</v>
      </c>
      <c r="I762" s="32" t="str">
        <f t="array" ref="I762">IF(
MOD(ROW()-2,6)=0,
INDEX('Form Responses'!J:J,INT((ROW()-2)/6)+2),
"-- NA --"
)</f>
        <v>-- NA --</v>
      </c>
      <c r="J762" s="3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26">
        <v>762.0</v>
      </c>
      <c r="B763" s="6"/>
      <c r="C763" s="26" t="s">
        <v>500</v>
      </c>
      <c r="D763" s="26" t="str">
        <f t="array" ref="D7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24EE061</v>
      </c>
      <c r="E763" s="32" t="str">
        <f t="array" ref="E7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KISHORE R A</v>
      </c>
      <c r="F763" s="26" t="str">
        <f t="array" ref="F7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763" s="26" t="str">
        <f t="array" ref="G7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63" s="26" t="str">
        <f t="array" ref="H763">IF(
MOD(ROW()-2,6)=0,
INDEX('Form Responses'!I:I,INT((ROW()-2)/6)+2),
"-- NA --"
)</f>
        <v>-- NA --</v>
      </c>
      <c r="I763" s="32" t="str">
        <f t="array" ref="I763">IF(
MOD(ROW()-2,6)=0,
INDEX('Form Responses'!J:J,INT((ROW()-2)/6)+2),
"-- NA --"
)</f>
        <v>-- NA --</v>
      </c>
      <c r="J763" s="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26">
        <v>763.0</v>
      </c>
      <c r="B764" s="29" t="str">
        <f t="array" ref="B764">INDEX('Form Responses'!$C:$C,INT((ROW()-2)/6)+2)</f>
        <v>Future Tech</v>
      </c>
      <c r="C764" s="31" t="s">
        <v>140</v>
      </c>
      <c r="D764" s="26" t="str">
        <f t="array" ref="D7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25ADO41</v>
      </c>
      <c r="E764" s="32" t="str">
        <f t="array" ref="E7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 S</v>
      </c>
      <c r="F764" s="26" t="str">
        <f t="array" ref="F7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4" s="26" t="str">
        <f t="array" ref="G7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64" s="26">
        <f t="array" ref="H764">IF(
MOD(ROW()-2,6)=0,
INDEX('Form Responses'!I:I,INT((ROW()-2)/6)+2),
"-- NA --"
)</f>
        <v>9677972377</v>
      </c>
      <c r="I764" s="32" t="str">
        <f t="array" ref="I764">IF(
MOD(ROW()-2,6)=0,
INDEX('Form Responses'!J:J,INT((ROW()-2)/6)+2),
"-- NA --"
)</f>
        <v>dharun.s2025aids@sece.ac.in</v>
      </c>
      <c r="J764" s="29" t="str">
        <f t="array" ref="J764">INDEX('Form Responses'!$D:$D,INT((ROW()-2)/6)+2)</f>
        <v>Software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26">
        <v>764.0</v>
      </c>
      <c r="B765" s="33"/>
      <c r="C765" s="26" t="s">
        <v>282</v>
      </c>
      <c r="D765" s="26" t="str">
        <f t="array" ref="D7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25AD050</v>
      </c>
      <c r="E765" s="32" t="str">
        <f t="array" ref="E7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ENBAN E</v>
      </c>
      <c r="F765" s="26" t="str">
        <f t="array" ref="F7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5" s="26" t="str">
        <f t="array" ref="G7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65" s="26" t="str">
        <f t="array" ref="H765">IF(
MOD(ROW()-2,6)=0,
INDEX('Form Responses'!I:I,INT((ROW()-2)/6)+2),
"-- NA --"
)</f>
        <v>-- NA --</v>
      </c>
      <c r="I765" s="32" t="str">
        <f t="array" ref="I765">IF(
MOD(ROW()-2,6)=0,
INDEX('Form Responses'!J:J,INT((ROW()-2)/6)+2),
"-- NA --"
)</f>
        <v>-- NA --</v>
      </c>
      <c r="J765" s="3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26">
        <v>765.0</v>
      </c>
      <c r="B766" s="33"/>
      <c r="C766" s="26" t="s">
        <v>385</v>
      </c>
      <c r="D766" s="26" t="str">
        <f t="array" ref="D7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25AD060</v>
      </c>
      <c r="E766" s="32" t="str">
        <f t="array" ref="E7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PRASANTH BM</v>
      </c>
      <c r="F766" s="26" t="str">
        <f t="array" ref="F7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6" s="26" t="str">
        <f t="array" ref="G7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66" s="26" t="str">
        <f t="array" ref="H766">IF(
MOD(ROW()-2,6)=0,
INDEX('Form Responses'!I:I,INT((ROW()-2)/6)+2),
"-- NA --"
)</f>
        <v>-- NA --</v>
      </c>
      <c r="I766" s="32" t="str">
        <f t="array" ref="I766">IF(
MOD(ROW()-2,6)=0,
INDEX('Form Responses'!J:J,INT((ROW()-2)/6)+2),
"-- NA --"
)</f>
        <v>-- NA --</v>
      </c>
      <c r="J766" s="3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26">
        <v>766.0</v>
      </c>
      <c r="B767" s="33"/>
      <c r="C767" s="26" t="s">
        <v>425</v>
      </c>
      <c r="D767" s="26">
        <f t="array" ref="D7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33</v>
      </c>
      <c r="E767" s="32" t="str">
        <f t="array" ref="E7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 B</v>
      </c>
      <c r="F767" s="26" t="str">
        <f t="array" ref="F7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7" s="26" t="str">
        <f t="array" ref="G7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67" s="26" t="str">
        <f t="array" ref="H767">IF(
MOD(ROW()-2,6)=0,
INDEX('Form Responses'!I:I,INT((ROW()-2)/6)+2),
"-- NA --"
)</f>
        <v>-- NA --</v>
      </c>
      <c r="I767" s="32" t="str">
        <f t="array" ref="I767">IF(
MOD(ROW()-2,6)=0,
INDEX('Form Responses'!J:J,INT((ROW()-2)/6)+2),
"-- NA --"
)</f>
        <v>-- NA --</v>
      </c>
      <c r="J767" s="3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26">
        <v>767.0</v>
      </c>
      <c r="B768" s="33"/>
      <c r="C768" s="26" t="s">
        <v>464</v>
      </c>
      <c r="D768" s="26" t="str">
        <f t="array" ref="D7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029</v>
      </c>
      <c r="E768" s="32" t="str">
        <f t="array" ref="E7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Deebesh S</v>
      </c>
      <c r="F768" s="26" t="str">
        <f t="array" ref="F7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8" s="26" t="str">
        <f t="array" ref="G7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68" s="26" t="str">
        <f t="array" ref="H768">IF(
MOD(ROW()-2,6)=0,
INDEX('Form Responses'!I:I,INT((ROW()-2)/6)+2),
"-- NA --"
)</f>
        <v>-- NA --</v>
      </c>
      <c r="I768" s="32" t="str">
        <f t="array" ref="I768">IF(
MOD(ROW()-2,6)=0,
INDEX('Form Responses'!J:J,INT((ROW()-2)/6)+2),
"-- NA --"
)</f>
        <v>-- NA --</v>
      </c>
      <c r="J768" s="3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26">
        <v>768.0</v>
      </c>
      <c r="B769" s="6"/>
      <c r="C769" s="26" t="s">
        <v>500</v>
      </c>
      <c r="D769" s="26" t="str">
        <f t="array" ref="D7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25AD027</v>
      </c>
      <c r="E769" s="32" t="str">
        <f t="array" ref="E7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CIBEIL D</v>
      </c>
      <c r="F769" s="26" t="str">
        <f t="array" ref="F7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69" s="26" t="str">
        <f t="array" ref="G7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69" s="26" t="str">
        <f t="array" ref="H769">IF(
MOD(ROW()-2,6)=0,
INDEX('Form Responses'!I:I,INT((ROW()-2)/6)+2),
"-- NA --"
)</f>
        <v>-- NA --</v>
      </c>
      <c r="I769" s="32" t="str">
        <f t="array" ref="I769">IF(
MOD(ROW()-2,6)=0,
INDEX('Form Responses'!J:J,INT((ROW()-2)/6)+2),
"-- NA --"
)</f>
        <v>-- NA --</v>
      </c>
      <c r="J769" s="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26">
        <v>769.0</v>
      </c>
      <c r="B770" s="29" t="str">
        <f t="array" ref="B770">INDEX('Form Responses'!$C:$C,INT((ROW()-2)/6)+2)</f>
        <v>ASTRANOVA</v>
      </c>
      <c r="C770" s="31" t="s">
        <v>140</v>
      </c>
      <c r="D770" s="26" t="str">
        <f t="array" ref="D7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25CS067</v>
      </c>
      <c r="E770" s="32" t="str">
        <f t="array" ref="E7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S</v>
      </c>
      <c r="F770" s="26" t="str">
        <f t="array" ref="F7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0" s="26" t="str">
        <f t="array" ref="G7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70" s="26">
        <f t="array" ref="H770">IF(
MOD(ROW()-2,6)=0,
INDEX('Form Responses'!I:I,INT((ROW()-2)/6)+2),
"-- NA --"
)</f>
        <v>6385234629</v>
      </c>
      <c r="I770" s="32" t="str">
        <f t="array" ref="I770">IF(
MOD(ROW()-2,6)=0,
INDEX('Form Responses'!J:J,INT((ROW()-2)/6)+2),
"-- NA --"
)</f>
        <v>harini.s2025cse@sece.ac.in</v>
      </c>
      <c r="J770" s="29" t="str">
        <f t="array" ref="J770">INDEX('Form Responses'!$D:$D,INT((ROW()-2)/6)+2)</f>
        <v>Software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26">
        <v>770.0</v>
      </c>
      <c r="B771" s="33"/>
      <c r="C771" s="26" t="s">
        <v>282</v>
      </c>
      <c r="D771" s="26" t="str">
        <f t="array" ref="D7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25CS074</v>
      </c>
      <c r="E771" s="32" t="str">
        <f t="array" ref="E7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HEMAPRIYA K</v>
      </c>
      <c r="F771" s="26" t="str">
        <f t="array" ref="F7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1" s="26" t="str">
        <f t="array" ref="G7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71" s="26" t="str">
        <f t="array" ref="H771">IF(
MOD(ROW()-2,6)=0,
INDEX('Form Responses'!I:I,INT((ROW()-2)/6)+2),
"-- NA --"
)</f>
        <v>-- NA --</v>
      </c>
      <c r="I771" s="32" t="str">
        <f t="array" ref="I771">IF(
MOD(ROW()-2,6)=0,
INDEX('Form Responses'!J:J,INT((ROW()-2)/6)+2),
"-- NA --"
)</f>
        <v>-- NA --</v>
      </c>
      <c r="J771" s="3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26">
        <v>771.0</v>
      </c>
      <c r="B772" s="33"/>
      <c r="C772" s="26" t="s">
        <v>385</v>
      </c>
      <c r="D772" s="26" t="str">
        <f t="array" ref="D7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25CS083</v>
      </c>
      <c r="E772" s="32" t="str">
        <f t="array" ref="E7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JAYAPRIYA R</v>
      </c>
      <c r="F772" s="26" t="str">
        <f t="array" ref="F7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2" s="26" t="str">
        <f t="array" ref="G7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72" s="26" t="str">
        <f t="array" ref="H772">IF(
MOD(ROW()-2,6)=0,
INDEX('Form Responses'!I:I,INT((ROW()-2)/6)+2),
"-- NA --"
)</f>
        <v>-- NA --</v>
      </c>
      <c r="I772" s="32" t="str">
        <f t="array" ref="I772">IF(
MOD(ROW()-2,6)=0,
INDEX('Form Responses'!J:J,INT((ROW()-2)/6)+2),
"-- NA --"
)</f>
        <v>-- NA --</v>
      </c>
      <c r="J772" s="3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26">
        <v>772.0</v>
      </c>
      <c r="B773" s="33"/>
      <c r="C773" s="26" t="s">
        <v>425</v>
      </c>
      <c r="D773" s="26" t="str">
        <f t="array" ref="D7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25EC049</v>
      </c>
      <c r="E773" s="32" t="str">
        <f t="array" ref="E7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 PRIYAN M</v>
      </c>
      <c r="F773" s="26" t="str">
        <f t="array" ref="F7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3" s="26" t="str">
        <f t="array" ref="G7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73" s="26" t="str">
        <f t="array" ref="H773">IF(
MOD(ROW()-2,6)=0,
INDEX('Form Responses'!I:I,INT((ROW()-2)/6)+2),
"-- NA --"
)</f>
        <v>-- NA --</v>
      </c>
      <c r="I773" s="32" t="str">
        <f t="array" ref="I773">IF(
MOD(ROW()-2,6)=0,
INDEX('Form Responses'!J:J,INT((ROW()-2)/6)+2),
"-- NA --"
)</f>
        <v>-- NA --</v>
      </c>
      <c r="J773" s="3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26">
        <v>773.0</v>
      </c>
      <c r="B774" s="33"/>
      <c r="C774" s="26" t="s">
        <v>464</v>
      </c>
      <c r="D774" s="26" t="str">
        <f t="array" ref="D7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25EC050</v>
      </c>
      <c r="E774" s="32" t="str">
        <f t="array" ref="E7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GURUSARAN K</v>
      </c>
      <c r="F774" s="26" t="str">
        <f t="array" ref="F7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4" s="26" t="str">
        <f t="array" ref="G7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74" s="26" t="str">
        <f t="array" ref="H774">IF(
MOD(ROW()-2,6)=0,
INDEX('Form Responses'!I:I,INT((ROW()-2)/6)+2),
"-- NA --"
)</f>
        <v>-- NA --</v>
      </c>
      <c r="I774" s="32" t="str">
        <f t="array" ref="I774">IF(
MOD(ROW()-2,6)=0,
INDEX('Form Responses'!J:J,INT((ROW()-2)/6)+2),
"-- NA --"
)</f>
        <v>-- NA --</v>
      </c>
      <c r="J774" s="3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26">
        <v>774.0</v>
      </c>
      <c r="B775" s="6"/>
      <c r="C775" s="26" t="s">
        <v>500</v>
      </c>
      <c r="D775" s="26" t="str">
        <f t="array" ref="D7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25EC032</v>
      </c>
      <c r="E775" s="32" t="str">
        <f t="array" ref="E7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DEERASH V R</v>
      </c>
      <c r="F775" s="26" t="str">
        <f t="array" ref="F7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5" s="26" t="str">
        <f t="array" ref="G7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75" s="26" t="str">
        <f t="array" ref="H775">IF(
MOD(ROW()-2,6)=0,
INDEX('Form Responses'!I:I,INT((ROW()-2)/6)+2),
"-- NA --"
)</f>
        <v>-- NA --</v>
      </c>
      <c r="I775" s="32" t="str">
        <f t="array" ref="I775">IF(
MOD(ROW()-2,6)=0,
INDEX('Form Responses'!J:J,INT((ROW()-2)/6)+2),
"-- NA --"
)</f>
        <v>-- NA --</v>
      </c>
      <c r="J775" s="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26">
        <v>775.0</v>
      </c>
      <c r="B776" s="29" t="str">
        <f t="array" ref="B776">INDEX('Form Responses'!$C:$C,INT((ROW()-2)/6)+2)</f>
        <v>Team pluto</v>
      </c>
      <c r="C776" s="31" t="s">
        <v>140</v>
      </c>
      <c r="D776" s="26" t="str">
        <f t="array" ref="D7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25AM037</v>
      </c>
      <c r="E776" s="32" t="str">
        <f t="array" ref="E7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BALAJI V</v>
      </c>
      <c r="F776" s="26" t="str">
        <f t="array" ref="F7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6" s="26" t="str">
        <f t="array" ref="G7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76" s="26" t="str">
        <f t="array" ref="H776">IF(
MOD(ROW()-2,6)=0,
INDEX('Form Responses'!I:I,INT((ROW()-2)/6)+2),
"-- NA --"
)</f>
        <v>+91 93447 34456</v>
      </c>
      <c r="I776" s="32" t="str">
        <f t="array" ref="I776">IF(
MOD(ROW()-2,6)=0,
INDEX('Form Responses'!J:J,INT((ROW()-2)/6)+2),
"-- NA --"
)</f>
        <v>haribalaji.v2025aiml@sece.ac.in</v>
      </c>
      <c r="J776" s="29" t="str">
        <f t="array" ref="J776">INDEX('Form Responses'!$D:$D,INT((ROW()-2)/6)+2)</f>
        <v>Software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26">
        <v>776.0</v>
      </c>
      <c r="B777" s="33"/>
      <c r="C777" s="26" t="s">
        <v>282</v>
      </c>
      <c r="D777" s="26" t="str">
        <f t="array" ref="D7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25AM033</v>
      </c>
      <c r="E777" s="32" t="str">
        <f t="array" ref="E7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GOPIKA S </v>
      </c>
      <c r="F777" s="26" t="str">
        <f t="array" ref="F7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7" s="26" t="str">
        <f t="array" ref="G7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77" s="26" t="str">
        <f t="array" ref="H777">IF(
MOD(ROW()-2,6)=0,
INDEX('Form Responses'!I:I,INT((ROW()-2)/6)+2),
"-- NA --"
)</f>
        <v>-- NA --</v>
      </c>
      <c r="I777" s="32" t="str">
        <f t="array" ref="I777">IF(
MOD(ROW()-2,6)=0,
INDEX('Form Responses'!J:J,INT((ROW()-2)/6)+2),
"-- NA --"
)</f>
        <v>-- NA --</v>
      </c>
      <c r="J777" s="3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26">
        <v>777.0</v>
      </c>
      <c r="B778" s="33"/>
      <c r="C778" s="26" t="s">
        <v>385</v>
      </c>
      <c r="D778" s="26" t="str">
        <f t="array" ref="D7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25AM063</v>
      </c>
      <c r="E778" s="32" t="str">
        <f t="array" ref="E7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MANISHA M</v>
      </c>
      <c r="F778" s="26" t="str">
        <f t="array" ref="F7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8" s="26" t="str">
        <f t="array" ref="G7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78" s="26" t="str">
        <f t="array" ref="H778">IF(
MOD(ROW()-2,6)=0,
INDEX('Form Responses'!I:I,INT((ROW()-2)/6)+2),
"-- NA --"
)</f>
        <v>-- NA --</v>
      </c>
      <c r="I778" s="32" t="str">
        <f t="array" ref="I778">IF(
MOD(ROW()-2,6)=0,
INDEX('Form Responses'!J:J,INT((ROW()-2)/6)+2),
"-- NA --"
)</f>
        <v>-- NA --</v>
      </c>
      <c r="J778" s="3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26">
        <v>778.0</v>
      </c>
      <c r="B779" s="33"/>
      <c r="C779" s="26" t="s">
        <v>425</v>
      </c>
      <c r="D779" s="26" t="str">
        <f t="array" ref="D7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25AM059</v>
      </c>
      <c r="E779" s="32" t="str">
        <f t="array" ref="E7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MADHANKUMAR M</v>
      </c>
      <c r="F779" s="26" t="str">
        <f t="array" ref="F7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79" s="26" t="str">
        <f t="array" ref="G7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779" s="26" t="str">
        <f t="array" ref="H779">IF(
MOD(ROW()-2,6)=0,
INDEX('Form Responses'!I:I,INT((ROW()-2)/6)+2),
"-- NA --"
)</f>
        <v>-- NA --</v>
      </c>
      <c r="I779" s="32" t="str">
        <f t="array" ref="I779">IF(
MOD(ROW()-2,6)=0,
INDEX('Form Responses'!J:J,INT((ROW()-2)/6)+2),
"-- NA --"
)</f>
        <v>-- NA --</v>
      </c>
      <c r="J779" s="3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26">
        <v>779.0</v>
      </c>
      <c r="B780" s="33"/>
      <c r="C780" s="26" t="s">
        <v>464</v>
      </c>
      <c r="D780" s="26" t="str">
        <f t="array" ref="D7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25EE037</v>
      </c>
      <c r="E780" s="32" t="str">
        <f t="array" ref="E7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NITHYA SREE P</v>
      </c>
      <c r="F780" s="26" t="str">
        <f t="array" ref="F7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0" s="26" t="str">
        <f t="array" ref="G7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780" s="26" t="str">
        <f t="array" ref="H780">IF(
MOD(ROW()-2,6)=0,
INDEX('Form Responses'!I:I,INT((ROW()-2)/6)+2),
"-- NA --"
)</f>
        <v>-- NA --</v>
      </c>
      <c r="I780" s="32" t="str">
        <f t="array" ref="I780">IF(
MOD(ROW()-2,6)=0,
INDEX('Form Responses'!J:J,INT((ROW()-2)/6)+2),
"-- NA --"
)</f>
        <v>-- NA --</v>
      </c>
      <c r="J780" s="3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26">
        <v>780.0</v>
      </c>
      <c r="B781" s="6"/>
      <c r="C781" s="26" t="s">
        <v>500</v>
      </c>
      <c r="D781" s="26" t="str">
        <f t="array" ref="D7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25EC120</v>
      </c>
      <c r="E781" s="32" t="str">
        <f t="array" ref="E7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NIRMAL M</v>
      </c>
      <c r="F781" s="26" t="str">
        <f t="array" ref="F7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1" s="26" t="str">
        <f t="array" ref="G7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81" s="26" t="str">
        <f t="array" ref="H781">IF(
MOD(ROW()-2,6)=0,
INDEX('Form Responses'!I:I,INT((ROW()-2)/6)+2),
"-- NA --"
)</f>
        <v>-- NA --</v>
      </c>
      <c r="I781" s="32" t="str">
        <f t="array" ref="I781">IF(
MOD(ROW()-2,6)=0,
INDEX('Form Responses'!J:J,INT((ROW()-2)/6)+2),
"-- NA --"
)</f>
        <v>-- NA --</v>
      </c>
      <c r="J781" s="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26">
        <v>781.0</v>
      </c>
      <c r="B782" s="29" t="str">
        <f t="array" ref="B782">INDEX('Form Responses'!$C:$C,INT((ROW()-2)/6)+2)</f>
        <v>Deep Matrix</v>
      </c>
      <c r="C782" s="31" t="s">
        <v>140</v>
      </c>
      <c r="D782" s="26" t="str">
        <f t="array" ref="D7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25EC086</v>
      </c>
      <c r="E782" s="32" t="str">
        <f t="array" ref="E7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LIKKITHA K</v>
      </c>
      <c r="F782" s="26" t="str">
        <f t="array" ref="F7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2" s="26" t="str">
        <f t="array" ref="G7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82" s="26">
        <f t="array" ref="H782">IF(
MOD(ROW()-2,6)=0,
INDEX('Form Responses'!I:I,INT((ROW()-2)/6)+2),
"-- NA --"
)</f>
        <v>9342836652</v>
      </c>
      <c r="I782" s="32" t="str">
        <f t="array" ref="I782">IF(
MOD(ROW()-2,6)=0,
INDEX('Form Responses'!J:J,INT((ROW()-2)/6)+2),
"-- NA --"
)</f>
        <v>likkitha.k2025ece@sece.ac.in</v>
      </c>
      <c r="J782" s="29" t="str">
        <f t="array" ref="J782">INDEX('Form Responses'!$D:$D,INT((ROW()-2)/6)+2)</f>
        <v>Hardware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26">
        <v>782.0</v>
      </c>
      <c r="B783" s="33"/>
      <c r="C783" s="26" t="s">
        <v>282</v>
      </c>
      <c r="D783" s="26" t="str">
        <f t="array" ref="D7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25ME008</v>
      </c>
      <c r="E783" s="32" t="str">
        <f t="array" ref="E7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DIVAKAR B</v>
      </c>
      <c r="F783" s="26" t="str">
        <f t="array" ref="F7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3" s="26" t="str">
        <f t="array" ref="G7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783" s="26" t="str">
        <f t="array" ref="H783">IF(
MOD(ROW()-2,6)=0,
INDEX('Form Responses'!I:I,INT((ROW()-2)/6)+2),
"-- NA --"
)</f>
        <v>-- NA --</v>
      </c>
      <c r="I783" s="32" t="str">
        <f t="array" ref="I783">IF(
MOD(ROW()-2,6)=0,
INDEX('Form Responses'!J:J,INT((ROW()-2)/6)+2),
"-- NA --"
)</f>
        <v>-- NA --</v>
      </c>
      <c r="J783" s="3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26">
        <v>783.0</v>
      </c>
      <c r="B784" s="33"/>
      <c r="C784" s="26" t="s">
        <v>385</v>
      </c>
      <c r="D784" s="26" t="str">
        <f t="array" ref="D7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25EC091</v>
      </c>
      <c r="E784" s="32" t="str">
        <f t="array" ref="E7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MAMATHI S</v>
      </c>
      <c r="F784" s="26" t="str">
        <f t="array" ref="F7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4" s="26" t="str">
        <f t="array" ref="G7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84" s="26" t="str">
        <f t="array" ref="H784">IF(
MOD(ROW()-2,6)=0,
INDEX('Form Responses'!I:I,INT((ROW()-2)/6)+2),
"-- NA --"
)</f>
        <v>-- NA --</v>
      </c>
      <c r="I784" s="32" t="str">
        <f t="array" ref="I784">IF(
MOD(ROW()-2,6)=0,
INDEX('Form Responses'!J:J,INT((ROW()-2)/6)+2),
"-- NA --"
)</f>
        <v>-- NA --</v>
      </c>
      <c r="J784" s="3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26">
        <v>784.0</v>
      </c>
      <c r="B785" s="33"/>
      <c r="C785" s="26" t="s">
        <v>425</v>
      </c>
      <c r="D785" s="26" t="str">
        <f t="array" ref="D7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25CS239</v>
      </c>
      <c r="E785" s="32" t="str">
        <f t="array" ref="E7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VALARMATHI S</v>
      </c>
      <c r="F785" s="26" t="str">
        <f t="array" ref="F7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5" s="26" t="str">
        <f t="array" ref="G7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85" s="26" t="str">
        <f t="array" ref="H785">IF(
MOD(ROW()-2,6)=0,
INDEX('Form Responses'!I:I,INT((ROW()-2)/6)+2),
"-- NA --"
)</f>
        <v>-- NA --</v>
      </c>
      <c r="I785" s="32" t="str">
        <f t="array" ref="I785">IF(
MOD(ROW()-2,6)=0,
INDEX('Form Responses'!J:J,INT((ROW()-2)/6)+2),
"-- NA --"
)</f>
        <v>-- NA --</v>
      </c>
      <c r="J785" s="3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26">
        <v>785.0</v>
      </c>
      <c r="B786" s="33"/>
      <c r="C786" s="26" t="s">
        <v>464</v>
      </c>
      <c r="D786" s="26" t="str">
        <f t="array" ref="D7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25EC118</v>
      </c>
      <c r="E786" s="32" t="str">
        <f t="array" ref="E7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NIKITHA M</v>
      </c>
      <c r="F786" s="26" t="str">
        <f t="array" ref="F7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6" s="26" t="str">
        <f t="array" ref="G7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86" s="26" t="str">
        <f t="array" ref="H786">IF(
MOD(ROW()-2,6)=0,
INDEX('Form Responses'!I:I,INT((ROW()-2)/6)+2),
"-- NA --"
)</f>
        <v>-- NA --</v>
      </c>
      <c r="I786" s="32" t="str">
        <f t="array" ref="I786">IF(
MOD(ROW()-2,6)=0,
INDEX('Form Responses'!J:J,INT((ROW()-2)/6)+2),
"-- NA --"
)</f>
        <v>-- NA --</v>
      </c>
      <c r="J786" s="3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26">
        <v>786.0</v>
      </c>
      <c r="B787" s="6"/>
      <c r="C787" s="26" t="s">
        <v>500</v>
      </c>
      <c r="D787" s="26" t="str">
        <f t="array" ref="D7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25CS240</v>
      </c>
      <c r="E787" s="32" t="str">
        <f t="array" ref="E7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VARSHA V</v>
      </c>
      <c r="F787" s="26" t="str">
        <f t="array" ref="F7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7" s="26" t="str">
        <f t="array" ref="G7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787" s="26" t="str">
        <f t="array" ref="H787">IF(
MOD(ROW()-2,6)=0,
INDEX('Form Responses'!I:I,INT((ROW()-2)/6)+2),
"-- NA --"
)</f>
        <v>-- NA --</v>
      </c>
      <c r="I787" s="32" t="str">
        <f t="array" ref="I787">IF(
MOD(ROW()-2,6)=0,
INDEX('Form Responses'!J:J,INT((ROW()-2)/6)+2),
"-- NA --"
)</f>
        <v>-- NA --</v>
      </c>
      <c r="J787" s="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26">
        <v>787.0</v>
      </c>
      <c r="B788" s="29" t="str">
        <f t="array" ref="B788">INDEX('Form Responses'!$C:$C,INT((ROW()-2)/6)+2)</f>
        <v>TEAM ASTRANOVA </v>
      </c>
      <c r="C788" s="31" t="s">
        <v>140</v>
      </c>
      <c r="D788" s="26" t="str">
        <f t="array" ref="D7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25AD175</v>
      </c>
      <c r="E788" s="32" t="str">
        <f t="array" ref="E7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SABARESH K</v>
      </c>
      <c r="F788" s="26" t="str">
        <f t="array" ref="F7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8" s="26" t="str">
        <f t="array" ref="G7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88" s="26">
        <f t="array" ref="H788">IF(
MOD(ROW()-2,6)=0,
INDEX('Form Responses'!I:I,INT((ROW()-2)/6)+2),
"-- NA --"
)</f>
        <v>9487047630</v>
      </c>
      <c r="I788" s="32" t="str">
        <f t="array" ref="I788">IF(
MOD(ROW()-2,6)=0,
INDEX('Form Responses'!J:J,INT((ROW()-2)/6)+2),
"-- NA --"
)</f>
        <v>sabaresh.k2025aids@sece.ac.in</v>
      </c>
      <c r="J788" s="29" t="str">
        <f t="array" ref="J788">INDEX('Form Responses'!$D:$D,INT((ROW()-2)/6)+2)</f>
        <v>Software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26">
        <v>788.0</v>
      </c>
      <c r="B789" s="33"/>
      <c r="C789" s="26" t="s">
        <v>282</v>
      </c>
      <c r="D789" s="26" t="str">
        <f t="array" ref="D7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25AD136</v>
      </c>
      <c r="E789" s="32" t="str">
        <f t="array" ref="E7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NITESH S</v>
      </c>
      <c r="F789" s="26" t="str">
        <f t="array" ref="F7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89" s="26" t="str">
        <f t="array" ref="G7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89" s="26" t="str">
        <f t="array" ref="H789">IF(
MOD(ROW()-2,6)=0,
INDEX('Form Responses'!I:I,INT((ROW()-2)/6)+2),
"-- NA --"
)</f>
        <v>-- NA --</v>
      </c>
      <c r="I789" s="32" t="str">
        <f t="array" ref="I789">IF(
MOD(ROW()-2,6)=0,
INDEX('Form Responses'!J:J,INT((ROW()-2)/6)+2),
"-- NA --"
)</f>
        <v>-- NA --</v>
      </c>
      <c r="J789" s="3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26">
        <v>789.0</v>
      </c>
      <c r="B790" s="33"/>
      <c r="C790" s="26" t="s">
        <v>385</v>
      </c>
      <c r="D790" s="26" t="str">
        <f t="array" ref="D7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25AD147</v>
      </c>
      <c r="E790" s="32" t="str">
        <f t="array" ref="E7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PRADEEP R K</v>
      </c>
      <c r="F790" s="26" t="str">
        <f t="array" ref="F7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0" s="26" t="str">
        <f t="array" ref="G7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90" s="26" t="str">
        <f t="array" ref="H790">IF(
MOD(ROW()-2,6)=0,
INDEX('Form Responses'!I:I,INT((ROW()-2)/6)+2),
"-- NA --"
)</f>
        <v>-- NA --</v>
      </c>
      <c r="I790" s="32" t="str">
        <f t="array" ref="I790">IF(
MOD(ROW()-2,6)=0,
INDEX('Form Responses'!J:J,INT((ROW()-2)/6)+2),
"-- NA --"
)</f>
        <v>-- NA --</v>
      </c>
      <c r="J790" s="3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26">
        <v>790.0</v>
      </c>
      <c r="B791" s="33"/>
      <c r="C791" s="26" t="s">
        <v>425</v>
      </c>
      <c r="D791" s="26" t="str">
        <f t="array" ref="D7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25AD128</v>
      </c>
      <c r="E791" s="32" t="str">
        <f t="array" ref="E7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NAVIN G V</v>
      </c>
      <c r="F791" s="26" t="str">
        <f t="array" ref="F7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1" s="26" t="str">
        <f t="array" ref="G7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91" s="26" t="str">
        <f t="array" ref="H791">IF(
MOD(ROW()-2,6)=0,
INDEX('Form Responses'!I:I,INT((ROW()-2)/6)+2),
"-- NA --"
)</f>
        <v>-- NA --</v>
      </c>
      <c r="I791" s="32" t="str">
        <f t="array" ref="I791">IF(
MOD(ROW()-2,6)=0,
INDEX('Form Responses'!J:J,INT((ROW()-2)/6)+2),
"-- NA --"
)</f>
        <v>-- NA --</v>
      </c>
      <c r="J791" s="3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26">
        <v>791.0</v>
      </c>
      <c r="B792" s="33"/>
      <c r="C792" s="26" t="s">
        <v>464</v>
      </c>
      <c r="D792" s="26" t="str">
        <f t="array" ref="D7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25AD162</v>
      </c>
      <c r="E792" s="32" t="str">
        <f t="array" ref="E7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RAJAMATHALAI PRIYAESH V</v>
      </c>
      <c r="F792" s="26" t="str">
        <f t="array" ref="F7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2" s="26" t="str">
        <f t="array" ref="G7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92" s="26" t="str">
        <f t="array" ref="H792">IF(
MOD(ROW()-2,6)=0,
INDEX('Form Responses'!I:I,INT((ROW()-2)/6)+2),
"-- NA --"
)</f>
        <v>-- NA --</v>
      </c>
      <c r="I792" s="32" t="str">
        <f t="array" ref="I792">IF(
MOD(ROW()-2,6)=0,
INDEX('Form Responses'!J:J,INT((ROW()-2)/6)+2),
"-- NA --"
)</f>
        <v>-- NA --</v>
      </c>
      <c r="J792" s="3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26">
        <v>792.0</v>
      </c>
      <c r="B793" s="6"/>
      <c r="C793" s="26" t="s">
        <v>500</v>
      </c>
      <c r="D793" s="26" t="str">
        <f t="array" ref="D7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23AD002</v>
      </c>
      <c r="E793" s="32" t="str">
        <f t="array" ref="E7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ABHIRAMI T</v>
      </c>
      <c r="F793" s="26" t="str">
        <f t="array" ref="F7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793" s="26" t="str">
        <f t="array" ref="G7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793" s="26" t="str">
        <f t="array" ref="H793">IF(
MOD(ROW()-2,6)=0,
INDEX('Form Responses'!I:I,INT((ROW()-2)/6)+2),
"-- NA --"
)</f>
        <v>-- NA --</v>
      </c>
      <c r="I793" s="32" t="str">
        <f t="array" ref="I793">IF(
MOD(ROW()-2,6)=0,
INDEX('Form Responses'!J:J,INT((ROW()-2)/6)+2),
"-- NA --"
)</f>
        <v>-- NA --</v>
      </c>
      <c r="J793" s="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26">
        <v>793.0</v>
      </c>
      <c r="B794" s="29" t="str">
        <f t="array" ref="B794">INDEX('Form Responses'!$C:$C,INT((ROW()-2)/6)+2)</f>
        <v>VISION VAULT </v>
      </c>
      <c r="C794" s="31" t="s">
        <v>140</v>
      </c>
      <c r="D794" s="26" t="str">
        <f t="array" ref="D7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25CB011</v>
      </c>
      <c r="E794" s="32" t="str">
        <f t="array" ref="E7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ELAVARASI S</v>
      </c>
      <c r="F794" s="26" t="str">
        <f t="array" ref="F7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4" s="26" t="str">
        <f t="array" ref="G7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94" s="26">
        <f t="array" ref="H794">IF(
MOD(ROW()-2,6)=0,
INDEX('Form Responses'!I:I,INT((ROW()-2)/6)+2),
"-- NA --"
)</f>
        <v>8838145637</v>
      </c>
      <c r="I794" s="32" t="str">
        <f t="array" ref="I794">IF(
MOD(ROW()-2,6)=0,
INDEX('Form Responses'!J:J,INT((ROW()-2)/6)+2),
"-- NA --"
)</f>
        <v>elavarasi.s2025csbs@sece.ac.in</v>
      </c>
      <c r="J794" s="29" t="str">
        <f t="array" ref="J794">INDEX('Form Responses'!$D:$D,INT((ROW()-2)/6)+2)</f>
        <v>Software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26">
        <v>794.0</v>
      </c>
      <c r="B795" s="33"/>
      <c r="C795" s="26" t="s">
        <v>282</v>
      </c>
      <c r="D795" s="26" t="str">
        <f t="array" ref="D7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25CB058</v>
      </c>
      <c r="E795" s="32" t="str">
        <f t="array" ref="E7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UMAMAGESHWARI G</v>
      </c>
      <c r="F795" s="26" t="str">
        <f t="array" ref="F7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5" s="26" t="str">
        <f t="array" ref="G7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95" s="26" t="str">
        <f t="array" ref="H795">IF(
MOD(ROW()-2,6)=0,
INDEX('Form Responses'!I:I,INT((ROW()-2)/6)+2),
"-- NA --"
)</f>
        <v>-- NA --</v>
      </c>
      <c r="I795" s="32" t="str">
        <f t="array" ref="I795">IF(
MOD(ROW()-2,6)=0,
INDEX('Form Responses'!J:J,INT((ROW()-2)/6)+2),
"-- NA --"
)</f>
        <v>-- NA --</v>
      </c>
      <c r="J795" s="3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26">
        <v>795.0</v>
      </c>
      <c r="B796" s="33"/>
      <c r="C796" s="26" t="s">
        <v>385</v>
      </c>
      <c r="D796" s="26" t="str">
        <f t="array" ref="D7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25CB018</v>
      </c>
      <c r="E796" s="32" t="str">
        <f t="array" ref="E7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S</v>
      </c>
      <c r="F796" s="26" t="str">
        <f t="array" ref="F7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6" s="26" t="str">
        <f t="array" ref="G7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96" s="26" t="str">
        <f t="array" ref="H796">IF(
MOD(ROW()-2,6)=0,
INDEX('Form Responses'!I:I,INT((ROW()-2)/6)+2),
"-- NA --"
)</f>
        <v>-- NA --</v>
      </c>
      <c r="I796" s="32" t="str">
        <f t="array" ref="I796">IF(
MOD(ROW()-2,6)=0,
INDEX('Form Responses'!J:J,INT((ROW()-2)/6)+2),
"-- NA --"
)</f>
        <v>-- NA --</v>
      </c>
      <c r="J796" s="3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26">
        <v>796.0</v>
      </c>
      <c r="B797" s="33"/>
      <c r="C797" s="26" t="s">
        <v>425</v>
      </c>
      <c r="D797" s="26" t="str">
        <f t="array" ref="D7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25EC119</v>
      </c>
      <c r="E797" s="32" t="str">
        <f t="array" ref="E7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NIKITHA SHREE S</v>
      </c>
      <c r="F797" s="26" t="str">
        <f t="array" ref="F7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7" s="26" t="str">
        <f t="array" ref="G7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797" s="26" t="str">
        <f t="array" ref="H797">IF(
MOD(ROW()-2,6)=0,
INDEX('Form Responses'!I:I,INT((ROW()-2)/6)+2),
"-- NA --"
)</f>
        <v>-- NA --</v>
      </c>
      <c r="I797" s="32" t="str">
        <f t="array" ref="I797">IF(
MOD(ROW()-2,6)=0,
INDEX('Form Responses'!J:J,INT((ROW()-2)/6)+2),
"-- NA --"
)</f>
        <v>-- NA --</v>
      </c>
      <c r="J797" s="3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26">
        <v>797.0</v>
      </c>
      <c r="B798" s="33"/>
      <c r="C798" s="26" t="s">
        <v>464</v>
      </c>
      <c r="D798" s="26" t="str">
        <f t="array" ref="D7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25CB010</v>
      </c>
      <c r="E798" s="32" t="str">
        <f t="array" ref="E7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DEVESHWAR K</v>
      </c>
      <c r="F798" s="26" t="str">
        <f t="array" ref="F7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8" s="26" t="str">
        <f t="array" ref="G7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798" s="26" t="str">
        <f t="array" ref="H798">IF(
MOD(ROW()-2,6)=0,
INDEX('Form Responses'!I:I,INT((ROW()-2)/6)+2),
"-- NA --"
)</f>
        <v>-- NA --</v>
      </c>
      <c r="I798" s="32" t="str">
        <f t="array" ref="I798">IF(
MOD(ROW()-2,6)=0,
INDEX('Form Responses'!J:J,INT((ROW()-2)/6)+2),
"-- NA --"
)</f>
        <v>-- NA --</v>
      </c>
      <c r="J798" s="3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26">
        <v>798.0</v>
      </c>
      <c r="B799" s="6"/>
      <c r="C799" s="26" t="s">
        <v>500</v>
      </c>
      <c r="D799" s="26" t="str">
        <f t="array" ref="D7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25CC006</v>
      </c>
      <c r="E799" s="32" t="str">
        <f t="array" ref="E7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 SRIDHARAN S</v>
      </c>
      <c r="F799" s="26" t="str">
        <f t="array" ref="F7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799" s="26" t="str">
        <f t="array" ref="G7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799" s="26" t="str">
        <f t="array" ref="H799">IF(
MOD(ROW()-2,6)=0,
INDEX('Form Responses'!I:I,INT((ROW()-2)/6)+2),
"-- NA --"
)</f>
        <v>-- NA --</v>
      </c>
      <c r="I799" s="32" t="str">
        <f t="array" ref="I799">IF(
MOD(ROW()-2,6)=0,
INDEX('Form Responses'!J:J,INT((ROW()-2)/6)+2),
"-- NA --"
)</f>
        <v>-- NA --</v>
      </c>
      <c r="J799" s="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26">
        <v>799.0</v>
      </c>
      <c r="B800" s="29" t="str">
        <f t="array" ref="B800">INDEX('Form Responses'!$C:$C,INT((ROW()-2)/6)+2)</f>
        <v>Vision Makers </v>
      </c>
      <c r="C800" s="31" t="s">
        <v>140</v>
      </c>
      <c r="D800" s="26" t="str">
        <f t="array" ref="D8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24CS075</v>
      </c>
      <c r="E800" s="32" t="str">
        <f t="array" ref="E8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K </v>
      </c>
      <c r="F800" s="26" t="str">
        <f t="array" ref="F8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0" s="26" t="str">
        <f t="array" ref="G8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00" s="26">
        <f t="array" ref="H800">IF(
MOD(ROW()-2,6)=0,
INDEX('Form Responses'!I:I,INT((ROW()-2)/6)+2),
"-- NA --"
)</f>
        <v>9360006314</v>
      </c>
      <c r="I800" s="32" t="str">
        <f t="array" ref="I800">IF(
MOD(ROW()-2,6)=0,
INDEX('Form Responses'!J:J,INT((ROW()-2)/6)+2),
"-- NA --"
)</f>
        <v>harini.k2024cse@sece.ac.in</v>
      </c>
      <c r="J800" s="29" t="str">
        <f t="array" ref="J800">INDEX('Form Responses'!$D:$D,INT((ROW()-2)/6)+2)</f>
        <v>Software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26">
        <v>800.0</v>
      </c>
      <c r="B801" s="33"/>
      <c r="C801" s="26" t="s">
        <v>282</v>
      </c>
      <c r="D801" s="26" t="str">
        <f t="array" ref="D8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24CS074</v>
      </c>
      <c r="E801" s="32" t="str">
        <f t="array" ref="E8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C H</v>
      </c>
      <c r="F801" s="26" t="str">
        <f t="array" ref="F8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1" s="26" t="str">
        <f t="array" ref="G8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01" s="26" t="str">
        <f t="array" ref="H801">IF(
MOD(ROW()-2,6)=0,
INDEX('Form Responses'!I:I,INT((ROW()-2)/6)+2),
"-- NA --"
)</f>
        <v>-- NA --</v>
      </c>
      <c r="I801" s="32" t="str">
        <f t="array" ref="I801">IF(
MOD(ROW()-2,6)=0,
INDEX('Form Responses'!J:J,INT((ROW()-2)/6)+2),
"-- NA --"
)</f>
        <v>-- NA --</v>
      </c>
      <c r="J801" s="3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26">
        <v>801.0</v>
      </c>
      <c r="B802" s="33"/>
      <c r="C802" s="26" t="s">
        <v>385</v>
      </c>
      <c r="D802" s="26" t="str">
        <f t="array" ref="D8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24CS086</v>
      </c>
      <c r="E802" s="32" t="str">
        <f t="array" ref="E8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Heranyaa T P</v>
      </c>
      <c r="F802" s="26" t="str">
        <f t="array" ref="F8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2" s="26" t="str">
        <f t="array" ref="G8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02" s="26" t="str">
        <f t="array" ref="H802">IF(
MOD(ROW()-2,6)=0,
INDEX('Form Responses'!I:I,INT((ROW()-2)/6)+2),
"-- NA --"
)</f>
        <v>-- NA --</v>
      </c>
      <c r="I802" s="32" t="str">
        <f t="array" ref="I802">IF(
MOD(ROW()-2,6)=0,
INDEX('Form Responses'!J:J,INT((ROW()-2)/6)+2),
"-- NA --"
)</f>
        <v>-- NA --</v>
      </c>
      <c r="J802" s="3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26">
        <v>802.0</v>
      </c>
      <c r="B803" s="33"/>
      <c r="C803" s="26" t="s">
        <v>425</v>
      </c>
      <c r="D803" s="26" t="str">
        <f t="array" ref="D8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24CS274</v>
      </c>
      <c r="E803" s="32" t="str">
        <f t="array" ref="E8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Yuvashree K </v>
      </c>
      <c r="F803" s="26" t="str">
        <f t="array" ref="F8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3" s="26" t="str">
        <f t="array" ref="G8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03" s="26" t="str">
        <f t="array" ref="H803">IF(
MOD(ROW()-2,6)=0,
INDEX('Form Responses'!I:I,INT((ROW()-2)/6)+2),
"-- NA --"
)</f>
        <v>-- NA --</v>
      </c>
      <c r="I803" s="32" t="str">
        <f t="array" ref="I803">IF(
MOD(ROW()-2,6)=0,
INDEX('Form Responses'!J:J,INT((ROW()-2)/6)+2),
"-- NA --"
)</f>
        <v>-- NA --</v>
      </c>
      <c r="J803" s="3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26">
        <v>803.0</v>
      </c>
      <c r="B804" s="33"/>
      <c r="C804" s="26" t="s">
        <v>464</v>
      </c>
      <c r="D804" s="26" t="str">
        <f t="array" ref="D8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25IT044</v>
      </c>
      <c r="E804" s="32" t="str">
        <f t="array" ref="E8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Rubavarshini S  </v>
      </c>
      <c r="F804" s="26" t="str">
        <f t="array" ref="F8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04" s="26" t="str">
        <f t="array" ref="G8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804" s="26" t="str">
        <f t="array" ref="H804">IF(
MOD(ROW()-2,6)=0,
INDEX('Form Responses'!I:I,INT((ROW()-2)/6)+2),
"-- NA --"
)</f>
        <v>-- NA --</v>
      </c>
      <c r="I804" s="32" t="str">
        <f t="array" ref="I804">IF(
MOD(ROW()-2,6)=0,
INDEX('Form Responses'!J:J,INT((ROW()-2)/6)+2),
"-- NA --"
)</f>
        <v>-- NA --</v>
      </c>
      <c r="J804" s="3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26">
        <v>804.0</v>
      </c>
      <c r="B805" s="6"/>
      <c r="C805" s="26" t="s">
        <v>500</v>
      </c>
      <c r="D805" s="26" t="str">
        <f t="array" ref="D8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25IT012</v>
      </c>
      <c r="E805" s="32" t="str">
        <f t="array" ref="E8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DHANYA SHREE B </v>
      </c>
      <c r="F805" s="26" t="str">
        <f t="array" ref="F8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05" s="26" t="str">
        <f t="array" ref="G8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805" s="26" t="str">
        <f t="array" ref="H805">IF(
MOD(ROW()-2,6)=0,
INDEX('Form Responses'!I:I,INT((ROW()-2)/6)+2),
"-- NA --"
)</f>
        <v>-- NA --</v>
      </c>
      <c r="I805" s="32" t="str">
        <f t="array" ref="I805">IF(
MOD(ROW()-2,6)=0,
INDEX('Form Responses'!J:J,INT((ROW()-2)/6)+2),
"-- NA --"
)</f>
        <v>-- NA --</v>
      </c>
      <c r="J805" s="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26">
        <v>805.0</v>
      </c>
      <c r="B806" s="29" t="str">
        <f t="array" ref="B806">INDEX('Form Responses'!$C:$C,INT((ROW()-2)/6)+2)</f>
        <v>HACKDRAGONS </v>
      </c>
      <c r="C806" s="31" t="s">
        <v>140</v>
      </c>
      <c r="D806" s="26" t="str">
        <f t="array" ref="D8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25CC009</v>
      </c>
      <c r="E806" s="32" t="str">
        <f t="array" ref="E8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DARSHAN AR</v>
      </c>
      <c r="F806" s="26" t="str">
        <f t="array" ref="F8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6" s="26" t="str">
        <f t="array" ref="G8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06" s="26">
        <f t="array" ref="H806">IF(
MOD(ROW()-2,6)=0,
INDEX('Form Responses'!I:I,INT((ROW()-2)/6)+2),
"-- NA --"
)</f>
        <v>8807715828</v>
      </c>
      <c r="I806" s="32" t="str">
        <f t="array" ref="I806">IF(
MOD(ROW()-2,6)=0,
INDEX('Form Responses'!J:J,INT((ROW()-2)/6)+2),
"-- NA --"
)</f>
        <v>darshan.ar2024cce@sece.ac.in</v>
      </c>
      <c r="J806" s="29" t="str">
        <f t="array" ref="J806">INDEX('Form Responses'!$D:$D,INT((ROW()-2)/6)+2)</f>
        <v>Software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26">
        <v>806.0</v>
      </c>
      <c r="B807" s="33"/>
      <c r="C807" s="26" t="s">
        <v>282</v>
      </c>
      <c r="D807" s="26" t="str">
        <f t="array" ref="D8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24CC018</v>
      </c>
      <c r="E807" s="32" t="str">
        <f t="array" ref="E8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GOKULNAATH N</v>
      </c>
      <c r="F807" s="26" t="str">
        <f t="array" ref="F8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7" s="26" t="str">
        <f t="array" ref="G8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07" s="26" t="str">
        <f t="array" ref="H807">IF(
MOD(ROW()-2,6)=0,
INDEX('Form Responses'!I:I,INT((ROW()-2)/6)+2),
"-- NA --"
)</f>
        <v>-- NA --</v>
      </c>
      <c r="I807" s="32" t="str">
        <f t="array" ref="I807">IF(
MOD(ROW()-2,6)=0,
INDEX('Form Responses'!J:J,INT((ROW()-2)/6)+2),
"-- NA --"
)</f>
        <v>-- NA --</v>
      </c>
      <c r="J807" s="3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26">
        <v>807.0</v>
      </c>
      <c r="B808" s="33"/>
      <c r="C808" s="26" t="s">
        <v>385</v>
      </c>
      <c r="D808" s="26" t="str">
        <f t="array" ref="D8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24CC035</v>
      </c>
      <c r="E808" s="32" t="str">
        <f t="array" ref="E8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Nitin M</v>
      </c>
      <c r="F808" s="26" t="str">
        <f t="array" ref="F8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8" s="26" t="str">
        <f t="array" ref="G8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08" s="26" t="str">
        <f t="array" ref="H808">IF(
MOD(ROW()-2,6)=0,
INDEX('Form Responses'!I:I,INT((ROW()-2)/6)+2),
"-- NA --"
)</f>
        <v>-- NA --</v>
      </c>
      <c r="I808" s="32" t="str">
        <f t="array" ref="I808">IF(
MOD(ROW()-2,6)=0,
INDEX('Form Responses'!J:J,INT((ROW()-2)/6)+2),
"-- NA --"
)</f>
        <v>-- NA --</v>
      </c>
      <c r="J808" s="3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26">
        <v>808.0</v>
      </c>
      <c r="B809" s="33"/>
      <c r="C809" s="26" t="s">
        <v>425</v>
      </c>
      <c r="D809" s="26" t="str">
        <f t="array" ref="D8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24CC058</v>
      </c>
      <c r="E809" s="32" t="str">
        <f t="array" ref="E8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TANYASRI G</v>
      </c>
      <c r="F809" s="26" t="str">
        <f t="array" ref="F8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09" s="26" t="str">
        <f t="array" ref="G8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09" s="26" t="str">
        <f t="array" ref="H809">IF(
MOD(ROW()-2,6)=0,
INDEX('Form Responses'!I:I,INT((ROW()-2)/6)+2),
"-- NA --"
)</f>
        <v>-- NA --</v>
      </c>
      <c r="I809" s="32" t="str">
        <f t="array" ref="I809">IF(
MOD(ROW()-2,6)=0,
INDEX('Form Responses'!J:J,INT((ROW()-2)/6)+2),
"-- NA --"
)</f>
        <v>-- NA --</v>
      </c>
      <c r="J809" s="3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26">
        <v>809.0</v>
      </c>
      <c r="B810" s="33"/>
      <c r="C810" s="26" t="s">
        <v>464</v>
      </c>
      <c r="D810" s="26" t="str">
        <f t="array" ref="D8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24AD208</v>
      </c>
      <c r="E810" s="32" t="str">
        <f t="array" ref="E8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SIVAANGAYARKANNI S</v>
      </c>
      <c r="F810" s="26" t="str">
        <f t="array" ref="F8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10" s="26" t="str">
        <f t="array" ref="G8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10" s="26" t="str">
        <f t="array" ref="H810">IF(
MOD(ROW()-2,6)=0,
INDEX('Form Responses'!I:I,INT((ROW()-2)/6)+2),
"-- NA --"
)</f>
        <v>-- NA --</v>
      </c>
      <c r="I810" s="32" t="str">
        <f t="array" ref="I810">IF(
MOD(ROW()-2,6)=0,
INDEX('Form Responses'!J:J,INT((ROW()-2)/6)+2),
"-- NA --"
)</f>
        <v>-- NA --</v>
      </c>
      <c r="J810" s="3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26">
        <v>810.0</v>
      </c>
      <c r="B811" s="6"/>
      <c r="C811" s="26" t="s">
        <v>500</v>
      </c>
      <c r="D811" s="26" t="str">
        <f t="array" ref="D8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24CC059</v>
      </c>
      <c r="E811" s="32" t="str">
        <f t="array" ref="E8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VARUNKUMAR SN</v>
      </c>
      <c r="F811" s="26" t="str">
        <f t="array" ref="F8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11" s="26" t="str">
        <f t="array" ref="G8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11" s="26" t="str">
        <f t="array" ref="H811">IF(
MOD(ROW()-2,6)=0,
INDEX('Form Responses'!I:I,INT((ROW()-2)/6)+2),
"-- NA --"
)</f>
        <v>-- NA --</v>
      </c>
      <c r="I811" s="32" t="str">
        <f t="array" ref="I811">IF(
MOD(ROW()-2,6)=0,
INDEX('Form Responses'!J:J,INT((ROW()-2)/6)+2),
"-- NA --"
)</f>
        <v>-- NA --</v>
      </c>
      <c r="J811" s="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26">
        <v>811.0</v>
      </c>
      <c r="B812" s="29" t="str">
        <f t="array" ref="B812">INDEX('Form Responses'!$C:$C,INT((ROW()-2)/6)+2)</f>
        <v>Team Dynamite</v>
      </c>
      <c r="C812" s="31" t="s">
        <v>140</v>
      </c>
      <c r="D812" s="26" t="str">
        <f t="array" ref="D8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25EC167 </v>
      </c>
      <c r="E812" s="32" t="str">
        <f t="array" ref="E8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Sudharsan D</v>
      </c>
      <c r="F812" s="26" t="str">
        <f t="array" ref="F8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2" s="26" t="str">
        <f t="array" ref="G8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12" s="26">
        <f t="array" ref="H812">IF(
MOD(ROW()-2,6)=0,
INDEX('Form Responses'!I:I,INT((ROW()-2)/6)+2),
"-- NA --"
)</f>
        <v>8220789655</v>
      </c>
      <c r="I812" s="32" t="str">
        <f t="array" ref="I812">IF(
MOD(ROW()-2,6)=0,
INDEX('Form Responses'!J:J,INT((ROW()-2)/6)+2),
"-- NA --"
)</f>
        <v>sudharsan.d2025ece@sece.ac.in</v>
      </c>
      <c r="J812" s="29" t="str">
        <f t="array" ref="J812">INDEX('Form Responses'!$D:$D,INT((ROW()-2)/6)+2)</f>
        <v>Hardware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26">
        <v>812.0</v>
      </c>
      <c r="B813" s="33"/>
      <c r="C813" s="26" t="s">
        <v>282</v>
      </c>
      <c r="D813" s="26" t="str">
        <f t="array" ref="D8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25EC183</v>
      </c>
      <c r="E813" s="32" t="str">
        <f t="array" ref="E8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Priyan K M</v>
      </c>
      <c r="F813" s="26" t="str">
        <f t="array" ref="F8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3" s="26" t="str">
        <f t="array" ref="G8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13" s="26" t="str">
        <f t="array" ref="H813">IF(
MOD(ROW()-2,6)=0,
INDEX('Form Responses'!I:I,INT((ROW()-2)/6)+2),
"-- NA --"
)</f>
        <v>-- NA --</v>
      </c>
      <c r="I813" s="32" t="str">
        <f t="array" ref="I813">IF(
MOD(ROW()-2,6)=0,
INDEX('Form Responses'!J:J,INT((ROW()-2)/6)+2),
"-- NA --"
)</f>
        <v>-- NA --</v>
      </c>
      <c r="J813" s="3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26">
        <v>813.0</v>
      </c>
      <c r="B814" s="33"/>
      <c r="C814" s="26" t="s">
        <v>385</v>
      </c>
      <c r="D814" s="26" t="str">
        <f t="array" ref="D8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25EC178</v>
      </c>
      <c r="E814" s="32" t="str">
        <f t="array" ref="E8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Varshini K</v>
      </c>
      <c r="F814" s="26" t="str">
        <f t="array" ref="F8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4" s="26" t="str">
        <f t="array" ref="G8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14" s="26" t="str">
        <f t="array" ref="H814">IF(
MOD(ROW()-2,6)=0,
INDEX('Form Responses'!I:I,INT((ROW()-2)/6)+2),
"-- NA --"
)</f>
        <v>-- NA --</v>
      </c>
      <c r="I814" s="32" t="str">
        <f t="array" ref="I814">IF(
MOD(ROW()-2,6)=0,
INDEX('Form Responses'!J:J,INT((ROW()-2)/6)+2),
"-- NA --"
)</f>
        <v>-- NA --</v>
      </c>
      <c r="J814" s="3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26">
        <v>814.0</v>
      </c>
      <c r="B815" s="33"/>
      <c r="C815" s="26" t="s">
        <v>425</v>
      </c>
      <c r="D815" s="26" t="str">
        <f t="array" ref="D8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25EC155</v>
      </c>
      <c r="E815" s="32" t="str">
        <f t="array" ref="E8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Sonika T</v>
      </c>
      <c r="F815" s="26" t="str">
        <f t="array" ref="F8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5" s="26" t="str">
        <f t="array" ref="G8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15" s="26" t="str">
        <f t="array" ref="H815">IF(
MOD(ROW()-2,6)=0,
INDEX('Form Responses'!I:I,INT((ROW()-2)/6)+2),
"-- NA --"
)</f>
        <v>-- NA --</v>
      </c>
      <c r="I815" s="32" t="str">
        <f t="array" ref="I815">IF(
MOD(ROW()-2,6)=0,
INDEX('Form Responses'!J:J,INT((ROW()-2)/6)+2),
"-- NA --"
)</f>
        <v>-- NA --</v>
      </c>
      <c r="J815" s="3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26">
        <v>815.0</v>
      </c>
      <c r="B816" s="33"/>
      <c r="C816" s="26" t="s">
        <v>464</v>
      </c>
      <c r="D816" s="26" t="str">
        <f t="array" ref="D8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25AD224</v>
      </c>
      <c r="E816" s="32" t="str">
        <f t="array" ref="E8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Thanus Raj M</v>
      </c>
      <c r="F816" s="26" t="str">
        <f t="array" ref="F8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6" s="26" t="str">
        <f t="array" ref="G8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16" s="26" t="str">
        <f t="array" ref="H816">IF(
MOD(ROW()-2,6)=0,
INDEX('Form Responses'!I:I,INT((ROW()-2)/6)+2),
"-- NA --"
)</f>
        <v>-- NA --</v>
      </c>
      <c r="I816" s="32" t="str">
        <f t="array" ref="I816">IF(
MOD(ROW()-2,6)=0,
INDEX('Form Responses'!J:J,INT((ROW()-2)/6)+2),
"-- NA --"
)</f>
        <v>-- NA --</v>
      </c>
      <c r="J816" s="3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26">
        <v>816.0</v>
      </c>
      <c r="B817" s="6"/>
      <c r="C817" s="26" t="s">
        <v>500</v>
      </c>
      <c r="D817" s="26" t="str">
        <f t="array" ref="D8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25AD252</v>
      </c>
      <c r="E817" s="32" t="str">
        <f t="array" ref="E8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Yuva sankar S</v>
      </c>
      <c r="F817" s="26" t="str">
        <f t="array" ref="F8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7" s="26" t="str">
        <f t="array" ref="G8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17" s="26" t="str">
        <f t="array" ref="H817">IF(
MOD(ROW()-2,6)=0,
INDEX('Form Responses'!I:I,INT((ROW()-2)/6)+2),
"-- NA --"
)</f>
        <v>-- NA --</v>
      </c>
      <c r="I817" s="32" t="str">
        <f t="array" ref="I817">IF(
MOD(ROW()-2,6)=0,
INDEX('Form Responses'!J:J,INT((ROW()-2)/6)+2),
"-- NA --"
)</f>
        <v>-- NA --</v>
      </c>
      <c r="J817" s="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26">
        <v>817.0</v>
      </c>
      <c r="B818" s="29" t="str">
        <f t="array" ref="B818">INDEX('Form Responses'!$C:$C,INT((ROW()-2)/6)+2)</f>
        <v>Invincibles</v>
      </c>
      <c r="C818" s="31" t="s">
        <v>140</v>
      </c>
      <c r="D818" s="26" t="str">
        <f t="array" ref="D8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25AM077 </v>
      </c>
      <c r="E818" s="32" t="str">
        <f t="array" ref="E8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Rashmika M</v>
      </c>
      <c r="F818" s="26" t="str">
        <f t="array" ref="F8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8" s="26" t="str">
        <f t="array" ref="G8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18" s="26">
        <f t="array" ref="H818">IF(
MOD(ROW()-2,6)=0,
INDEX('Form Responses'!I:I,INT((ROW()-2)/6)+2),
"-- NA --"
)</f>
        <v>9025986197</v>
      </c>
      <c r="I818" s="32" t="str">
        <f t="array" ref="I818">IF(
MOD(ROW()-2,6)=0,
INDEX('Form Responses'!J:J,INT((ROW()-2)/6)+2),
"-- NA --"
)</f>
        <v>rashmika.m2025aiml@sece.ac.in</v>
      </c>
      <c r="J818" s="29" t="str">
        <f t="array" ref="J818">INDEX('Form Responses'!$D:$D,INT((ROW()-2)/6)+2)</f>
        <v>Hardware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26">
        <v>818.0</v>
      </c>
      <c r="B819" s="33"/>
      <c r="C819" s="26" t="s">
        <v>282</v>
      </c>
      <c r="D819" s="26" t="str">
        <f t="array" ref="D8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25AM114</v>
      </c>
      <c r="E819" s="32" t="str">
        <f t="array" ref="E8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NS</v>
      </c>
      <c r="F819" s="26" t="str">
        <f t="array" ref="F8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19" s="26" t="str">
        <f t="array" ref="G8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19" s="26" t="str">
        <f t="array" ref="H819">IF(
MOD(ROW()-2,6)=0,
INDEX('Form Responses'!I:I,INT((ROW()-2)/6)+2),
"-- NA --"
)</f>
        <v>-- NA --</v>
      </c>
      <c r="I819" s="32" t="str">
        <f t="array" ref="I819">IF(
MOD(ROW()-2,6)=0,
INDEX('Form Responses'!J:J,INT((ROW()-2)/6)+2),
"-- NA --"
)</f>
        <v>-- NA --</v>
      </c>
      <c r="J819" s="3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26">
        <v>819.0</v>
      </c>
      <c r="B820" s="33"/>
      <c r="C820" s="26" t="s">
        <v>385</v>
      </c>
      <c r="D820" s="26" t="str">
        <f t="array" ref="D8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25AM083</v>
      </c>
      <c r="E820" s="32" t="str">
        <f t="array" ref="E8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 </v>
      </c>
      <c r="F820" s="26" t="str">
        <f t="array" ref="F8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0" s="26" t="str">
        <f t="array" ref="G8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20" s="26" t="str">
        <f t="array" ref="H820">IF(
MOD(ROW()-2,6)=0,
INDEX('Form Responses'!I:I,INT((ROW()-2)/6)+2),
"-- NA --"
)</f>
        <v>-- NA --</v>
      </c>
      <c r="I820" s="32" t="str">
        <f t="array" ref="I820">IF(
MOD(ROW()-2,6)=0,
INDEX('Form Responses'!J:J,INT((ROW()-2)/6)+2),
"-- NA --"
)</f>
        <v>-- NA --</v>
      </c>
      <c r="J820" s="3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26">
        <v>820.0</v>
      </c>
      <c r="B821" s="33"/>
      <c r="C821" s="26" t="s">
        <v>425</v>
      </c>
      <c r="D821" s="26" t="str">
        <f t="array" ref="D8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25AM091</v>
      </c>
      <c r="E821" s="32" t="str">
        <f t="array" ref="E8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Sathurmugan </v>
      </c>
      <c r="F821" s="26" t="str">
        <f t="array" ref="F8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1" s="26" t="str">
        <f t="array" ref="G8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21" s="26" t="str">
        <f t="array" ref="H821">IF(
MOD(ROW()-2,6)=0,
INDEX('Form Responses'!I:I,INT((ROW()-2)/6)+2),
"-- NA --"
)</f>
        <v>-- NA --</v>
      </c>
      <c r="I821" s="32" t="str">
        <f t="array" ref="I821">IF(
MOD(ROW()-2,6)=0,
INDEX('Form Responses'!J:J,INT((ROW()-2)/6)+2),
"-- NA --"
)</f>
        <v>-- NA --</v>
      </c>
      <c r="J821" s="3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26">
        <v>821.0</v>
      </c>
      <c r="B822" s="33"/>
      <c r="C822" s="26" t="s">
        <v>464</v>
      </c>
      <c r="D822" s="26" t="str">
        <f t="array" ref="D8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25EC044</v>
      </c>
      <c r="E822" s="32" t="str">
        <f t="array" ref="E8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Dhishaa G</v>
      </c>
      <c r="F822" s="26" t="str">
        <f t="array" ref="F8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2" s="26" t="str">
        <f t="array" ref="G8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22" s="26" t="str">
        <f t="array" ref="H822">IF(
MOD(ROW()-2,6)=0,
INDEX('Form Responses'!I:I,INT((ROW()-2)/6)+2),
"-- NA --"
)</f>
        <v>-- NA --</v>
      </c>
      <c r="I822" s="32" t="str">
        <f t="array" ref="I822">IF(
MOD(ROW()-2,6)=0,
INDEX('Form Responses'!J:J,INT((ROW()-2)/6)+2),
"-- NA --"
)</f>
        <v>-- NA --</v>
      </c>
      <c r="J822" s="3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26">
        <v>822.0</v>
      </c>
      <c r="B823" s="6"/>
      <c r="C823" s="26" t="s">
        <v>500</v>
      </c>
      <c r="D823" s="26" t="str">
        <f t="array" ref="D8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25ME024</v>
      </c>
      <c r="E823" s="32" t="str">
        <f t="array" ref="E8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 prasath S</v>
      </c>
      <c r="F823" s="26" t="str">
        <f t="array" ref="F8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3" s="26" t="str">
        <f t="array" ref="G8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23" s="26" t="str">
        <f t="array" ref="H823">IF(
MOD(ROW()-2,6)=0,
INDEX('Form Responses'!I:I,INT((ROW()-2)/6)+2),
"-- NA --"
)</f>
        <v>-- NA --</v>
      </c>
      <c r="I823" s="32" t="str">
        <f t="array" ref="I823">IF(
MOD(ROW()-2,6)=0,
INDEX('Form Responses'!J:J,INT((ROW()-2)/6)+2),
"-- NA --"
)</f>
        <v>-- NA --</v>
      </c>
      <c r="J823" s="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26">
        <v>823.0</v>
      </c>
      <c r="B824" s="29" t="str">
        <f t="array" ref="B824">INDEX('Form Responses'!$C:$C,INT((ROW()-2)/6)+2)</f>
        <v>INNOVEXA</v>
      </c>
      <c r="C824" s="31" t="s">
        <v>140</v>
      </c>
      <c r="D824" s="26" t="str">
        <f t="array" ref="D8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25CS056</v>
      </c>
      <c r="E824" s="32" t="str">
        <f t="array" ref="E8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GOPIKA A</v>
      </c>
      <c r="F824" s="26" t="str">
        <f t="array" ref="F8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4" s="26" t="str">
        <f t="array" ref="G8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24" s="26">
        <f t="array" ref="H824">IF(
MOD(ROW()-2,6)=0,
INDEX('Form Responses'!I:I,INT((ROW()-2)/6)+2),
"-- NA --"
)</f>
        <v>9345726470</v>
      </c>
      <c r="I824" s="32" t="str">
        <f t="array" ref="I824">IF(
MOD(ROW()-2,6)=0,
INDEX('Form Responses'!J:J,INT((ROW()-2)/6)+2),
"-- NA --"
)</f>
        <v>gopika.a2025cse@sece.ac.in</v>
      </c>
      <c r="J824" s="29" t="str">
        <f t="array" ref="J824">INDEX('Form Responses'!$D:$D,INT((ROW()-2)/6)+2)</f>
        <v>Software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26">
        <v>824.0</v>
      </c>
      <c r="B825" s="33"/>
      <c r="C825" s="26" t="s">
        <v>282</v>
      </c>
      <c r="D825" s="26" t="str">
        <f t="array" ref="D8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25CS025</v>
      </c>
      <c r="E825" s="32" t="str">
        <f t="array" ref="E8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CHITRIKA E</v>
      </c>
      <c r="F825" s="26" t="str">
        <f t="array" ref="F8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5" s="26" t="str">
        <f t="array" ref="G8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25" s="26" t="str">
        <f t="array" ref="H825">IF(
MOD(ROW()-2,6)=0,
INDEX('Form Responses'!I:I,INT((ROW()-2)/6)+2),
"-- NA --"
)</f>
        <v>-- NA --</v>
      </c>
      <c r="I825" s="32" t="str">
        <f t="array" ref="I825">IF(
MOD(ROW()-2,6)=0,
INDEX('Form Responses'!J:J,INT((ROW()-2)/6)+2),
"-- NA --"
)</f>
        <v>-- NA --</v>
      </c>
      <c r="J825" s="3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26">
        <v>825.0</v>
      </c>
      <c r="B826" s="33"/>
      <c r="C826" s="26" t="s">
        <v>385</v>
      </c>
      <c r="D826" s="26" t="str">
        <f t="array" ref="D8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25CS045</v>
      </c>
      <c r="E826" s="32" t="str">
        <f t="array" ref="E8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DHIPTHA B</v>
      </c>
      <c r="F826" s="26" t="str">
        <f t="array" ref="F8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6" s="26" t="str">
        <f t="array" ref="G8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26" s="26" t="str">
        <f t="array" ref="H826">IF(
MOD(ROW()-2,6)=0,
INDEX('Form Responses'!I:I,INT((ROW()-2)/6)+2),
"-- NA --"
)</f>
        <v>-- NA --</v>
      </c>
      <c r="I826" s="32" t="str">
        <f t="array" ref="I826">IF(
MOD(ROW()-2,6)=0,
INDEX('Form Responses'!J:J,INT((ROW()-2)/6)+2),
"-- NA --"
)</f>
        <v>-- NA --</v>
      </c>
      <c r="J826" s="3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26">
        <v>826.0</v>
      </c>
      <c r="B827" s="33"/>
      <c r="C827" s="26" t="s">
        <v>425</v>
      </c>
      <c r="D827" s="26" t="str">
        <f t="array" ref="D8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25CS059</v>
      </c>
      <c r="E827" s="32" t="str">
        <f t="array" ref="E8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HAJARAMMA R</v>
      </c>
      <c r="F827" s="26" t="str">
        <f t="array" ref="F8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7" s="26" t="str">
        <f t="array" ref="G8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27" s="26" t="str">
        <f t="array" ref="H827">IF(
MOD(ROW()-2,6)=0,
INDEX('Form Responses'!I:I,INT((ROW()-2)/6)+2),
"-- NA --"
)</f>
        <v>-- NA --</v>
      </c>
      <c r="I827" s="32" t="str">
        <f t="array" ref="I827">IF(
MOD(ROW()-2,6)=0,
INDEX('Form Responses'!J:J,INT((ROW()-2)/6)+2),
"-- NA --"
)</f>
        <v>-- NA --</v>
      </c>
      <c r="J827" s="3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26">
        <v>827.0</v>
      </c>
      <c r="B828" s="33"/>
      <c r="C828" s="26" t="s">
        <v>464</v>
      </c>
      <c r="D828" s="26" t="str">
        <f t="array" ref="D8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25SY026</v>
      </c>
      <c r="E828" s="32" t="str">
        <f t="array" ref="E8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JIDEV ADAVA SUNJAY S</v>
      </c>
      <c r="F828" s="26" t="str">
        <f t="array" ref="F8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8" s="26" t="str">
        <f t="array" ref="G8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28" s="26" t="str">
        <f t="array" ref="H828">IF(
MOD(ROW()-2,6)=0,
INDEX('Form Responses'!I:I,INT((ROW()-2)/6)+2),
"-- NA --"
)</f>
        <v>-- NA --</v>
      </c>
      <c r="I828" s="32" t="str">
        <f t="array" ref="I828">IF(
MOD(ROW()-2,6)=0,
INDEX('Form Responses'!J:J,INT((ROW()-2)/6)+2),
"-- NA --"
)</f>
        <v>-- NA --</v>
      </c>
      <c r="J828" s="3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26">
        <v>828.0</v>
      </c>
      <c r="B829" s="6"/>
      <c r="C829" s="26" t="s">
        <v>500</v>
      </c>
      <c r="D829" s="26" t="str">
        <f t="array" ref="D8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25CC053</v>
      </c>
      <c r="E829" s="32" t="str">
        <f t="array" ref="E8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SOWBAKYA T</v>
      </c>
      <c r="F829" s="26" t="str">
        <f t="array" ref="F8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29" s="26" t="str">
        <f t="array" ref="G8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29" s="26" t="str">
        <f t="array" ref="H829">IF(
MOD(ROW()-2,6)=0,
INDEX('Form Responses'!I:I,INT((ROW()-2)/6)+2),
"-- NA --"
)</f>
        <v>-- NA --</v>
      </c>
      <c r="I829" s="32" t="str">
        <f t="array" ref="I829">IF(
MOD(ROW()-2,6)=0,
INDEX('Form Responses'!J:J,INT((ROW()-2)/6)+2),
"-- NA --"
)</f>
        <v>-- NA --</v>
      </c>
      <c r="J829" s="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26">
        <v>829.0</v>
      </c>
      <c r="B830" s="29" t="str">
        <f t="array" ref="B830">INDEX('Form Responses'!$C:$C,INT((ROW()-2)/6)+2)</f>
        <v>Divine Heirs</v>
      </c>
      <c r="C830" s="31" t="s">
        <v>140</v>
      </c>
      <c r="D830" s="26" t="str">
        <f t="array" ref="D8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24ME018</v>
      </c>
      <c r="E830" s="32" t="str">
        <f t="array" ref="E8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PRAJIT SS</v>
      </c>
      <c r="F830" s="26" t="str">
        <f t="array" ref="F8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0" s="26" t="str">
        <f t="array" ref="G8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30" s="26">
        <f t="array" ref="H830">IF(
MOD(ROW()-2,6)=0,
INDEX('Form Responses'!I:I,INT((ROW()-2)/6)+2),
"-- NA --"
)</f>
        <v>9445838131</v>
      </c>
      <c r="I830" s="32" t="str">
        <f t="array" ref="I830">IF(
MOD(ROW()-2,6)=0,
INDEX('Form Responses'!J:J,INT((ROW()-2)/6)+2),
"-- NA --"
)</f>
        <v>prajit.ss2024mech@sece.ac.in</v>
      </c>
      <c r="J830" s="29" t="str">
        <f t="array" ref="J830">INDEX('Form Responses'!$D:$D,INT((ROW()-2)/6)+2)</f>
        <v>Hardware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26">
        <v>830.0</v>
      </c>
      <c r="B831" s="33"/>
      <c r="C831" s="26" t="s">
        <v>282</v>
      </c>
      <c r="D831" s="26" t="str">
        <f t="array" ref="D8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24ME013</v>
      </c>
      <c r="E831" s="32" t="str">
        <f t="array" ref="E8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LOKESH SS</v>
      </c>
      <c r="F831" s="26" t="str">
        <f t="array" ref="F8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1" s="26" t="str">
        <f t="array" ref="G8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31" s="26" t="str">
        <f t="array" ref="H831">IF(
MOD(ROW()-2,6)=0,
INDEX('Form Responses'!I:I,INT((ROW()-2)/6)+2),
"-- NA --"
)</f>
        <v>-- NA --</v>
      </c>
      <c r="I831" s="32" t="str">
        <f t="array" ref="I831">IF(
MOD(ROW()-2,6)=0,
INDEX('Form Responses'!J:J,INT((ROW()-2)/6)+2),
"-- NA --"
)</f>
        <v>-- NA --</v>
      </c>
      <c r="J831" s="3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26">
        <v>831.0</v>
      </c>
      <c r="B832" s="33"/>
      <c r="C832" s="26" t="s">
        <v>385</v>
      </c>
      <c r="D832" s="26" t="str">
        <f t="array" ref="D8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24ME028</v>
      </c>
      <c r="E832" s="32" t="str">
        <f t="array" ref="E8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VISHAAL S</v>
      </c>
      <c r="F832" s="26" t="str">
        <f t="array" ref="F8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2" s="26" t="str">
        <f t="array" ref="G8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32" s="26" t="str">
        <f t="array" ref="H832">IF(
MOD(ROW()-2,6)=0,
INDEX('Form Responses'!I:I,INT((ROW()-2)/6)+2),
"-- NA --"
)</f>
        <v>-- NA --</v>
      </c>
      <c r="I832" s="32" t="str">
        <f t="array" ref="I832">IF(
MOD(ROW()-2,6)=0,
INDEX('Form Responses'!J:J,INT((ROW()-2)/6)+2),
"-- NA --"
)</f>
        <v>-- NA --</v>
      </c>
      <c r="J832" s="3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26">
        <v>832.0</v>
      </c>
      <c r="B833" s="33"/>
      <c r="C833" s="26" t="s">
        <v>425</v>
      </c>
      <c r="D833" s="26" t="str">
        <f t="array" ref="D8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24ME015</v>
      </c>
      <c r="E833" s="32" t="str">
        <f t="array" ref="E8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MYTHRAYANI  S</v>
      </c>
      <c r="F833" s="26" t="str">
        <f t="array" ref="F8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3" s="26" t="str">
        <f t="array" ref="G8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33" s="26" t="str">
        <f t="array" ref="H833">IF(
MOD(ROW()-2,6)=0,
INDEX('Form Responses'!I:I,INT((ROW()-2)/6)+2),
"-- NA --"
)</f>
        <v>-- NA --</v>
      </c>
      <c r="I833" s="32" t="str">
        <f t="array" ref="I833">IF(
MOD(ROW()-2,6)=0,
INDEX('Form Responses'!J:J,INT((ROW()-2)/6)+2),
"-- NA --"
)</f>
        <v>-- NA --</v>
      </c>
      <c r="J833" s="3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26">
        <v>833.0</v>
      </c>
      <c r="B834" s="33"/>
      <c r="C834" s="26" t="s">
        <v>464</v>
      </c>
      <c r="D834" s="26" t="str">
        <f t="array" ref="D8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24EC130</v>
      </c>
      <c r="E834" s="32" t="str">
        <f t="array" ref="E8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RUPESH NAWIN S</v>
      </c>
      <c r="F834" s="26" t="str">
        <f t="array" ref="F8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4" s="26" t="str">
        <f t="array" ref="G8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34" s="26" t="str">
        <f t="array" ref="H834">IF(
MOD(ROW()-2,6)=0,
INDEX('Form Responses'!I:I,INT((ROW()-2)/6)+2),
"-- NA --"
)</f>
        <v>-- NA --</v>
      </c>
      <c r="I834" s="32" t="str">
        <f t="array" ref="I834">IF(
MOD(ROW()-2,6)=0,
INDEX('Form Responses'!J:J,INT((ROW()-2)/6)+2),
"-- NA --"
)</f>
        <v>-- NA --</v>
      </c>
      <c r="J834" s="3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26">
        <v>834.0</v>
      </c>
      <c r="B835" s="6"/>
      <c r="C835" s="26" t="s">
        <v>500</v>
      </c>
      <c r="D835" s="26" t="str">
        <f t="array" ref="D8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24ME024</v>
      </c>
      <c r="E835" s="32" t="str">
        <f t="array" ref="E8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SHREE MATHI MALAR M</v>
      </c>
      <c r="F835" s="26" t="str">
        <f t="array" ref="F8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35" s="26" t="str">
        <f t="array" ref="G8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35" s="26" t="str">
        <f t="array" ref="H835">IF(
MOD(ROW()-2,6)=0,
INDEX('Form Responses'!I:I,INT((ROW()-2)/6)+2),
"-- NA --"
)</f>
        <v>-- NA --</v>
      </c>
      <c r="I835" s="32" t="str">
        <f t="array" ref="I835">IF(
MOD(ROW()-2,6)=0,
INDEX('Form Responses'!J:J,INT((ROW()-2)/6)+2),
"-- NA --"
)</f>
        <v>-- NA --</v>
      </c>
      <c r="J835" s="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26">
        <v>835.0</v>
      </c>
      <c r="B836" s="29" t="str">
        <f t="array" ref="B836">INDEX('Form Responses'!$C:$C,INT((ROW()-2)/6)+2)</f>
        <v>TechForge</v>
      </c>
      <c r="C836" s="31" t="s">
        <v>140</v>
      </c>
      <c r="D836" s="26" t="str">
        <f t="array" ref="D8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25AM043</v>
      </c>
      <c r="E836" s="32" t="str">
        <f t="array" ref="E8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INIYAA V</v>
      </c>
      <c r="F836" s="26" t="str">
        <f t="array" ref="F8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36" s="26" t="str">
        <f t="array" ref="G8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36" s="26">
        <f t="array" ref="H836">IF(
MOD(ROW()-2,6)=0,
INDEX('Form Responses'!I:I,INT((ROW()-2)/6)+2),
"-- NA --"
)</f>
        <v>9042896828</v>
      </c>
      <c r="I836" s="32" t="str">
        <f t="array" ref="I836">IF(
MOD(ROW()-2,6)=0,
INDEX('Form Responses'!J:J,INT((ROW()-2)/6)+2),
"-- NA --"
)</f>
        <v>iniyaa.v2025aiml@sece.ac.in</v>
      </c>
      <c r="J836" s="29" t="str">
        <f t="array" ref="J836">INDEX('Form Responses'!$D:$D,INT((ROW()-2)/6)+2)</f>
        <v>Hardware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26">
        <v>836.0</v>
      </c>
      <c r="B837" s="33"/>
      <c r="C837" s="26" t="s">
        <v>282</v>
      </c>
      <c r="D837" s="26" t="str">
        <f t="array" ref="D8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25AM042</v>
      </c>
      <c r="E837" s="32" t="str">
        <f t="array" ref="E8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HEMASRI S</v>
      </c>
      <c r="F837" s="26" t="str">
        <f t="array" ref="F8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37" s="26" t="str">
        <f t="array" ref="G8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37" s="26" t="str">
        <f t="array" ref="H837">IF(
MOD(ROW()-2,6)=0,
INDEX('Form Responses'!I:I,INT((ROW()-2)/6)+2),
"-- NA --"
)</f>
        <v>-- NA --</v>
      </c>
      <c r="I837" s="32" t="str">
        <f t="array" ref="I837">IF(
MOD(ROW()-2,6)=0,
INDEX('Form Responses'!J:J,INT((ROW()-2)/6)+2),
"-- NA --"
)</f>
        <v>-- NA --</v>
      </c>
      <c r="J837" s="3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26">
        <v>837.0</v>
      </c>
      <c r="B838" s="33"/>
      <c r="C838" s="26" t="s">
        <v>385</v>
      </c>
      <c r="D838" s="26" t="str">
        <f t="array" ref="D8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25AM056</v>
      </c>
      <c r="E838" s="32" t="str">
        <f t="array" ref="E8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LAKSHMANA PRABHA A R</v>
      </c>
      <c r="F838" s="26" t="str">
        <f t="array" ref="F8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38" s="26" t="str">
        <f t="array" ref="G8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38" s="26" t="str">
        <f t="array" ref="H838">IF(
MOD(ROW()-2,6)=0,
INDEX('Form Responses'!I:I,INT((ROW()-2)/6)+2),
"-- NA --"
)</f>
        <v>-- NA --</v>
      </c>
      <c r="I838" s="32" t="str">
        <f t="array" ref="I838">IF(
MOD(ROW()-2,6)=0,
INDEX('Form Responses'!J:J,INT((ROW()-2)/6)+2),
"-- NA --"
)</f>
        <v>-- NA --</v>
      </c>
      <c r="J838" s="3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26">
        <v>838.0</v>
      </c>
      <c r="B839" s="33"/>
      <c r="C839" s="26" t="s">
        <v>425</v>
      </c>
      <c r="D839" s="26" t="str">
        <f t="array" ref="D8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25AM064</v>
      </c>
      <c r="E839" s="32" t="str">
        <f t="array" ref="E8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MITHUNSURYA K</v>
      </c>
      <c r="F839" s="26" t="str">
        <f t="array" ref="F8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39" s="26" t="str">
        <f t="array" ref="G8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39" s="26" t="str">
        <f t="array" ref="H839">IF(
MOD(ROW()-2,6)=0,
INDEX('Form Responses'!I:I,INT((ROW()-2)/6)+2),
"-- NA --"
)</f>
        <v>-- NA --</v>
      </c>
      <c r="I839" s="32" t="str">
        <f t="array" ref="I839">IF(
MOD(ROW()-2,6)=0,
INDEX('Form Responses'!J:J,INT((ROW()-2)/6)+2),
"-- NA --"
)</f>
        <v>-- NA --</v>
      </c>
      <c r="J839" s="3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26">
        <v>839.0</v>
      </c>
      <c r="B840" s="33"/>
      <c r="C840" s="26" t="s">
        <v>464</v>
      </c>
      <c r="D840" s="26" t="str">
        <f t="array" ref="D8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25EC187</v>
      </c>
      <c r="E840" s="32" t="str">
        <f t="array" ref="E8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YOGITH VISHNU S</v>
      </c>
      <c r="F840" s="26" t="str">
        <f t="array" ref="F8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0" s="26" t="str">
        <f t="array" ref="G8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40" s="26" t="str">
        <f t="array" ref="H840">IF(
MOD(ROW()-2,6)=0,
INDEX('Form Responses'!I:I,INT((ROW()-2)/6)+2),
"-- NA --"
)</f>
        <v>-- NA --</v>
      </c>
      <c r="I840" s="32" t="str">
        <f t="array" ref="I840">IF(
MOD(ROW()-2,6)=0,
INDEX('Form Responses'!J:J,INT((ROW()-2)/6)+2),
"-- NA --"
)</f>
        <v>-- NA --</v>
      </c>
      <c r="J840" s="3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26">
        <v>840.0</v>
      </c>
      <c r="B841" s="6"/>
      <c r="C841" s="26" t="s">
        <v>500</v>
      </c>
      <c r="D841" s="26" t="str">
        <f t="array" ref="D8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25EC158</v>
      </c>
      <c r="E841" s="32" t="str">
        <f t="array" ref="E8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DHARSHAN S</v>
      </c>
      <c r="F841" s="26" t="str">
        <f t="array" ref="F8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1" s="26" t="str">
        <f t="array" ref="G8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41" s="26" t="str">
        <f t="array" ref="H841">IF(
MOD(ROW()-2,6)=0,
INDEX('Form Responses'!I:I,INT((ROW()-2)/6)+2),
"-- NA --"
)</f>
        <v>-- NA --</v>
      </c>
      <c r="I841" s="32" t="str">
        <f t="array" ref="I841">IF(
MOD(ROW()-2,6)=0,
INDEX('Form Responses'!J:J,INT((ROW()-2)/6)+2),
"-- NA --"
)</f>
        <v>-- NA --</v>
      </c>
      <c r="J841" s="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26">
        <v>841.0</v>
      </c>
      <c r="B842" s="29" t="str">
        <f t="array" ref="B842">INDEX('Form Responses'!$C:$C,INT((ROW()-2)/6)+2)</f>
        <v>The Tech Tribe</v>
      </c>
      <c r="C842" s="31" t="s">
        <v>140</v>
      </c>
      <c r="D842" s="26" t="str">
        <f t="array" ref="D8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25CS110</v>
      </c>
      <c r="E842" s="32" t="str">
        <f t="array" ref="E8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KRIETHIKESH R M</v>
      </c>
      <c r="F842" s="26" t="str">
        <f t="array" ref="F8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2" s="26" t="str">
        <f t="array" ref="G8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42" s="26">
        <f t="array" ref="H842">IF(
MOD(ROW()-2,6)=0,
INDEX('Form Responses'!I:I,INT((ROW()-2)/6)+2),
"-- NA --"
)</f>
        <v>9626213133</v>
      </c>
      <c r="I842" s="32" t="str">
        <f t="array" ref="I842">IF(
MOD(ROW()-2,6)=0,
INDEX('Form Responses'!J:J,INT((ROW()-2)/6)+2),
"-- NA --"
)</f>
        <v>kriethikesh.rm2025cse@sece.ac.in</v>
      </c>
      <c r="J842" s="29" t="str">
        <f t="array" ref="J842">INDEX('Form Responses'!$D:$D,INT((ROW()-2)/6)+2)</f>
        <v>Software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26">
        <v>842.0</v>
      </c>
      <c r="B843" s="33"/>
      <c r="C843" s="26" t="s">
        <v>282</v>
      </c>
      <c r="D843" s="26" t="str">
        <f t="array" ref="D8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25CS070</v>
      </c>
      <c r="E843" s="32" t="str">
        <f t="array" ref="E8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HARIRAM N</v>
      </c>
      <c r="F843" s="26" t="str">
        <f t="array" ref="F8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3" s="26" t="str">
        <f t="array" ref="G8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43" s="26" t="str">
        <f t="array" ref="H843">IF(
MOD(ROW()-2,6)=0,
INDEX('Form Responses'!I:I,INT((ROW()-2)/6)+2),
"-- NA --"
)</f>
        <v>-- NA --</v>
      </c>
      <c r="I843" s="32" t="str">
        <f t="array" ref="I843">IF(
MOD(ROW()-2,6)=0,
INDEX('Form Responses'!J:J,INT((ROW()-2)/6)+2),
"-- NA --"
)</f>
        <v>-- NA --</v>
      </c>
      <c r="J843" s="3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26">
        <v>843.0</v>
      </c>
      <c r="B844" s="33"/>
      <c r="C844" s="26" t="s">
        <v>385</v>
      </c>
      <c r="D844" s="26" t="str">
        <f t="array" ref="D8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25CS106</v>
      </c>
      <c r="E844" s="32" t="str">
        <f t="array" ref="E8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 KUMAR V</v>
      </c>
      <c r="F844" s="26" t="str">
        <f t="array" ref="F8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4" s="26" t="str">
        <f t="array" ref="G8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44" s="26" t="str">
        <f t="array" ref="H844">IF(
MOD(ROW()-2,6)=0,
INDEX('Form Responses'!I:I,INT((ROW()-2)/6)+2),
"-- NA --"
)</f>
        <v>-- NA --</v>
      </c>
      <c r="I844" s="32" t="str">
        <f t="array" ref="I844">IF(
MOD(ROW()-2,6)=0,
INDEX('Form Responses'!J:J,INT((ROW()-2)/6)+2),
"-- NA --"
)</f>
        <v>-- NA --</v>
      </c>
      <c r="J844" s="3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26">
        <v>844.0</v>
      </c>
      <c r="B845" s="33"/>
      <c r="C845" s="26" t="s">
        <v>425</v>
      </c>
      <c r="D845" s="26" t="str">
        <f t="array" ref="D8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25AD138</v>
      </c>
      <c r="E845" s="32" t="str">
        <f t="array" ref="E8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NITHYASRI V</v>
      </c>
      <c r="F845" s="26" t="str">
        <f t="array" ref="F8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5" s="26" t="str">
        <f t="array" ref="G8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45" s="26" t="str">
        <f t="array" ref="H845">IF(
MOD(ROW()-2,6)=0,
INDEX('Form Responses'!I:I,INT((ROW()-2)/6)+2),
"-- NA --"
)</f>
        <v>-- NA --</v>
      </c>
      <c r="I845" s="32" t="str">
        <f t="array" ref="I845">IF(
MOD(ROW()-2,6)=0,
INDEX('Form Responses'!J:J,INT((ROW()-2)/6)+2),
"-- NA --"
)</f>
        <v>-- NA --</v>
      </c>
      <c r="J845" s="3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26">
        <v>845.0</v>
      </c>
      <c r="B846" s="33"/>
      <c r="C846" s="26" t="s">
        <v>464</v>
      </c>
      <c r="D846" s="26" t="str">
        <f t="array" ref="D8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25AD156</v>
      </c>
      <c r="E846" s="32" t="str">
        <f t="array" ref="E8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PRAVEENA S</v>
      </c>
      <c r="F846" s="26" t="str">
        <f t="array" ref="F8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6" s="26" t="str">
        <f t="array" ref="G8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46" s="26" t="str">
        <f t="array" ref="H846">IF(
MOD(ROW()-2,6)=0,
INDEX('Form Responses'!I:I,INT((ROW()-2)/6)+2),
"-- NA --"
)</f>
        <v>-- NA --</v>
      </c>
      <c r="I846" s="32" t="str">
        <f t="array" ref="I846">IF(
MOD(ROW()-2,6)=0,
INDEX('Form Responses'!J:J,INT((ROW()-2)/6)+2),
"-- NA --"
)</f>
        <v>-- NA --</v>
      </c>
      <c r="J846" s="3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26">
        <v>846.0</v>
      </c>
      <c r="B847" s="6"/>
      <c r="C847" s="26" t="s">
        <v>500</v>
      </c>
      <c r="D847" s="26" t="str">
        <f t="array" ref="D8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25AD158</v>
      </c>
      <c r="E847" s="32" t="str">
        <f t="array" ref="E8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RAGAVI S</v>
      </c>
      <c r="F847" s="26" t="str">
        <f t="array" ref="F8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7" s="26" t="str">
        <f t="array" ref="G8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47" s="26" t="str">
        <f t="array" ref="H847">IF(
MOD(ROW()-2,6)=0,
INDEX('Form Responses'!I:I,INT((ROW()-2)/6)+2),
"-- NA --"
)</f>
        <v>-- NA --</v>
      </c>
      <c r="I847" s="32" t="str">
        <f t="array" ref="I847">IF(
MOD(ROW()-2,6)=0,
INDEX('Form Responses'!J:J,INT((ROW()-2)/6)+2),
"-- NA --"
)</f>
        <v>-- NA --</v>
      </c>
      <c r="J847" s="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26">
        <v>847.0</v>
      </c>
      <c r="B848" s="29" t="str">
        <f t="array" ref="B848">INDEX('Form Responses'!$C:$C,INT((ROW()-2)/6)+2)</f>
        <v>CodeCrafters</v>
      </c>
      <c r="C848" s="31" t="s">
        <v>140</v>
      </c>
      <c r="D848" s="26" t="str">
        <f t="array" ref="D8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25EE008</v>
      </c>
      <c r="E848" s="32" t="str">
        <f t="array" ref="E8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Dharanika S R</v>
      </c>
      <c r="F848" s="26" t="str">
        <f t="array" ref="F8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8" s="26" t="str">
        <f t="array" ref="G8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48" s="26">
        <f t="array" ref="H848">IF(
MOD(ROW()-2,6)=0,
INDEX('Form Responses'!I:I,INT((ROW()-2)/6)+2),
"-- NA --"
)</f>
        <v>9043807537</v>
      </c>
      <c r="I848" s="32" t="str">
        <f t="array" ref="I848">IF(
MOD(ROW()-2,6)=0,
INDEX('Form Responses'!J:J,INT((ROW()-2)/6)+2),
"-- NA --"
)</f>
        <v>dharanikasubramaniamrevathi.2025eee@sece.ac.in</v>
      </c>
      <c r="J848" s="29" t="str">
        <f t="array" ref="J848">INDEX('Form Responses'!$D:$D,INT((ROW()-2)/6)+2)</f>
        <v>Software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26">
        <v>848.0</v>
      </c>
      <c r="B849" s="33"/>
      <c r="C849" s="26" t="s">
        <v>282</v>
      </c>
      <c r="D849" s="55">
        <f t="array" ref="D8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2.5E+29</v>
      </c>
      <c r="E849" s="32" t="str">
        <f t="array" ref="E8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Midhun P</v>
      </c>
      <c r="F849" s="26" t="str">
        <f t="array" ref="F8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49" s="26" t="str">
        <f t="array" ref="G8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49" s="26" t="str">
        <f t="array" ref="H849">IF(
MOD(ROW()-2,6)=0,
INDEX('Form Responses'!I:I,INT((ROW()-2)/6)+2),
"-- NA --"
)</f>
        <v>-- NA --</v>
      </c>
      <c r="I849" s="32" t="str">
        <f t="array" ref="I849">IF(
MOD(ROW()-2,6)=0,
INDEX('Form Responses'!J:J,INT((ROW()-2)/6)+2),
"-- NA --"
)</f>
        <v>-- NA --</v>
      </c>
      <c r="J849" s="3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26">
        <v>849.0</v>
      </c>
      <c r="B850" s="33"/>
      <c r="C850" s="26" t="s">
        <v>385</v>
      </c>
      <c r="D850" s="26" t="str">
        <f t="array" ref="D8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25EE011</v>
      </c>
      <c r="E850" s="32" t="str">
        <f t="array" ref="E8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Dhasvanth R</v>
      </c>
      <c r="F850" s="26" t="str">
        <f t="array" ref="F8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0" s="26" t="str">
        <f t="array" ref="G8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50" s="26" t="str">
        <f t="array" ref="H850">IF(
MOD(ROW()-2,6)=0,
INDEX('Form Responses'!I:I,INT((ROW()-2)/6)+2),
"-- NA --"
)</f>
        <v>-- NA --</v>
      </c>
      <c r="I850" s="32" t="str">
        <f t="array" ref="I850">IF(
MOD(ROW()-2,6)=0,
INDEX('Form Responses'!J:J,INT((ROW()-2)/6)+2),
"-- NA --"
)</f>
        <v>-- NA --</v>
      </c>
      <c r="J850" s="3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26">
        <v>850.0</v>
      </c>
      <c r="B851" s="33"/>
      <c r="C851" s="26" t="s">
        <v>425</v>
      </c>
      <c r="D851" s="26" t="str">
        <f t="array" ref="D8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25SY054</v>
      </c>
      <c r="E851" s="32" t="str">
        <f t="array" ref="E8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Surendhar B</v>
      </c>
      <c r="F851" s="26" t="str">
        <f t="array" ref="F8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1" s="26" t="str">
        <f t="array" ref="G8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51" s="26" t="str">
        <f t="array" ref="H851">IF(
MOD(ROW()-2,6)=0,
INDEX('Form Responses'!I:I,INT((ROW()-2)/6)+2),
"-- NA --"
)</f>
        <v>-- NA --</v>
      </c>
      <c r="I851" s="32" t="str">
        <f t="array" ref="I851">IF(
MOD(ROW()-2,6)=0,
INDEX('Form Responses'!J:J,INT((ROW()-2)/6)+2),
"-- NA --"
)</f>
        <v>-- NA --</v>
      </c>
      <c r="J851" s="3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26">
        <v>851.0</v>
      </c>
      <c r="B852" s="33"/>
      <c r="C852" s="26" t="s">
        <v>464</v>
      </c>
      <c r="D852" s="26" t="str">
        <f t="array" ref="D8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25SY053</v>
      </c>
      <c r="E852" s="32" t="str">
        <f t="array" ref="E8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Sugesh S</v>
      </c>
      <c r="F852" s="26" t="str">
        <f t="array" ref="F8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2" s="26" t="str">
        <f t="array" ref="G8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52" s="26" t="str">
        <f t="array" ref="H852">IF(
MOD(ROW()-2,6)=0,
INDEX('Form Responses'!I:I,INT((ROW()-2)/6)+2),
"-- NA --"
)</f>
        <v>-- NA --</v>
      </c>
      <c r="I852" s="32" t="str">
        <f t="array" ref="I852">IF(
MOD(ROW()-2,6)=0,
INDEX('Form Responses'!J:J,INT((ROW()-2)/6)+2),
"-- NA --"
)</f>
        <v>-- NA --</v>
      </c>
      <c r="J852" s="3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26">
        <v>852.0</v>
      </c>
      <c r="B853" s="6"/>
      <c r="C853" s="26" t="s">
        <v>500</v>
      </c>
      <c r="D853" s="26" t="str">
        <f t="array" ref="D8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25SY036</v>
      </c>
      <c r="E853" s="32" t="str">
        <f t="array" ref="E8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Logavinayagam P</v>
      </c>
      <c r="F853" s="26" t="str">
        <f t="array" ref="F8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3" s="26" t="str">
        <f t="array" ref="G8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53" s="26" t="str">
        <f t="array" ref="H853">IF(
MOD(ROW()-2,6)=0,
INDEX('Form Responses'!I:I,INT((ROW()-2)/6)+2),
"-- NA --"
)</f>
        <v>-- NA --</v>
      </c>
      <c r="I853" s="32" t="str">
        <f t="array" ref="I853">IF(
MOD(ROW()-2,6)=0,
INDEX('Form Responses'!J:J,INT((ROW()-2)/6)+2),
"-- NA --"
)</f>
        <v>-- NA --</v>
      </c>
      <c r="J853" s="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26">
        <v>853.0</v>
      </c>
      <c r="B854" s="29" t="str">
        <f t="array" ref="B854">INDEX('Form Responses'!$C:$C,INT((ROW()-2)/6)+2)</f>
        <v>TEAM ENIGMA </v>
      </c>
      <c r="C854" s="31" t="s">
        <v>140</v>
      </c>
      <c r="D854" s="26" t="str">
        <f t="array" ref="D8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25AD078</v>
      </c>
      <c r="E854" s="32" t="str">
        <f t="array" ref="E8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JAYAASRI MUNILAKSHMI S </v>
      </c>
      <c r="F854" s="26" t="str">
        <f t="array" ref="F8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4" s="26" t="str">
        <f t="array" ref="G8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54" s="26">
        <f t="array" ref="H854">IF(
MOD(ROW()-2,6)=0,
INDEX('Form Responses'!I:I,INT((ROW()-2)/6)+2),
"-- NA --"
)</f>
        <v>8870146720</v>
      </c>
      <c r="I854" s="32" t="str">
        <f t="array" ref="I854">IF(
MOD(ROW()-2,6)=0,
INDEX('Form Responses'!J:J,INT((ROW()-2)/6)+2),
"-- NA --"
)</f>
        <v>jayaasrimunilakshmi.s2025aids@sece.ac.in</v>
      </c>
      <c r="J854" s="29" t="str">
        <f t="array" ref="J854">INDEX('Form Responses'!$D:$D,INT((ROW()-2)/6)+2)</f>
        <v>Software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26">
        <v>854.0</v>
      </c>
      <c r="B855" s="33"/>
      <c r="C855" s="26" t="s">
        <v>282</v>
      </c>
      <c r="D855" s="26" t="str">
        <f t="array" ref="D8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25AD103</v>
      </c>
      <c r="E855" s="32" t="str">
        <f t="array" ref="E8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KEVIN CHRISTOPHER S</v>
      </c>
      <c r="F855" s="26" t="str">
        <f t="array" ref="F8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5" s="26" t="str">
        <f t="array" ref="G8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55" s="26" t="str">
        <f t="array" ref="H855">IF(
MOD(ROW()-2,6)=0,
INDEX('Form Responses'!I:I,INT((ROW()-2)/6)+2),
"-- NA --"
)</f>
        <v>-- NA --</v>
      </c>
      <c r="I855" s="32" t="str">
        <f t="array" ref="I855">IF(
MOD(ROW()-2,6)=0,
INDEX('Form Responses'!J:J,INT((ROW()-2)/6)+2),
"-- NA --"
)</f>
        <v>-- NA --</v>
      </c>
      <c r="J855" s="3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26">
        <v>855.0</v>
      </c>
      <c r="B856" s="33"/>
      <c r="C856" s="26" t="s">
        <v>385</v>
      </c>
      <c r="D856" s="26" t="str">
        <f t="array" ref="D8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25AD101</v>
      </c>
      <c r="E856" s="32" t="str">
        <f t="array" ref="E8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 DHARSHAN S L</v>
      </c>
      <c r="F856" s="26" t="str">
        <f t="array" ref="F8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6" s="26" t="str">
        <f t="array" ref="G8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56" s="26" t="str">
        <f t="array" ref="H856">IF(
MOD(ROW()-2,6)=0,
INDEX('Form Responses'!I:I,INT((ROW()-2)/6)+2),
"-- NA --"
)</f>
        <v>-- NA --</v>
      </c>
      <c r="I856" s="32" t="str">
        <f t="array" ref="I856">IF(
MOD(ROW()-2,6)=0,
INDEX('Form Responses'!J:J,INT((ROW()-2)/6)+2),
"-- NA --"
)</f>
        <v>-- NA --</v>
      </c>
      <c r="J856" s="3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26">
        <v>856.0</v>
      </c>
      <c r="B857" s="33"/>
      <c r="C857" s="26" t="s">
        <v>425</v>
      </c>
      <c r="D857" s="26" t="str">
        <f t="array" ref="D8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25EC014</v>
      </c>
      <c r="E857" s="32" t="str">
        <f t="array" ref="E8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AKSHAYAMATHI S</v>
      </c>
      <c r="F857" s="26" t="str">
        <f t="array" ref="F8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7" s="26" t="str">
        <f t="array" ref="G8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57" s="26" t="str">
        <f t="array" ref="H857">IF(
MOD(ROW()-2,6)=0,
INDEX('Form Responses'!I:I,INT((ROW()-2)/6)+2),
"-- NA --"
)</f>
        <v>-- NA --</v>
      </c>
      <c r="I857" s="32" t="str">
        <f t="array" ref="I857">IF(
MOD(ROW()-2,6)=0,
INDEX('Form Responses'!J:J,INT((ROW()-2)/6)+2),
"-- NA --"
)</f>
        <v>-- NA --</v>
      </c>
      <c r="J857" s="3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26">
        <v>857.0</v>
      </c>
      <c r="B858" s="33"/>
      <c r="C858" s="26" t="s">
        <v>464</v>
      </c>
      <c r="D858" s="26" t="str">
        <f t="array" ref="D8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25ME025</v>
      </c>
      <c r="E858" s="32" t="str">
        <f t="array" ref="E8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SRIKANTH U S</v>
      </c>
      <c r="F858" s="26" t="str">
        <f t="array" ref="F8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8" s="26" t="str">
        <f t="array" ref="G8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58" s="26" t="str">
        <f t="array" ref="H858">IF(
MOD(ROW()-2,6)=0,
INDEX('Form Responses'!I:I,INT((ROW()-2)/6)+2),
"-- NA --"
)</f>
        <v>-- NA --</v>
      </c>
      <c r="I858" s="32" t="str">
        <f t="array" ref="I858">IF(
MOD(ROW()-2,6)=0,
INDEX('Form Responses'!J:J,INT((ROW()-2)/6)+2),
"-- NA --"
)</f>
        <v>-- NA --</v>
      </c>
      <c r="J858" s="3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26">
        <v>858.0</v>
      </c>
      <c r="B859" s="6"/>
      <c r="C859" s="26" t="s">
        <v>500</v>
      </c>
      <c r="D859" s="26" t="str">
        <f t="array" ref="D8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25ME019</v>
      </c>
      <c r="E859" s="32" t="str">
        <f t="array" ref="E8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Murali Prasath E</v>
      </c>
      <c r="F859" s="26" t="str">
        <f t="array" ref="F8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59" s="26" t="str">
        <f t="array" ref="G8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859" s="26" t="str">
        <f t="array" ref="H859">IF(
MOD(ROW()-2,6)=0,
INDEX('Form Responses'!I:I,INT((ROW()-2)/6)+2),
"-- NA --"
)</f>
        <v>-- NA --</v>
      </c>
      <c r="I859" s="32" t="str">
        <f t="array" ref="I859">IF(
MOD(ROW()-2,6)=0,
INDEX('Form Responses'!J:J,INT((ROW()-2)/6)+2),
"-- NA --"
)</f>
        <v>-- NA --</v>
      </c>
      <c r="J859" s="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26">
        <v>859.0</v>
      </c>
      <c r="B860" s="29" t="str">
        <f t="array" ref="B860">INDEX('Form Responses'!$C:$C,INT((ROW()-2)/6)+2)</f>
        <v>Team Vanguard</v>
      </c>
      <c r="C860" s="31" t="s">
        <v>140</v>
      </c>
      <c r="D860" s="26" t="str">
        <f t="array" ref="D8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24AD162</v>
      </c>
      <c r="E860" s="32" t="str">
        <f t="array" ref="E8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Preethika S</v>
      </c>
      <c r="F860" s="26" t="str">
        <f t="array" ref="F8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0" s="26" t="str">
        <f t="array" ref="G8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0" s="26">
        <f t="array" ref="H860">IF(
MOD(ROW()-2,6)=0,
INDEX('Form Responses'!I:I,INT((ROW()-2)/6)+2),
"-- NA --"
)</f>
        <v>8015183007</v>
      </c>
      <c r="I860" s="32" t="str">
        <f t="array" ref="I860">IF(
MOD(ROW()-2,6)=0,
INDEX('Form Responses'!J:J,INT((ROW()-2)/6)+2),
"-- NA --"
)</f>
        <v>preethika.s2024aids@sece.ac.in</v>
      </c>
      <c r="J860" s="29" t="str">
        <f t="array" ref="J860">INDEX('Form Responses'!$D:$D,INT((ROW()-2)/6)+2)</f>
        <v>Hardware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26">
        <v>860.0</v>
      </c>
      <c r="B861" s="33"/>
      <c r="C861" s="26" t="s">
        <v>282</v>
      </c>
      <c r="D861" s="26" t="str">
        <f t="array" ref="D8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24AD019</v>
      </c>
      <c r="E861" s="32" t="str">
        <f t="array" ref="E8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Amirthavarshini P</v>
      </c>
      <c r="F861" s="26" t="str">
        <f t="array" ref="F8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1" s="26" t="str">
        <f t="array" ref="G8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1" s="26" t="str">
        <f t="array" ref="H861">IF(
MOD(ROW()-2,6)=0,
INDEX('Form Responses'!I:I,INT((ROW()-2)/6)+2),
"-- NA --"
)</f>
        <v>-- NA --</v>
      </c>
      <c r="I861" s="32" t="str">
        <f t="array" ref="I861">IF(
MOD(ROW()-2,6)=0,
INDEX('Form Responses'!J:J,INT((ROW()-2)/6)+2),
"-- NA --"
)</f>
        <v>-- NA --</v>
      </c>
      <c r="J861" s="3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26">
        <v>861.0</v>
      </c>
      <c r="B862" s="33"/>
      <c r="C862" s="26" t="s">
        <v>385</v>
      </c>
      <c r="D862" s="26" t="str">
        <f t="array" ref="D8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24AD156</v>
      </c>
      <c r="E862" s="32" t="str">
        <f t="array" ref="E8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Pranav M</v>
      </c>
      <c r="F862" s="26" t="str">
        <f t="array" ref="F8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2" s="26" t="str">
        <f t="array" ref="G8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2" s="26" t="str">
        <f t="array" ref="H862">IF(
MOD(ROW()-2,6)=0,
INDEX('Form Responses'!I:I,INT((ROW()-2)/6)+2),
"-- NA --"
)</f>
        <v>-- NA --</v>
      </c>
      <c r="I862" s="32" t="str">
        <f t="array" ref="I862">IF(
MOD(ROW()-2,6)=0,
INDEX('Form Responses'!J:J,INT((ROW()-2)/6)+2),
"-- NA --"
)</f>
        <v>-- NA --</v>
      </c>
      <c r="J862" s="3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26">
        <v>862.0</v>
      </c>
      <c r="B863" s="33"/>
      <c r="C863" s="26" t="s">
        <v>425</v>
      </c>
      <c r="D863" s="26" t="str">
        <f t="array" ref="D8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24CB022</v>
      </c>
      <c r="E863" s="32" t="str">
        <f t="array" ref="E8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Kausika G</v>
      </c>
      <c r="F863" s="26" t="str">
        <f t="array" ref="F8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3" s="26" t="str">
        <f t="array" ref="G8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3" s="26" t="str">
        <f t="array" ref="H863">IF(
MOD(ROW()-2,6)=0,
INDEX('Form Responses'!I:I,INT((ROW()-2)/6)+2),
"-- NA --"
)</f>
        <v>-- NA --</v>
      </c>
      <c r="I863" s="32" t="str">
        <f t="array" ref="I863">IF(
MOD(ROW()-2,6)=0,
INDEX('Form Responses'!J:J,INT((ROW()-2)/6)+2),
"-- NA --"
)</f>
        <v>-- NA --</v>
      </c>
      <c r="J863" s="3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26">
        <v>863.0</v>
      </c>
      <c r="B864" s="33"/>
      <c r="C864" s="26" t="s">
        <v>464</v>
      </c>
      <c r="D864" s="26" t="str">
        <f t="array" ref="D8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24EE049</v>
      </c>
      <c r="E864" s="32" t="str">
        <f t="array" ref="E8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Shreevishnu M</v>
      </c>
      <c r="F864" s="26" t="str">
        <f t="array" ref="F8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4" s="26" t="str">
        <f t="array" ref="G8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64" s="26" t="str">
        <f t="array" ref="H864">IF(
MOD(ROW()-2,6)=0,
INDEX('Form Responses'!I:I,INT((ROW()-2)/6)+2),
"-- NA --"
)</f>
        <v>-- NA --</v>
      </c>
      <c r="I864" s="32" t="str">
        <f t="array" ref="I864">IF(
MOD(ROW()-2,6)=0,
INDEX('Form Responses'!J:J,INT((ROW()-2)/6)+2),
"-- NA --"
)</f>
        <v>-- NA --</v>
      </c>
      <c r="J864" s="3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26">
        <v>864.0</v>
      </c>
      <c r="B865" s="6"/>
      <c r="C865" s="26" t="s">
        <v>500</v>
      </c>
      <c r="D865" s="26" t="str">
        <f t="array" ref="D8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24EE056</v>
      </c>
      <c r="E865" s="32" t="str">
        <f t="array" ref="E8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Suryarajan G</v>
      </c>
      <c r="F865" s="26" t="str">
        <f t="array" ref="F8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865" s="26" t="str">
        <f t="array" ref="G8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65" s="26" t="str">
        <f t="array" ref="H865">IF(
MOD(ROW()-2,6)=0,
INDEX('Form Responses'!I:I,INT((ROW()-2)/6)+2),
"-- NA --"
)</f>
        <v>-- NA --</v>
      </c>
      <c r="I865" s="32" t="str">
        <f t="array" ref="I865">IF(
MOD(ROW()-2,6)=0,
INDEX('Form Responses'!J:J,INT((ROW()-2)/6)+2),
"-- NA --"
)</f>
        <v>-- NA --</v>
      </c>
      <c r="J865" s="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26">
        <v>865.0</v>
      </c>
      <c r="B866" s="29" t="str">
        <f t="array" ref="B866">INDEX('Form Responses'!$C:$C,INT((ROW()-2)/6)+2)</f>
        <v>DATA VERSE</v>
      </c>
      <c r="C866" s="31" t="s">
        <v>140</v>
      </c>
      <c r="D866" s="26" t="str">
        <f t="array" ref="D8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25EE021</v>
      </c>
      <c r="E866" s="32" t="str">
        <f t="array" ref="E8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 PT </v>
      </c>
      <c r="F866" s="26" t="str">
        <f t="array" ref="F8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66" s="26" t="str">
        <f t="array" ref="G8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66" s="26">
        <f t="array" ref="H866">IF(
MOD(ROW()-2,6)=0,
INDEX('Form Responses'!I:I,INT((ROW()-2)/6)+2),
"-- NA --"
)</f>
        <v>8248272575</v>
      </c>
      <c r="I866" s="32" t="str">
        <f t="array" ref="I866">IF(
MOD(ROW()-2,6)=0,
INDEX('Form Responses'!J:J,INT((ROW()-2)/6)+2),
"-- NA --"
)</f>
        <v>kavya.pt2025ee@sece.ac.in</v>
      </c>
      <c r="J866" s="29" t="str">
        <f t="array" ref="J866">INDEX('Form Responses'!$D:$D,INT((ROW()-2)/6)+2)</f>
        <v>Hardware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26">
        <v>866.0</v>
      </c>
      <c r="B867" s="33"/>
      <c r="C867" s="26" t="s">
        <v>282</v>
      </c>
      <c r="D867" s="26" t="str">
        <f t="array" ref="D8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25AD196</v>
      </c>
      <c r="E867" s="32" t="str">
        <f t="array" ref="E8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SHANMADI B V</v>
      </c>
      <c r="F867" s="26" t="str">
        <f t="array" ref="F8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67" s="26" t="str">
        <f t="array" ref="G8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7" s="26" t="str">
        <f t="array" ref="H867">IF(
MOD(ROW()-2,6)=0,
INDEX('Form Responses'!I:I,INT((ROW()-2)/6)+2),
"-- NA --"
)</f>
        <v>-- NA --</v>
      </c>
      <c r="I867" s="32" t="str">
        <f t="array" ref="I867">IF(
MOD(ROW()-2,6)=0,
INDEX('Form Responses'!J:J,INT((ROW()-2)/6)+2),
"-- NA --"
)</f>
        <v>-- NA --</v>
      </c>
      <c r="J867" s="3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26">
        <v>867.0</v>
      </c>
      <c r="B868" s="33"/>
      <c r="C868" s="26" t="s">
        <v>385</v>
      </c>
      <c r="D868" s="26" t="str">
        <f t="array" ref="D8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25AD199</v>
      </c>
      <c r="E868" s="32" t="str">
        <f t="array" ref="E8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SHUBHASHREE S</v>
      </c>
      <c r="F868" s="26" t="str">
        <f t="array" ref="F8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68" s="26" t="str">
        <f t="array" ref="G8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68" s="26" t="str">
        <f t="array" ref="H868">IF(
MOD(ROW()-2,6)=0,
INDEX('Form Responses'!I:I,INT((ROW()-2)/6)+2),
"-- NA --"
)</f>
        <v>-- NA --</v>
      </c>
      <c r="I868" s="32" t="str">
        <f t="array" ref="I868">IF(
MOD(ROW()-2,6)=0,
INDEX('Form Responses'!J:J,INT((ROW()-2)/6)+2),
"-- NA --"
)</f>
        <v>-- NA --</v>
      </c>
      <c r="J868" s="3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26">
        <v>868.0</v>
      </c>
      <c r="B869" s="33"/>
      <c r="C869" s="26" t="s">
        <v>425</v>
      </c>
      <c r="D869" s="26" t="str">
        <f t="array" ref="D8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25EE020</v>
      </c>
      <c r="E869" s="32" t="str">
        <f t="array" ref="E8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 N</v>
      </c>
      <c r="F869" s="26" t="str">
        <f t="array" ref="F8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69" s="26" t="str">
        <f t="array" ref="G8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69" s="26" t="str">
        <f t="array" ref="H869">IF(
MOD(ROW()-2,6)=0,
INDEX('Form Responses'!I:I,INT((ROW()-2)/6)+2),
"-- NA --"
)</f>
        <v>-- NA --</v>
      </c>
      <c r="I869" s="32" t="str">
        <f t="array" ref="I869">IF(
MOD(ROW()-2,6)=0,
INDEX('Form Responses'!J:J,INT((ROW()-2)/6)+2),
"-- NA --"
)</f>
        <v>-- NA --</v>
      </c>
      <c r="J869" s="3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26">
        <v>869.0</v>
      </c>
      <c r="B870" s="33"/>
      <c r="C870" s="26" t="s">
        <v>464</v>
      </c>
      <c r="D870" s="26" t="str">
        <f t="array" ref="D8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25EE046</v>
      </c>
      <c r="E870" s="32" t="str">
        <f t="array" ref="E8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Saranya D</v>
      </c>
      <c r="F870" s="26" t="str">
        <f t="array" ref="F8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0" s="26" t="str">
        <f t="array" ref="G8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70" s="26" t="str">
        <f t="array" ref="H870">IF(
MOD(ROW()-2,6)=0,
INDEX('Form Responses'!I:I,INT((ROW()-2)/6)+2),
"-- NA --"
)</f>
        <v>-- NA --</v>
      </c>
      <c r="I870" s="32" t="str">
        <f t="array" ref="I870">IF(
MOD(ROW()-2,6)=0,
INDEX('Form Responses'!J:J,INT((ROW()-2)/6)+2),
"-- NA --"
)</f>
        <v>-- NA --</v>
      </c>
      <c r="J870" s="3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26">
        <v>870.0</v>
      </c>
      <c r="B871" s="6"/>
      <c r="C871" s="26" t="s">
        <v>500</v>
      </c>
      <c r="D871" s="26" t="str">
        <f t="array" ref="D8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25AM093</v>
      </c>
      <c r="E871" s="32" t="str">
        <f t="array" ref="E8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Shamrudha E</v>
      </c>
      <c r="F871" s="26" t="str">
        <f t="array" ref="F8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1" s="26" t="str">
        <f t="array" ref="G8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871" s="26" t="str">
        <f t="array" ref="H871">IF(
MOD(ROW()-2,6)=0,
INDEX('Form Responses'!I:I,INT((ROW()-2)/6)+2),
"-- NA --"
)</f>
        <v>-- NA --</v>
      </c>
      <c r="I871" s="32" t="str">
        <f t="array" ref="I871">IF(
MOD(ROW()-2,6)=0,
INDEX('Form Responses'!J:J,INT((ROW()-2)/6)+2),
"-- NA --"
)</f>
        <v>-- NA --</v>
      </c>
      <c r="J871" s="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26">
        <v>871.0</v>
      </c>
      <c r="B872" s="29" t="str">
        <f t="array" ref="B872">INDEX('Form Responses'!$C:$C,INT((ROW()-2)/6)+2)</f>
        <v>Xarlex</v>
      </c>
      <c r="C872" s="31" t="s">
        <v>140</v>
      </c>
      <c r="D872" s="26" t="str">
        <f t="array" ref="D8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25CS057</v>
      </c>
      <c r="E872" s="32" t="str">
        <f t="array" ref="E8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GOWSALYA.B</v>
      </c>
      <c r="F872" s="26" t="str">
        <f t="array" ref="F8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2" s="26" t="str">
        <f t="array" ref="G8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2" s="26" t="str">
        <f t="array" ref="H872">IF(
MOD(ROW()-2,6)=0,
INDEX('Form Responses'!I:I,INT((ROW()-2)/6)+2),
"-- NA --"
)</f>
        <v> 86670 44834</v>
      </c>
      <c r="I872" s="32" t="str">
        <f t="array" ref="I872">IF(
MOD(ROW()-2,6)=0,
INDEX('Form Responses'!J:J,INT((ROW()-2)/6)+2),
"-- NA --"
)</f>
        <v>gowsalya.b2025cse@sece.ac.in</v>
      </c>
      <c r="J872" s="29" t="str">
        <f t="array" ref="J872">INDEX('Form Responses'!$D:$D,INT((ROW()-2)/6)+2)</f>
        <v>Software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26">
        <v>872.0</v>
      </c>
      <c r="B873" s="33"/>
      <c r="C873" s="26" t="s">
        <v>282</v>
      </c>
      <c r="D873" s="26" t="str">
        <f t="array" ref="D8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25CS058</v>
      </c>
      <c r="E873" s="32" t="str">
        <f t="array" ref="E8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GOWSHIKA.V</v>
      </c>
      <c r="F873" s="26" t="str">
        <f t="array" ref="F8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3" s="26" t="str">
        <f t="array" ref="G8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3" s="26" t="str">
        <f t="array" ref="H873">IF(
MOD(ROW()-2,6)=0,
INDEX('Form Responses'!I:I,INT((ROW()-2)/6)+2),
"-- NA --"
)</f>
        <v>-- NA --</v>
      </c>
      <c r="I873" s="32" t="str">
        <f t="array" ref="I873">IF(
MOD(ROW()-2,6)=0,
INDEX('Form Responses'!J:J,INT((ROW()-2)/6)+2),
"-- NA --"
)</f>
        <v>-- NA --</v>
      </c>
      <c r="J873" s="3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26">
        <v>873.0</v>
      </c>
      <c r="B874" s="33"/>
      <c r="C874" s="26" t="s">
        <v>385</v>
      </c>
      <c r="D874" s="26" t="str">
        <f t="array" ref="D8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25CS036</v>
      </c>
      <c r="E874" s="32" t="str">
        <f t="array" ref="E8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DHANUSREE.N</v>
      </c>
      <c r="F874" s="26" t="str">
        <f t="array" ref="F8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4" s="26" t="str">
        <f t="array" ref="G8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4" s="26" t="str">
        <f t="array" ref="H874">IF(
MOD(ROW()-2,6)=0,
INDEX('Form Responses'!I:I,INT((ROW()-2)/6)+2),
"-- NA --"
)</f>
        <v>-- NA --</v>
      </c>
      <c r="I874" s="32" t="str">
        <f t="array" ref="I874">IF(
MOD(ROW()-2,6)=0,
INDEX('Form Responses'!J:J,INT((ROW()-2)/6)+2),
"-- NA --"
)</f>
        <v>-- NA --</v>
      </c>
      <c r="J874" s="3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26">
        <v>874.0</v>
      </c>
      <c r="B875" s="33"/>
      <c r="C875" s="26" t="s">
        <v>425</v>
      </c>
      <c r="D875" s="26" t="str">
        <f t="array" ref="D8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25CS027</v>
      </c>
      <c r="E875" s="32" t="str">
        <f t="array" ref="E8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DAYANAND.K</v>
      </c>
      <c r="F875" s="26" t="str">
        <f t="array" ref="F8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5" s="26" t="str">
        <f t="array" ref="G8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5" s="26" t="str">
        <f t="array" ref="H875">IF(
MOD(ROW()-2,6)=0,
INDEX('Form Responses'!I:I,INT((ROW()-2)/6)+2),
"-- NA --"
)</f>
        <v>-- NA --</v>
      </c>
      <c r="I875" s="32" t="str">
        <f t="array" ref="I875">IF(
MOD(ROW()-2,6)=0,
INDEX('Form Responses'!J:J,INT((ROW()-2)/6)+2),
"-- NA --"
)</f>
        <v>-- NA --</v>
      </c>
      <c r="J875" s="3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26">
        <v>875.0</v>
      </c>
      <c r="B876" s="33"/>
      <c r="C876" s="26" t="s">
        <v>464</v>
      </c>
      <c r="D876" s="26" t="str">
        <f t="array" ref="D8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</v>
      </c>
      <c r="E876" s="32" t="str">
        <f t="array" ref="E8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ADHITHYAJAYAN.R</v>
      </c>
      <c r="F876" s="26" t="str">
        <f t="array" ref="F8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6" s="26" t="str">
        <f t="array" ref="G8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6" s="26" t="str">
        <f t="array" ref="H876">IF(
MOD(ROW()-2,6)=0,
INDEX('Form Responses'!I:I,INT((ROW()-2)/6)+2),
"-- NA --"
)</f>
        <v>-- NA --</v>
      </c>
      <c r="I876" s="32" t="str">
        <f t="array" ref="I876">IF(
MOD(ROW()-2,6)=0,
INDEX('Form Responses'!J:J,INT((ROW()-2)/6)+2),
"-- NA --"
)</f>
        <v>-- NA --</v>
      </c>
      <c r="J876" s="3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26">
        <v>876.0</v>
      </c>
      <c r="B877" s="6"/>
      <c r="C877" s="26" t="s">
        <v>500</v>
      </c>
      <c r="D877" s="26" t="str">
        <f t="array" ref="D8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</v>
      </c>
      <c r="E877" s="56" t="str">
        <f t="array" ref="E8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ISHA.SV</v>
      </c>
      <c r="F877" s="26" t="str">
        <f t="array" ref="F8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7" s="26" t="str">
        <f t="array" ref="G8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77" s="26" t="str">
        <f t="array" ref="H877">IF(
MOD(ROW()-2,6)=0,
INDEX('Form Responses'!I:I,INT((ROW()-2)/6)+2),
"-- NA --"
)</f>
        <v>-- NA --</v>
      </c>
      <c r="I877" s="32" t="str">
        <f t="array" ref="I877">IF(
MOD(ROW()-2,6)=0,
INDEX('Form Responses'!J:J,INT((ROW()-2)/6)+2),
"-- NA --"
)</f>
        <v>-- NA --</v>
      </c>
      <c r="J877" s="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26">
        <v>877.0</v>
      </c>
      <c r="B878" s="29" t="str">
        <f t="array" ref="B878">INDEX('Form Responses'!$C:$C,INT((ROW()-2)/6)+2)</f>
        <v>TECH NOVA</v>
      </c>
      <c r="C878" s="31" t="s">
        <v>140</v>
      </c>
      <c r="D878" s="26" t="str">
        <f t="array" ref="D8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25CC023</v>
      </c>
      <c r="E878" s="32" t="str">
        <f t="array" ref="E8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KIRUTHIKA.N.S</v>
      </c>
      <c r="F878" s="26" t="str">
        <f t="array" ref="F8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8" s="26" t="str">
        <f t="array" ref="G8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78" s="26">
        <f t="array" ref="H878">IF(
MOD(ROW()-2,6)=0,
INDEX('Form Responses'!I:I,INT((ROW()-2)/6)+2),
"-- NA --"
)</f>
        <v>8807843177</v>
      </c>
      <c r="I878" s="32" t="str">
        <f t="array" ref="I878">IF(
MOD(ROW()-2,6)=0,
INDEX('Form Responses'!J:J,INT((ROW()-2)/6)+2),
"-- NA --"
)</f>
        <v>kiruthika.ns2025cce@sece.ac.in</v>
      </c>
      <c r="J878" s="29" t="str">
        <f t="array" ref="J878">INDEX('Form Responses'!$D:$D,INT((ROW()-2)/6)+2)</f>
        <v>Software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26">
        <v>878.0</v>
      </c>
      <c r="B879" s="33"/>
      <c r="C879" s="26" t="s">
        <v>282</v>
      </c>
      <c r="D879" s="26" t="str">
        <f t="array" ref="D8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25CC012</v>
      </c>
      <c r="E879" s="32" t="str">
        <f t="array" ref="E8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HARITHA.C.R</v>
      </c>
      <c r="F879" s="26" t="str">
        <f t="array" ref="F8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79" s="26" t="str">
        <f t="array" ref="G8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79" s="26" t="str">
        <f t="array" ref="H879">IF(
MOD(ROW()-2,6)=0,
INDEX('Form Responses'!I:I,INT((ROW()-2)/6)+2),
"-- NA --"
)</f>
        <v>-- NA --</v>
      </c>
      <c r="I879" s="32" t="str">
        <f t="array" ref="I879">IF(
MOD(ROW()-2,6)=0,
INDEX('Form Responses'!J:J,INT((ROW()-2)/6)+2),
"-- NA --"
)</f>
        <v>-- NA --</v>
      </c>
      <c r="J879" s="3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26">
        <v>879.0</v>
      </c>
      <c r="B880" s="33"/>
      <c r="C880" s="26" t="s">
        <v>385</v>
      </c>
      <c r="D880" s="26" t="str">
        <f t="array" ref="D8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25CC013</v>
      </c>
      <c r="E880" s="32" t="str">
        <f t="array" ref="E8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HARSHETHA.D</v>
      </c>
      <c r="F880" s="26" t="str">
        <f t="array" ref="F8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0" s="26" t="str">
        <f t="array" ref="G8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80" s="26" t="str">
        <f t="array" ref="H880">IF(
MOD(ROW()-2,6)=0,
INDEX('Form Responses'!I:I,INT((ROW()-2)/6)+2),
"-- NA --"
)</f>
        <v>-- NA --</v>
      </c>
      <c r="I880" s="32" t="str">
        <f t="array" ref="I880">IF(
MOD(ROW()-2,6)=0,
INDEX('Form Responses'!J:J,INT((ROW()-2)/6)+2),
"-- NA --"
)</f>
        <v>-- NA --</v>
      </c>
      <c r="J880" s="3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26">
        <v>880.0</v>
      </c>
      <c r="B881" s="33"/>
      <c r="C881" s="26" t="s">
        <v>425</v>
      </c>
      <c r="D881" s="26" t="str">
        <f t="array" ref="D8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25CC018</v>
      </c>
      <c r="E881" s="32" t="str">
        <f t="array" ref="E8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JAYARUBA.M</v>
      </c>
      <c r="F881" s="26" t="str">
        <f t="array" ref="F8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1" s="26" t="str">
        <f t="array" ref="G8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881" s="26" t="str">
        <f t="array" ref="H881">IF(
MOD(ROW()-2,6)=0,
INDEX('Form Responses'!I:I,INT((ROW()-2)/6)+2),
"-- NA --"
)</f>
        <v>-- NA --</v>
      </c>
      <c r="I881" s="32" t="str">
        <f t="array" ref="I881">IF(
MOD(ROW()-2,6)=0,
INDEX('Form Responses'!J:J,INT((ROW()-2)/6)+2),
"-- NA --"
)</f>
        <v>-- NA --</v>
      </c>
      <c r="J881" s="3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26">
        <v>881.0</v>
      </c>
      <c r="B882" s="33"/>
      <c r="C882" s="26" t="s">
        <v>464</v>
      </c>
      <c r="D882" s="26" t="str">
        <f t="array" ref="D8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25CB020</v>
      </c>
      <c r="E882" s="32" t="str">
        <f t="array" ref="E8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 HARSHAN.S</v>
      </c>
      <c r="F882" s="26" t="str">
        <f t="array" ref="F8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2" s="26" t="str">
        <f t="array" ref="G8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882" s="26" t="str">
        <f t="array" ref="H882">IF(
MOD(ROW()-2,6)=0,
INDEX('Form Responses'!I:I,INT((ROW()-2)/6)+2),
"-- NA --"
)</f>
        <v>-- NA --</v>
      </c>
      <c r="I882" s="32" t="str">
        <f t="array" ref="I882">IF(
MOD(ROW()-2,6)=0,
INDEX('Form Responses'!J:J,INT((ROW()-2)/6)+2),
"-- NA --"
)</f>
        <v>-- NA --</v>
      </c>
      <c r="J882" s="3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26">
        <v>882.0</v>
      </c>
      <c r="B883" s="6"/>
      <c r="C883" s="26" t="s">
        <v>500</v>
      </c>
      <c r="D883" s="26" t="str">
        <f t="array" ref="D8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25CB002</v>
      </c>
      <c r="E883" s="32" t="str">
        <f t="array" ref="E8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ANNAMALAI.K</v>
      </c>
      <c r="F883" s="26" t="str">
        <f t="array" ref="F8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3" s="26" t="str">
        <f t="array" ref="G8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883" s="26" t="str">
        <f t="array" ref="H883">IF(
MOD(ROW()-2,6)=0,
INDEX('Form Responses'!I:I,INT((ROW()-2)/6)+2),
"-- NA --"
)</f>
        <v>-- NA --</v>
      </c>
      <c r="I883" s="32" t="str">
        <f t="array" ref="I883">IF(
MOD(ROW()-2,6)=0,
INDEX('Form Responses'!J:J,INT((ROW()-2)/6)+2),
"-- NA --"
)</f>
        <v>-- NA --</v>
      </c>
      <c r="J883" s="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26">
        <v>883.0</v>
      </c>
      <c r="B884" s="29" t="str">
        <f t="array" ref="B884">INDEX('Form Responses'!$C:$C,INT((ROW()-2)/6)+2)</f>
        <v>ELECTROCORE</v>
      </c>
      <c r="C884" s="31" t="s">
        <v>140</v>
      </c>
      <c r="D884" s="26" t="str">
        <f t="array" ref="D8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25EC063</v>
      </c>
      <c r="E884" s="32" t="str">
        <f t="array" ref="E8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A</v>
      </c>
      <c r="F884" s="26" t="str">
        <f t="array" ref="F8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4" s="26" t="str">
        <f t="array" ref="G8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84" s="26">
        <f t="array" ref="H884">IF(
MOD(ROW()-2,6)=0,
INDEX('Form Responses'!I:I,INT((ROW()-2)/6)+2),
"-- NA --"
)</f>
        <v>6385436562</v>
      </c>
      <c r="I884" s="32" t="str">
        <f t="array" ref="I884">IF(
MOD(ROW()-2,6)=0,
INDEX('Form Responses'!J:J,INT((ROW()-2)/6)+2),
"-- NA --"
)</f>
        <v>janani.a2025ece@sece.ac.in</v>
      </c>
      <c r="J884" s="29" t="str">
        <f t="array" ref="J884">INDEX('Form Responses'!$D:$D,INT((ROW()-2)/6)+2)</f>
        <v>Hardware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26">
        <v>884.0</v>
      </c>
      <c r="B885" s="33"/>
      <c r="C885" s="26" t="s">
        <v>282</v>
      </c>
      <c r="D885" s="26" t="str">
        <f t="array" ref="D8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25EE001</v>
      </c>
      <c r="E885" s="32" t="str">
        <f t="array" ref="E8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AKASH R</v>
      </c>
      <c r="F885" s="26" t="str">
        <f t="array" ref="F8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5" s="26" t="str">
        <f t="array" ref="G8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85" s="26" t="str">
        <f t="array" ref="H885">IF(
MOD(ROW()-2,6)=0,
INDEX('Form Responses'!I:I,INT((ROW()-2)/6)+2),
"-- NA --"
)</f>
        <v>-- NA --</v>
      </c>
      <c r="I885" s="32" t="str">
        <f t="array" ref="I885">IF(
MOD(ROW()-2,6)=0,
INDEX('Form Responses'!J:J,INT((ROW()-2)/6)+2),
"-- NA --"
)</f>
        <v>-- NA --</v>
      </c>
      <c r="J885" s="3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26">
        <v>885.0</v>
      </c>
      <c r="B886" s="33"/>
      <c r="C886" s="26" t="s">
        <v>385</v>
      </c>
      <c r="D886" s="26" t="str">
        <f t="array" ref="D8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25EE026</v>
      </c>
      <c r="E886" s="32" t="str">
        <f t="array" ref="E8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MADHAN J</v>
      </c>
      <c r="F886" s="26" t="str">
        <f t="array" ref="F8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6" s="26" t="str">
        <f t="array" ref="G8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86" s="26" t="str">
        <f t="array" ref="H886">IF(
MOD(ROW()-2,6)=0,
INDEX('Form Responses'!I:I,INT((ROW()-2)/6)+2),
"-- NA --"
)</f>
        <v>-- NA --</v>
      </c>
      <c r="I886" s="32" t="str">
        <f t="array" ref="I886">IF(
MOD(ROW()-2,6)=0,
INDEX('Form Responses'!J:J,INT((ROW()-2)/6)+2),
"-- NA --"
)</f>
        <v>-- NA --</v>
      </c>
      <c r="J886" s="3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26">
        <v>886.0</v>
      </c>
      <c r="B887" s="33"/>
      <c r="C887" s="26" t="s">
        <v>425</v>
      </c>
      <c r="D887" s="26" t="str">
        <f t="array" ref="D8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25EE062</v>
      </c>
      <c r="E887" s="32" t="str">
        <f t="array" ref="E8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YAZHINI</v>
      </c>
      <c r="F887" s="26" t="str">
        <f t="array" ref="F8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7" s="26" t="str">
        <f t="array" ref="G8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887" s="26" t="str">
        <f t="array" ref="H887">IF(
MOD(ROW()-2,6)=0,
INDEX('Form Responses'!I:I,INT((ROW()-2)/6)+2),
"-- NA --"
)</f>
        <v>-- NA --</v>
      </c>
      <c r="I887" s="32" t="str">
        <f t="array" ref="I887">IF(
MOD(ROW()-2,6)=0,
INDEX('Form Responses'!J:J,INT((ROW()-2)/6)+2),
"-- NA --"
)</f>
        <v>-- NA --</v>
      </c>
      <c r="J887" s="3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26">
        <v>887.0</v>
      </c>
      <c r="B888" s="33"/>
      <c r="C888" s="26" t="s">
        <v>464</v>
      </c>
      <c r="D888" s="26" t="str">
        <f t="array" ref="D8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25EC123</v>
      </c>
      <c r="E888" s="32" t="str">
        <f t="array" ref="E8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NITHIS KUMAR J</v>
      </c>
      <c r="F888" s="26" t="str">
        <f t="array" ref="F8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8" s="26" t="str">
        <f t="array" ref="G8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88" s="26" t="str">
        <f t="array" ref="H888">IF(
MOD(ROW()-2,6)=0,
INDEX('Form Responses'!I:I,INT((ROW()-2)/6)+2),
"-- NA --"
)</f>
        <v>-- NA --</v>
      </c>
      <c r="I888" s="32" t="str">
        <f t="array" ref="I888">IF(
MOD(ROW()-2,6)=0,
INDEX('Form Responses'!J:J,INT((ROW()-2)/6)+2),
"-- NA --"
)</f>
        <v>-- NA --</v>
      </c>
      <c r="J888" s="3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26">
        <v>888.0</v>
      </c>
      <c r="B889" s="6"/>
      <c r="C889" s="26" t="s">
        <v>500</v>
      </c>
      <c r="D889" s="26" t="str">
        <f t="array" ref="D8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25EC092</v>
      </c>
      <c r="E889" s="32" t="str">
        <f t="array" ref="E8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MANOJ A</v>
      </c>
      <c r="F889" s="26" t="str">
        <f t="array" ref="F8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89" s="26" t="str">
        <f t="array" ref="G8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889" s="26" t="str">
        <f t="array" ref="H889">IF(
MOD(ROW()-2,6)=0,
INDEX('Form Responses'!I:I,INT((ROW()-2)/6)+2),
"-- NA --"
)</f>
        <v>-- NA --</v>
      </c>
      <c r="I889" s="32" t="str">
        <f t="array" ref="I889">IF(
MOD(ROW()-2,6)=0,
INDEX('Form Responses'!J:J,INT((ROW()-2)/6)+2),
"-- NA --"
)</f>
        <v>-- NA --</v>
      </c>
      <c r="J889" s="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26">
        <v>889.0</v>
      </c>
      <c r="B890" s="29" t="str">
        <f t="array" ref="B890">INDEX('Form Responses'!$C:$C,INT((ROW()-2)/6)+2)</f>
        <v>Candor</v>
      </c>
      <c r="C890" s="31" t="s">
        <v>140</v>
      </c>
      <c r="D890" s="26" t="str">
        <f t="array" ref="D8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25SY021</v>
      </c>
      <c r="E890" s="32" t="str">
        <f t="array" ref="E8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Iniya N J</v>
      </c>
      <c r="F890" s="26" t="str">
        <f t="array" ref="F8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0" s="26" t="str">
        <f t="array" ref="G8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90" s="26">
        <f t="array" ref="H890">IF(
MOD(ROW()-2,6)=0,
INDEX('Form Responses'!I:I,INT((ROW()-2)/6)+2),
"-- NA --"
)</f>
        <v>7010779778</v>
      </c>
      <c r="I890" s="32" t="str">
        <f t="array" ref="I890">IF(
MOD(ROW()-2,6)=0,
INDEX('Form Responses'!J:J,INT((ROW()-2)/6)+2),
"-- NA --"
)</f>
        <v>iniya.nj2025cys@sece.ac.in</v>
      </c>
      <c r="J890" s="29" t="str">
        <f t="array" ref="J890">INDEX('Form Responses'!$D:$D,INT((ROW()-2)/6)+2)</f>
        <v>Software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26">
        <v>890.0</v>
      </c>
      <c r="B891" s="33"/>
      <c r="C891" s="26" t="s">
        <v>282</v>
      </c>
      <c r="D891" s="26" t="str">
        <f t="array" ref="D8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25SY041</v>
      </c>
      <c r="E891" s="32" t="str">
        <f t="array" ref="E8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Neethu T Biju</v>
      </c>
      <c r="F891" s="26" t="str">
        <f t="array" ref="F8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1" s="26" t="str">
        <f t="array" ref="G8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91" s="26" t="str">
        <f t="array" ref="H891">IF(
MOD(ROW()-2,6)=0,
INDEX('Form Responses'!I:I,INT((ROW()-2)/6)+2),
"-- NA --"
)</f>
        <v>-- NA --</v>
      </c>
      <c r="I891" s="32" t="str">
        <f t="array" ref="I891">IF(
MOD(ROW()-2,6)=0,
INDEX('Form Responses'!J:J,INT((ROW()-2)/6)+2),
"-- NA --"
)</f>
        <v>-- NA --</v>
      </c>
      <c r="J891" s="3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26">
        <v>891.0</v>
      </c>
      <c r="B892" s="33"/>
      <c r="C892" s="26" t="s">
        <v>385</v>
      </c>
      <c r="D892" s="26" t="str">
        <f t="array" ref="D8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25SY030</v>
      </c>
      <c r="E892" s="32" t="str">
        <f t="array" ref="E8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Kavya shree J</v>
      </c>
      <c r="F892" s="26" t="str">
        <f t="array" ref="F8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2" s="26" t="str">
        <f t="array" ref="G8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92" s="26" t="str">
        <f t="array" ref="H892">IF(
MOD(ROW()-2,6)=0,
INDEX('Form Responses'!I:I,INT((ROW()-2)/6)+2),
"-- NA --"
)</f>
        <v>-- NA --</v>
      </c>
      <c r="I892" s="32" t="str">
        <f t="array" ref="I892">IF(
MOD(ROW()-2,6)=0,
INDEX('Form Responses'!J:J,INT((ROW()-2)/6)+2),
"-- NA --"
)</f>
        <v>-- NA --</v>
      </c>
      <c r="J892" s="3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26">
        <v>892.0</v>
      </c>
      <c r="B893" s="33"/>
      <c r="C893" s="26" t="s">
        <v>425</v>
      </c>
      <c r="D893" s="26" t="str">
        <f t="array" ref="D8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25SY024</v>
      </c>
      <c r="E893" s="32" t="str">
        <f t="array" ref="E8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Jerush Dannerson </v>
      </c>
      <c r="F893" s="26" t="str">
        <f t="array" ref="F8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3" s="26" t="str">
        <f t="array" ref="G8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93" s="26" t="str">
        <f t="array" ref="H893">IF(
MOD(ROW()-2,6)=0,
INDEX('Form Responses'!I:I,INT((ROW()-2)/6)+2),
"-- NA --"
)</f>
        <v>-- NA --</v>
      </c>
      <c r="I893" s="32" t="str">
        <f t="array" ref="I893">IF(
MOD(ROW()-2,6)=0,
INDEX('Form Responses'!J:J,INT((ROW()-2)/6)+2),
"-- NA --"
)</f>
        <v>-- NA --</v>
      </c>
      <c r="J893" s="3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26">
        <v>893.0</v>
      </c>
      <c r="B894" s="33"/>
      <c r="C894" s="26" t="s">
        <v>464</v>
      </c>
      <c r="D894" s="26" t="str">
        <f t="array" ref="D8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25SY058</v>
      </c>
      <c r="E894" s="32" t="str">
        <f t="array" ref="E8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Tharani S K</v>
      </c>
      <c r="F894" s="26" t="str">
        <f t="array" ref="F8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4" s="26" t="str">
        <f t="array" ref="G8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894" s="26" t="str">
        <f t="array" ref="H894">IF(
MOD(ROW()-2,6)=0,
INDEX('Form Responses'!I:I,INT((ROW()-2)/6)+2),
"-- NA --"
)</f>
        <v>-- NA --</v>
      </c>
      <c r="I894" s="32" t="str">
        <f t="array" ref="I894">IF(
MOD(ROW()-2,6)=0,
INDEX('Form Responses'!J:J,INT((ROW()-2)/6)+2),
"-- NA --"
)</f>
        <v>-- NA --</v>
      </c>
      <c r="J894" s="3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26">
        <v>894.0</v>
      </c>
      <c r="B895" s="6"/>
      <c r="C895" s="26" t="s">
        <v>500</v>
      </c>
      <c r="D895" s="26" t="str">
        <f t="array" ref="D8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25CS042</v>
      </c>
      <c r="E895" s="32" t="str">
        <f t="array" ref="E8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Dharunesswaran R</v>
      </c>
      <c r="F895" s="26" t="str">
        <f t="array" ref="F8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5" s="26" t="str">
        <f t="array" ref="G8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895" s="26" t="str">
        <f t="array" ref="H895">IF(
MOD(ROW()-2,6)=0,
INDEX('Form Responses'!I:I,INT((ROW()-2)/6)+2),
"-- NA --"
)</f>
        <v>-- NA --</v>
      </c>
      <c r="I895" s="32" t="str">
        <f t="array" ref="I895">IF(
MOD(ROW()-2,6)=0,
INDEX('Form Responses'!J:J,INT((ROW()-2)/6)+2),
"-- NA --"
)</f>
        <v>-- NA --</v>
      </c>
      <c r="J895" s="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26">
        <v>895.0</v>
      </c>
      <c r="B896" s="29" t="str">
        <f t="array" ref="B896">INDEX('Form Responses'!$C:$C,INT((ROW()-2)/6)+2)</f>
        <v>Alpha squard </v>
      </c>
      <c r="C896" s="31" t="s">
        <v>140</v>
      </c>
      <c r="D896" s="26" t="str">
        <f t="array" ref="D8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25AD011</v>
      </c>
      <c r="E896" s="32" t="str">
        <f t="array" ref="E8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Aparna.p</v>
      </c>
      <c r="F896" s="26" t="str">
        <f t="array" ref="F8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6" s="26" t="str">
        <f t="array" ref="G8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96" s="26">
        <f t="array" ref="H896">IF(
MOD(ROW()-2,6)=0,
INDEX('Form Responses'!I:I,INT((ROW()-2)/6)+2),
"-- NA --"
)</f>
        <v>6369596894</v>
      </c>
      <c r="I896" s="32" t="str">
        <f t="array" ref="I896">IF(
MOD(ROW()-2,6)=0,
INDEX('Form Responses'!J:J,INT((ROW()-2)/6)+2),
"-- NA --"
)</f>
        <v>aparna.p2025aids@sece.ac.in</v>
      </c>
      <c r="J896" s="29" t="str">
        <f t="array" ref="J896">INDEX('Form Responses'!$D:$D,INT((ROW()-2)/6)+2)</f>
        <v>Software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26">
        <v>896.0</v>
      </c>
      <c r="B897" s="33"/>
      <c r="C897" s="26" t="s">
        <v>282</v>
      </c>
      <c r="D897" s="26" t="str">
        <f t="array" ref="D8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25AD057 </v>
      </c>
      <c r="E897" s="32" t="str">
        <f t="array" ref="E8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Gomathi v</v>
      </c>
      <c r="F897" s="26" t="str">
        <f t="array" ref="F8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7" s="26" t="str">
        <f t="array" ref="G8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97" s="26" t="str">
        <f t="array" ref="H897">IF(
MOD(ROW()-2,6)=0,
INDEX('Form Responses'!I:I,INT((ROW()-2)/6)+2),
"-- NA --"
)</f>
        <v>-- NA --</v>
      </c>
      <c r="I897" s="32" t="str">
        <f t="array" ref="I897">IF(
MOD(ROW()-2,6)=0,
INDEX('Form Responses'!J:J,INT((ROW()-2)/6)+2),
"-- NA --"
)</f>
        <v>-- NA --</v>
      </c>
      <c r="J897" s="3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26">
        <v>897.0</v>
      </c>
      <c r="B898" s="33"/>
      <c r="C898" s="26" t="s">
        <v>385</v>
      </c>
      <c r="D898" s="26" t="str">
        <f t="array" ref="D8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25AD015</v>
      </c>
      <c r="E898" s="32" t="str">
        <f t="array" ref="E8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Arunkumar h</v>
      </c>
      <c r="F898" s="26" t="str">
        <f t="array" ref="F8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8" s="26" t="str">
        <f t="array" ref="G8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98" s="26" t="str">
        <f t="array" ref="H898">IF(
MOD(ROW()-2,6)=0,
INDEX('Form Responses'!I:I,INT((ROW()-2)/6)+2),
"-- NA --"
)</f>
        <v>-- NA --</v>
      </c>
      <c r="I898" s="32" t="str">
        <f t="array" ref="I898">IF(
MOD(ROW()-2,6)=0,
INDEX('Form Responses'!J:J,INT((ROW()-2)/6)+2),
"-- NA --"
)</f>
        <v>-- NA --</v>
      </c>
      <c r="J898" s="3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26">
        <v>898.0</v>
      </c>
      <c r="B899" s="33"/>
      <c r="C899" s="26" t="s">
        <v>425</v>
      </c>
      <c r="D899" s="26" t="str">
        <f t="array" ref="D8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25AD004</v>
      </c>
      <c r="E899" s="32" t="str">
        <f t="array" ref="E8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Abishek </v>
      </c>
      <c r="F899" s="26" t="str">
        <f t="array" ref="F8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899" s="26" t="str">
        <f t="array" ref="G8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899" s="26" t="str">
        <f t="array" ref="H899">IF(
MOD(ROW()-2,6)=0,
INDEX('Form Responses'!I:I,INT((ROW()-2)/6)+2),
"-- NA --"
)</f>
        <v>-- NA --</v>
      </c>
      <c r="I899" s="32" t="str">
        <f t="array" ref="I899">IF(
MOD(ROW()-2,6)=0,
INDEX('Form Responses'!J:J,INT((ROW()-2)/6)+2),
"-- NA --"
)</f>
        <v>-- NA --</v>
      </c>
      <c r="J899" s="3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26">
        <v>899.0</v>
      </c>
      <c r="B900" s="33"/>
      <c r="C900" s="26" t="s">
        <v>464</v>
      </c>
      <c r="D900" s="26" t="str">
        <f t="array" ref="D9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25AD200</v>
      </c>
      <c r="E900" s="32" t="str">
        <f t="array" ref="E9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Shuruthi yazhini </v>
      </c>
      <c r="F900" s="26" t="str">
        <f t="array" ref="F9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00" s="26" t="str">
        <f t="array" ref="G9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00" s="26" t="str">
        <f t="array" ref="H900">IF(
MOD(ROW()-2,6)=0,
INDEX('Form Responses'!I:I,INT((ROW()-2)/6)+2),
"-- NA --"
)</f>
        <v>-- NA --</v>
      </c>
      <c r="I900" s="32" t="str">
        <f t="array" ref="I900">IF(
MOD(ROW()-2,6)=0,
INDEX('Form Responses'!J:J,INT((ROW()-2)/6)+2),
"-- NA --"
)</f>
        <v>-- NA --</v>
      </c>
      <c r="J900" s="3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26">
        <v>900.0</v>
      </c>
      <c r="B901" s="6"/>
      <c r="C901" s="26" t="s">
        <v>500</v>
      </c>
      <c r="D901" s="26" t="str">
        <f t="array" ref="D9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25EE061</v>
      </c>
      <c r="E901" s="32" t="str">
        <f t="array" ref="E9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s</v>
      </c>
      <c r="F901" s="26" t="str">
        <f t="array" ref="F9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01" s="26" t="str">
        <f t="array" ref="G9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01" s="26" t="str">
        <f t="array" ref="H901">IF(
MOD(ROW()-2,6)=0,
INDEX('Form Responses'!I:I,INT((ROW()-2)/6)+2),
"-- NA --"
)</f>
        <v>-- NA --</v>
      </c>
      <c r="I901" s="32" t="str">
        <f t="array" ref="I901">IF(
MOD(ROW()-2,6)=0,
INDEX('Form Responses'!J:J,INT((ROW()-2)/6)+2),
"-- NA --"
)</f>
        <v>-- NA --</v>
      </c>
      <c r="J901" s="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26">
        <v>901.0</v>
      </c>
      <c r="B902" s="29" t="str">
        <f t="array" ref="B902">INDEX('Form Responses'!$C:$C,INT((ROW()-2)/6)+2)</f>
        <v>TEAM NOVATRIX</v>
      </c>
      <c r="C902" s="31" t="s">
        <v>140</v>
      </c>
      <c r="D902" s="26" t="str">
        <f t="array" ref="D9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24IT017</v>
      </c>
      <c r="E902" s="32" t="str">
        <f t="array" ref="E9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JAGADEESH R</v>
      </c>
      <c r="F902" s="26" t="str">
        <f t="array" ref="F9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02" s="26" t="str">
        <f t="array" ref="G9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02" s="26">
        <f t="array" ref="H902">IF(
MOD(ROW()-2,6)=0,
INDEX('Form Responses'!I:I,INT((ROW()-2)/6)+2),
"-- NA --"
)</f>
        <v>7904049559</v>
      </c>
      <c r="I902" s="32" t="str">
        <f t="array" ref="I902">IF(
MOD(ROW()-2,6)=0,
INDEX('Form Responses'!J:J,INT((ROW()-2)/6)+2),
"-- NA --"
)</f>
        <v>jagadeesh.r2024it@sece.ac.in</v>
      </c>
      <c r="J902" s="29" t="str">
        <f t="array" ref="J902">INDEX('Form Responses'!$D:$D,INT((ROW()-2)/6)+2)</f>
        <v>Software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26">
        <v>902.0</v>
      </c>
      <c r="B903" s="33"/>
      <c r="C903" s="26" t="s">
        <v>282</v>
      </c>
      <c r="D903" s="26" t="str">
        <f t="array" ref="D9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24IT016</v>
      </c>
      <c r="E903" s="32" t="str">
        <f t="array" ref="E9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INDRA PRIYADHARSHINI V</v>
      </c>
      <c r="F903" s="26" t="str">
        <f t="array" ref="F9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03" s="26" t="str">
        <f t="array" ref="G9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03" s="26" t="str">
        <f t="array" ref="H903">IF(
MOD(ROW()-2,6)=0,
INDEX('Form Responses'!I:I,INT((ROW()-2)/6)+2),
"-- NA --"
)</f>
        <v>-- NA --</v>
      </c>
      <c r="I903" s="32" t="str">
        <f t="array" ref="I903">IF(
MOD(ROW()-2,6)=0,
INDEX('Form Responses'!J:J,INT((ROW()-2)/6)+2),
"-- NA --"
)</f>
        <v>-- NA --</v>
      </c>
      <c r="J903" s="3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26">
        <v>903.0</v>
      </c>
      <c r="B904" s="33"/>
      <c r="C904" s="26" t="s">
        <v>385</v>
      </c>
      <c r="D904" s="26" t="str">
        <f t="array" ref="D9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24IT023</v>
      </c>
      <c r="E904" s="32" t="str">
        <f t="array" ref="E9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KISHORE M</v>
      </c>
      <c r="F904" s="26" t="str">
        <f t="array" ref="F9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04" s="26" t="str">
        <f t="array" ref="G9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04" s="26" t="str">
        <f t="array" ref="H904">IF(
MOD(ROW()-2,6)=0,
INDEX('Form Responses'!I:I,INT((ROW()-2)/6)+2),
"-- NA --"
)</f>
        <v>-- NA --</v>
      </c>
      <c r="I904" s="32" t="str">
        <f t="array" ref="I904">IF(
MOD(ROW()-2,6)=0,
INDEX('Form Responses'!J:J,INT((ROW()-2)/6)+2),
"-- NA --"
)</f>
        <v>-- NA --</v>
      </c>
      <c r="J904" s="3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26">
        <v>904.0</v>
      </c>
      <c r="B905" s="33"/>
      <c r="C905" s="26" t="s">
        <v>425</v>
      </c>
      <c r="D905" s="26" t="str">
        <f t="array" ref="D9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24EC060 </v>
      </c>
      <c r="E905" s="32" t="str">
        <f t="array" ref="E9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 SANJAY S V</v>
      </c>
      <c r="F905" s="26" t="str">
        <f t="array" ref="F9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905" s="26" t="str">
        <f t="array" ref="G9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05" s="26" t="str">
        <f t="array" ref="H905">IF(
MOD(ROW()-2,6)=0,
INDEX('Form Responses'!I:I,INT((ROW()-2)/6)+2),
"-- NA --"
)</f>
        <v>-- NA --</v>
      </c>
      <c r="I905" s="32" t="str">
        <f t="array" ref="I905">IF(
MOD(ROW()-2,6)=0,
INDEX('Form Responses'!J:J,INT((ROW()-2)/6)+2),
"-- NA --"
)</f>
        <v>-- NA --</v>
      </c>
      <c r="J905" s="3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26">
        <v>905.0</v>
      </c>
      <c r="B906" s="33"/>
      <c r="C906" s="26" t="s">
        <v>464</v>
      </c>
      <c r="D906" s="26" t="str">
        <f t="array" ref="D9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23IT056</v>
      </c>
      <c r="E906" s="32" t="str">
        <f t="array" ref="E9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THAMILARASAN G P</v>
      </c>
      <c r="F906" s="26" t="str">
        <f t="array" ref="F9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906" s="26" t="str">
        <f t="array" ref="G9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06" s="26" t="str">
        <f t="array" ref="H906">IF(
MOD(ROW()-2,6)=0,
INDEX('Form Responses'!I:I,INT((ROW()-2)/6)+2),
"-- NA --"
)</f>
        <v>-- NA --</v>
      </c>
      <c r="I906" s="32" t="str">
        <f t="array" ref="I906">IF(
MOD(ROW()-2,6)=0,
INDEX('Form Responses'!J:J,INT((ROW()-2)/6)+2),
"-- NA --"
)</f>
        <v>-- NA --</v>
      </c>
      <c r="J906" s="3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26">
        <v>906.0</v>
      </c>
      <c r="B907" s="6"/>
      <c r="C907" s="26" t="s">
        <v>500</v>
      </c>
      <c r="D907" s="26" t="str">
        <f t="array" ref="D9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25IT020</v>
      </c>
      <c r="E907" s="32" t="str">
        <f t="array" ref="E9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V</v>
      </c>
      <c r="F907" s="26" t="str">
        <f t="array" ref="F9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907" s="26" t="str">
        <f t="array" ref="G9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07" s="26" t="str">
        <f t="array" ref="H907">IF(
MOD(ROW()-2,6)=0,
INDEX('Form Responses'!I:I,INT((ROW()-2)/6)+2),
"-- NA --"
)</f>
        <v>-- NA --</v>
      </c>
      <c r="I907" s="32" t="str">
        <f t="array" ref="I907">IF(
MOD(ROW()-2,6)=0,
INDEX('Form Responses'!J:J,INT((ROW()-2)/6)+2),
"-- NA --"
)</f>
        <v>-- NA --</v>
      </c>
      <c r="J907" s="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26">
        <v>907.0</v>
      </c>
      <c r="B908" s="29" t="str">
        <f t="array" ref="B908">INDEX('Form Responses'!$C:$C,INT((ROW()-2)/6)+2)</f>
        <v>EndureX</v>
      </c>
      <c r="C908" s="31" t="s">
        <v>140</v>
      </c>
      <c r="D908" s="26" t="str">
        <f t="array" ref="D9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25CS026 </v>
      </c>
      <c r="E908" s="32" t="str">
        <f t="array" ref="E9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DAKSHITHA S</v>
      </c>
      <c r="F908" s="26" t="str">
        <f t="array" ref="F9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08" s="26" t="str">
        <f t="array" ref="G9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08" s="26">
        <f t="array" ref="H908">IF(
MOD(ROW()-2,6)=0,
INDEX('Form Responses'!I:I,INT((ROW()-2)/6)+2),
"-- NA --"
)</f>
        <v>9363058606</v>
      </c>
      <c r="I908" s="32" t="str">
        <f t="array" ref="I908">IF(
MOD(ROW()-2,6)=0,
INDEX('Form Responses'!J:J,INT((ROW()-2)/6)+2),
"-- NA --"
)</f>
        <v>dakshitha.s2025cse@sece.ac.in</v>
      </c>
      <c r="J908" s="29" t="str">
        <f t="array" ref="J908">INDEX('Form Responses'!$D:$D,INT((ROW()-2)/6)+2)</f>
        <v>Hardware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26">
        <v>908.0</v>
      </c>
      <c r="B909" s="33"/>
      <c r="C909" s="26" t="s">
        <v>282</v>
      </c>
      <c r="D909" s="26" t="str">
        <f t="array" ref="D9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25AM108</v>
      </c>
      <c r="E909" s="32" t="str">
        <f t="array" ref="E9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THARIKA NAYAKI S</v>
      </c>
      <c r="F909" s="26" t="str">
        <f t="array" ref="F9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09" s="26" t="str">
        <f t="array" ref="G9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09" s="26" t="str">
        <f t="array" ref="H909">IF(
MOD(ROW()-2,6)=0,
INDEX('Form Responses'!I:I,INT((ROW()-2)/6)+2),
"-- NA --"
)</f>
        <v>-- NA --</v>
      </c>
      <c r="I909" s="32" t="str">
        <f t="array" ref="I909">IF(
MOD(ROW()-2,6)=0,
INDEX('Form Responses'!J:J,INT((ROW()-2)/6)+2),
"-- NA --"
)</f>
        <v>-- NA --</v>
      </c>
      <c r="J909" s="3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26">
        <v>909.0</v>
      </c>
      <c r="B910" s="33"/>
      <c r="C910" s="26" t="s">
        <v>385</v>
      </c>
      <c r="D910" s="26" t="str">
        <f t="array" ref="D9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25EC054</v>
      </c>
      <c r="E910" s="32" t="str">
        <f t="array" ref="E9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HARINIVAS B</v>
      </c>
      <c r="F910" s="26" t="str">
        <f t="array" ref="F9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0" s="26" t="str">
        <f t="array" ref="G9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10" s="26" t="str">
        <f t="array" ref="H910">IF(
MOD(ROW()-2,6)=0,
INDEX('Form Responses'!I:I,INT((ROW()-2)/6)+2),
"-- NA --"
)</f>
        <v>-- NA --</v>
      </c>
      <c r="I910" s="32" t="str">
        <f t="array" ref="I910">IF(
MOD(ROW()-2,6)=0,
INDEX('Form Responses'!J:J,INT((ROW()-2)/6)+2),
"-- NA --"
)</f>
        <v>-- NA --</v>
      </c>
      <c r="J910" s="3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26">
        <v>910.0</v>
      </c>
      <c r="B911" s="33"/>
      <c r="C911" s="26" t="s">
        <v>425</v>
      </c>
      <c r="D911" s="26" t="str">
        <f t="array" ref="D9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25EC046</v>
      </c>
      <c r="E911" s="32" t="str">
        <f t="array" ref="E9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GANGAI GOWSIC P</v>
      </c>
      <c r="F911" s="26" t="str">
        <f t="array" ref="F9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1" s="26" t="str">
        <f t="array" ref="G9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11" s="26" t="str">
        <f t="array" ref="H911">IF(
MOD(ROW()-2,6)=0,
INDEX('Form Responses'!I:I,INT((ROW()-2)/6)+2),
"-- NA --"
)</f>
        <v>-- NA --</v>
      </c>
      <c r="I911" s="32" t="str">
        <f t="array" ref="I911">IF(
MOD(ROW()-2,6)=0,
INDEX('Form Responses'!J:J,INT((ROW()-2)/6)+2),
"-- NA --"
)</f>
        <v>-- NA --</v>
      </c>
      <c r="J911" s="3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26">
        <v>911.0</v>
      </c>
      <c r="B912" s="33"/>
      <c r="C912" s="26" t="s">
        <v>464</v>
      </c>
      <c r="D912" s="26" t="str">
        <f t="array" ref="D9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25CS188</v>
      </c>
      <c r="E912" s="32" t="str">
        <f t="array" ref="E9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ROOPASRI S</v>
      </c>
      <c r="F912" s="26" t="str">
        <f t="array" ref="F9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2" s="26" t="str">
        <f t="array" ref="G9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12" s="26" t="str">
        <f t="array" ref="H912">IF(
MOD(ROW()-2,6)=0,
INDEX('Form Responses'!I:I,INT((ROW()-2)/6)+2),
"-- NA --"
)</f>
        <v>-- NA --</v>
      </c>
      <c r="I912" s="32" t="str">
        <f t="array" ref="I912">IF(
MOD(ROW()-2,6)=0,
INDEX('Form Responses'!J:J,INT((ROW()-2)/6)+2),
"-- NA --"
)</f>
        <v>-- NA --</v>
      </c>
      <c r="J912" s="3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26">
        <v>912.0</v>
      </c>
      <c r="B913" s="6"/>
      <c r="C913" s="26" t="s">
        <v>500</v>
      </c>
      <c r="D913" s="26" t="str">
        <f t="array" ref="D9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25AD126</v>
      </c>
      <c r="E913" s="32" t="str">
        <f t="array" ref="E9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 Kumar G</v>
      </c>
      <c r="F913" s="26" t="str">
        <f t="array" ref="F9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3" s="26" t="str">
        <f t="array" ref="G9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13" s="26" t="str">
        <f t="array" ref="H913">IF(
MOD(ROW()-2,6)=0,
INDEX('Form Responses'!I:I,INT((ROW()-2)/6)+2),
"-- NA --"
)</f>
        <v>-- NA --</v>
      </c>
      <c r="I913" s="32" t="str">
        <f t="array" ref="I913">IF(
MOD(ROW()-2,6)=0,
INDEX('Form Responses'!J:J,INT((ROW()-2)/6)+2),
"-- NA --"
)</f>
        <v>-- NA --</v>
      </c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26">
        <v>913.0</v>
      </c>
      <c r="B914" s="29" t="str">
        <f t="array" ref="B914">INDEX('Form Responses'!$C:$C,INT((ROW()-2)/6)+2)</f>
        <v>CodeNova</v>
      </c>
      <c r="C914" s="31" t="s">
        <v>140</v>
      </c>
      <c r="D914" s="26" t="str">
        <f t="array" ref="D9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25CB007</v>
      </c>
      <c r="E914" s="32" t="str">
        <f t="array" ref="E9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DHANYA T K </v>
      </c>
      <c r="F914" s="26" t="str">
        <f t="array" ref="F9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4" s="26" t="str">
        <f t="array" ref="G9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14" s="26">
        <f t="array" ref="H914">IF(
MOD(ROW()-2,6)=0,
INDEX('Form Responses'!I:I,INT((ROW()-2)/6)+2),
"-- NA --"
)</f>
        <v>8015708733</v>
      </c>
      <c r="I914" s="32" t="str">
        <f t="array" ref="I914">IF(
MOD(ROW()-2,6)=0,
INDEX('Form Responses'!J:J,INT((ROW()-2)/6)+2),
"-- NA --"
)</f>
        <v>dhanya.tk2025csbs@sece.ac.in</v>
      </c>
      <c r="J914" s="29" t="str">
        <f t="array" ref="J914">INDEX('Form Responses'!$D:$D,INT((ROW()-2)/6)+2)</f>
        <v>Software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26">
        <v>914.0</v>
      </c>
      <c r="B915" s="33"/>
      <c r="C915" s="26" t="s">
        <v>282</v>
      </c>
      <c r="D915" s="26" t="str">
        <f t="array" ref="D9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25CB027</v>
      </c>
      <c r="E915" s="32" t="str">
        <f t="array" ref="E9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MANOVA G</v>
      </c>
      <c r="F915" s="26" t="str">
        <f t="array" ref="F9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5" s="26" t="str">
        <f t="array" ref="G9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15" s="26" t="str">
        <f t="array" ref="H915">IF(
MOD(ROW()-2,6)=0,
INDEX('Form Responses'!I:I,INT((ROW()-2)/6)+2),
"-- NA --"
)</f>
        <v>-- NA --</v>
      </c>
      <c r="I915" s="32" t="str">
        <f t="array" ref="I915">IF(
MOD(ROW()-2,6)=0,
INDEX('Form Responses'!J:J,INT((ROW()-2)/6)+2),
"-- NA --"
)</f>
        <v>-- NA --</v>
      </c>
      <c r="J915" s="3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26">
        <v>915.0</v>
      </c>
      <c r="B916" s="33"/>
      <c r="C916" s="26" t="s">
        <v>385</v>
      </c>
      <c r="D916" s="26" t="str">
        <f t="array" ref="D9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25CB033</v>
      </c>
      <c r="E916" s="32" t="str">
        <f t="array" ref="E9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NAVANITHI N</v>
      </c>
      <c r="F916" s="26" t="str">
        <f t="array" ref="F9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6" s="26" t="str">
        <f t="array" ref="G9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16" s="26" t="str">
        <f t="array" ref="H916">IF(
MOD(ROW()-2,6)=0,
INDEX('Form Responses'!I:I,INT((ROW()-2)/6)+2),
"-- NA --"
)</f>
        <v>-- NA --</v>
      </c>
      <c r="I916" s="32" t="str">
        <f t="array" ref="I916">IF(
MOD(ROW()-2,6)=0,
INDEX('Form Responses'!J:J,INT((ROW()-2)/6)+2),
"-- NA --"
)</f>
        <v>-- NA --</v>
      </c>
      <c r="J916" s="3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26">
        <v>916.0</v>
      </c>
      <c r="B917" s="33"/>
      <c r="C917" s="26" t="s">
        <v>425</v>
      </c>
      <c r="D917" s="26" t="str">
        <f t="array" ref="D9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25CC016</v>
      </c>
      <c r="E917" s="32" t="str">
        <f t="array" ref="E9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P</v>
      </c>
      <c r="F917" s="26" t="str">
        <f t="array" ref="F9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7" s="26" t="str">
        <f t="array" ref="G9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17" s="26" t="str">
        <f t="array" ref="H917">IF(
MOD(ROW()-2,6)=0,
INDEX('Form Responses'!I:I,INT((ROW()-2)/6)+2),
"-- NA --"
)</f>
        <v>-- NA --</v>
      </c>
      <c r="I917" s="32" t="str">
        <f t="array" ref="I917">IF(
MOD(ROW()-2,6)=0,
INDEX('Form Responses'!J:J,INT((ROW()-2)/6)+2),
"-- NA --"
)</f>
        <v>-- NA --</v>
      </c>
      <c r="J917" s="3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26">
        <v>917.0</v>
      </c>
      <c r="B918" s="33"/>
      <c r="C918" s="26" t="s">
        <v>464</v>
      </c>
      <c r="D918" s="26" t="str">
        <f t="array" ref="D9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25CC041</v>
      </c>
      <c r="E918" s="32" t="str">
        <f t="array" ref="E9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RANJANI A</v>
      </c>
      <c r="F918" s="26" t="str">
        <f t="array" ref="F9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8" s="26" t="str">
        <f t="array" ref="G9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18" s="26" t="str">
        <f t="array" ref="H918">IF(
MOD(ROW()-2,6)=0,
INDEX('Form Responses'!I:I,INT((ROW()-2)/6)+2),
"-- NA --"
)</f>
        <v>-- NA --</v>
      </c>
      <c r="I918" s="32" t="str">
        <f t="array" ref="I918">IF(
MOD(ROW()-2,6)=0,
INDEX('Form Responses'!J:J,INT((ROW()-2)/6)+2),
"-- NA --"
)</f>
        <v>-- NA --</v>
      </c>
      <c r="J918" s="3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26">
        <v>918.0</v>
      </c>
      <c r="B919" s="6"/>
      <c r="C919" s="26" t="s">
        <v>500</v>
      </c>
      <c r="D919" s="26" t="str">
        <f t="array" ref="D9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IC26BEL0056</v>
      </c>
      <c r="E919" s="32" t="str">
        <f t="array" ref="E9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 D</v>
      </c>
      <c r="F919" s="26" t="str">
        <f t="array" ref="F9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19" s="26" t="str">
        <f t="array" ref="G9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19" s="26" t="str">
        <f t="array" ref="H919">IF(
MOD(ROW()-2,6)=0,
INDEX('Form Responses'!I:I,INT((ROW()-2)/6)+2),
"-- NA --"
)</f>
        <v>-- NA --</v>
      </c>
      <c r="I919" s="32" t="str">
        <f t="array" ref="I919">IF(
MOD(ROW()-2,6)=0,
INDEX('Form Responses'!J:J,INT((ROW()-2)/6)+2),
"-- NA --"
)</f>
        <v>-- NA --</v>
      </c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26">
        <v>919.0</v>
      </c>
      <c r="B920" s="29" t="str">
        <f t="array" ref="B920">INDEX('Form Responses'!$C:$C,INT((ROW()-2)/6)+2)</f>
        <v>TEAM TESSERACT </v>
      </c>
      <c r="C920" s="31" t="s">
        <v>140</v>
      </c>
      <c r="D920" s="26" t="str">
        <f t="array" ref="D9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25AM102</v>
      </c>
      <c r="E920" s="32" t="str">
        <f t="array" ref="E9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SRIHARI T </v>
      </c>
      <c r="F920" s="26" t="str">
        <f t="array" ref="F9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0" s="26" t="str">
        <f t="array" ref="G9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20" s="26" t="str">
        <f t="array" ref="H920">IF(
MOD(ROW()-2,6)=0,
INDEX('Form Responses'!I:I,INT((ROW()-2)/6)+2),
"-- NA --"
)</f>
        <v>+91 90477 66887</v>
      </c>
      <c r="I920" s="32" t="str">
        <f t="array" ref="I920">IF(
MOD(ROW()-2,6)=0,
INDEX('Form Responses'!J:J,INT((ROW()-2)/6)+2),
"-- NA --"
)</f>
        <v>srihari.t2025aiml@sece.ac.in</v>
      </c>
      <c r="J920" s="29" t="str">
        <f t="array" ref="J920">INDEX('Form Responses'!$D:$D,INT((ROW()-2)/6)+2)</f>
        <v>Hardware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26">
        <v>920.0</v>
      </c>
      <c r="B921" s="33"/>
      <c r="C921" s="26" t="s">
        <v>282</v>
      </c>
      <c r="D921" s="26" t="str">
        <f t="array" ref="D9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25AD017 </v>
      </c>
      <c r="E921" s="32" t="str">
        <f t="array" ref="E9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ASHWIKA P </v>
      </c>
      <c r="F921" s="26" t="str">
        <f t="array" ref="F9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1" s="26" t="str">
        <f t="array" ref="G9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21" s="26" t="str">
        <f t="array" ref="H921">IF(
MOD(ROW()-2,6)=0,
INDEX('Form Responses'!I:I,INT((ROW()-2)/6)+2),
"-- NA --"
)</f>
        <v>-- NA --</v>
      </c>
      <c r="I921" s="32" t="str">
        <f t="array" ref="I921">IF(
MOD(ROW()-2,6)=0,
INDEX('Form Responses'!J:J,INT((ROW()-2)/6)+2),
"-- NA --"
)</f>
        <v>-- NA --</v>
      </c>
      <c r="J921" s="3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26">
        <v>921.0</v>
      </c>
      <c r="B922" s="33"/>
      <c r="C922" s="26" t="s">
        <v>385</v>
      </c>
      <c r="D922" s="26" t="str">
        <f t="array" ref="D9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25AM121</v>
      </c>
      <c r="E922" s="32" t="str">
        <f t="array" ref="E9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VISNU MITRAN G</v>
      </c>
      <c r="F922" s="26" t="str">
        <f t="array" ref="F9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2" s="26" t="str">
        <f t="array" ref="G9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22" s="26" t="str">
        <f t="array" ref="H922">IF(
MOD(ROW()-2,6)=0,
INDEX('Form Responses'!I:I,INT((ROW()-2)/6)+2),
"-- NA --"
)</f>
        <v>-- NA --</v>
      </c>
      <c r="I922" s="32" t="str">
        <f t="array" ref="I922">IF(
MOD(ROW()-2,6)=0,
INDEX('Form Responses'!J:J,INT((ROW()-2)/6)+2),
"-- NA --"
)</f>
        <v>-- NA --</v>
      </c>
      <c r="J922" s="3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26">
        <v>922.0</v>
      </c>
      <c r="B923" s="33"/>
      <c r="C923" s="26" t="s">
        <v>425</v>
      </c>
      <c r="D923" s="26" t="str">
        <f t="array" ref="D9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25AM045</v>
      </c>
      <c r="E923" s="32" t="str">
        <f t="array" ref="E9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JASUWANTHY P </v>
      </c>
      <c r="F923" s="26" t="str">
        <f t="array" ref="F9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3" s="26" t="str">
        <f t="array" ref="G9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23" s="26" t="str">
        <f t="array" ref="H923">IF(
MOD(ROW()-2,6)=0,
INDEX('Form Responses'!I:I,INT((ROW()-2)/6)+2),
"-- NA --"
)</f>
        <v>-- NA --</v>
      </c>
      <c r="I923" s="32" t="str">
        <f t="array" ref="I923">IF(
MOD(ROW()-2,6)=0,
INDEX('Form Responses'!J:J,INT((ROW()-2)/6)+2),
"-- NA --"
)</f>
        <v>-- NA --</v>
      </c>
      <c r="J923" s="3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26">
        <v>923.0</v>
      </c>
      <c r="B924" s="33"/>
      <c r="C924" s="26" t="s">
        <v>464</v>
      </c>
      <c r="D924" s="26" t="str">
        <f t="array" ref="D9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25CB047</v>
      </c>
      <c r="E924" s="32" t="str">
        <f t="array" ref="E9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SHAHANA S</v>
      </c>
      <c r="F924" s="26" t="str">
        <f t="array" ref="F9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4" s="26" t="str">
        <f t="array" ref="G9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24" s="26" t="str">
        <f t="array" ref="H924">IF(
MOD(ROW()-2,6)=0,
INDEX('Form Responses'!I:I,INT((ROW()-2)/6)+2),
"-- NA --"
)</f>
        <v>-- NA --</v>
      </c>
      <c r="I924" s="32" t="str">
        <f t="array" ref="I924">IF(
MOD(ROW()-2,6)=0,
INDEX('Form Responses'!J:J,INT((ROW()-2)/6)+2),
"-- NA --"
)</f>
        <v>-- NA --</v>
      </c>
      <c r="J924" s="3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26">
        <v>924.0</v>
      </c>
      <c r="B925" s="6"/>
      <c r="C925" s="26" t="s">
        <v>500</v>
      </c>
      <c r="D925" s="26" t="str">
        <f t="array" ref="D9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25AM076</v>
      </c>
      <c r="E925" s="32" t="str">
        <f t="array" ref="E9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RANJAN S</v>
      </c>
      <c r="F925" s="26" t="str">
        <f t="array" ref="F9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5" s="26" t="str">
        <f t="array" ref="G9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25" s="26" t="str">
        <f t="array" ref="H925">IF(
MOD(ROW()-2,6)=0,
INDEX('Form Responses'!I:I,INT((ROW()-2)/6)+2),
"-- NA --"
)</f>
        <v>-- NA --</v>
      </c>
      <c r="I925" s="32" t="str">
        <f t="array" ref="I925">IF(
MOD(ROW()-2,6)=0,
INDEX('Form Responses'!J:J,INT((ROW()-2)/6)+2),
"-- NA --"
)</f>
        <v>-- NA --</v>
      </c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26">
        <v>925.0</v>
      </c>
      <c r="B926" s="29" t="str">
        <f t="array" ref="B926">INDEX('Form Responses'!$C:$C,INT((ROW()-2)/6)+2)</f>
        <v>NexGen Minds</v>
      </c>
      <c r="C926" s="31" t="s">
        <v>140</v>
      </c>
      <c r="D926" s="26" t="str">
        <f t="array" ref="D9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25IT063</v>
      </c>
      <c r="E926" s="32" t="str">
        <f t="array" ref="E9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YOGAPRIYA S</v>
      </c>
      <c r="F926" s="26" t="str">
        <f t="array" ref="F9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6" s="26" t="str">
        <f t="array" ref="G9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26" s="26" t="str">
        <f t="array" ref="H926">IF(
MOD(ROW()-2,6)=0,
INDEX('Form Responses'!I:I,INT((ROW()-2)/6)+2),
"-- NA --"
)</f>
        <v>+91 86678 74415</v>
      </c>
      <c r="I926" s="32" t="str">
        <f t="array" ref="I926">IF(
MOD(ROW()-2,6)=0,
INDEX('Form Responses'!J:J,INT((ROW()-2)/6)+2),
"-- NA --"
)</f>
        <v>yogapriya.s2025it@sece.ac.in</v>
      </c>
      <c r="J926" s="29" t="str">
        <f t="array" ref="J926">INDEX('Form Responses'!$D:$D,INT((ROW()-2)/6)+2)</f>
        <v>Software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26">
        <v>926.0</v>
      </c>
      <c r="B927" s="33"/>
      <c r="C927" s="26" t="s">
        <v>282</v>
      </c>
      <c r="D927" s="26" t="str">
        <f t="array" ref="D9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25IT040</v>
      </c>
      <c r="E927" s="32" t="str">
        <f t="array" ref="E9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POORANA R</v>
      </c>
      <c r="F927" s="26" t="str">
        <f t="array" ref="F9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7" s="26" t="str">
        <f t="array" ref="G9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27" s="26" t="str">
        <f t="array" ref="H927">IF(
MOD(ROW()-2,6)=0,
INDEX('Form Responses'!I:I,INT((ROW()-2)/6)+2),
"-- NA --"
)</f>
        <v>-- NA --</v>
      </c>
      <c r="I927" s="32" t="str">
        <f t="array" ref="I927">IF(
MOD(ROW()-2,6)=0,
INDEX('Form Responses'!J:J,INT((ROW()-2)/6)+2),
"-- NA --"
)</f>
        <v>-- NA --</v>
      </c>
      <c r="J927" s="3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26">
        <v>927.0</v>
      </c>
      <c r="B928" s="33"/>
      <c r="C928" s="26" t="s">
        <v>385</v>
      </c>
      <c r="D928" s="26" t="str">
        <f t="array" ref="D9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25IT033</v>
      </c>
      <c r="E928" s="32" t="str">
        <f t="array" ref="E9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NARMADHA S</v>
      </c>
      <c r="F928" s="26" t="str">
        <f t="array" ref="F9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8" s="26" t="str">
        <f t="array" ref="G9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28" s="26" t="str">
        <f t="array" ref="H928">IF(
MOD(ROW()-2,6)=0,
INDEX('Form Responses'!I:I,INT((ROW()-2)/6)+2),
"-- NA --"
)</f>
        <v>-- NA --</v>
      </c>
      <c r="I928" s="32" t="str">
        <f t="array" ref="I928">IF(
MOD(ROW()-2,6)=0,
INDEX('Form Responses'!J:J,INT((ROW()-2)/6)+2),
"-- NA --"
)</f>
        <v>-- NA --</v>
      </c>
      <c r="J928" s="3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26">
        <v>928.0</v>
      </c>
      <c r="B929" s="33"/>
      <c r="C929" s="26" t="s">
        <v>425</v>
      </c>
      <c r="D929" s="26" t="str">
        <f t="array" ref="D9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25IT051</v>
      </c>
      <c r="E929" s="32" t="str">
        <f t="array" ref="E9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SHUBHASHREE P</v>
      </c>
      <c r="F929" s="26" t="str">
        <f t="array" ref="F9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29" s="26" t="str">
        <f t="array" ref="G9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929" s="26" t="str">
        <f t="array" ref="H929">IF(
MOD(ROW()-2,6)=0,
INDEX('Form Responses'!I:I,INT((ROW()-2)/6)+2),
"-- NA --"
)</f>
        <v>-- NA --</v>
      </c>
      <c r="I929" s="32" t="str">
        <f t="array" ref="I929">IF(
MOD(ROW()-2,6)=0,
INDEX('Form Responses'!J:J,INT((ROW()-2)/6)+2),
"-- NA --"
)</f>
        <v>-- NA --</v>
      </c>
      <c r="J929" s="3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26">
        <v>929.0</v>
      </c>
      <c r="B930" s="33"/>
      <c r="C930" s="26" t="s">
        <v>464</v>
      </c>
      <c r="D930" s="26" t="str">
        <f t="array" ref="D9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25AM116</v>
      </c>
      <c r="E930" s="32" t="str">
        <f t="array" ref="E9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VEYELUNTHAL ESAKKIAMMAL R</v>
      </c>
      <c r="F930" s="26" t="str">
        <f t="array" ref="F9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0" s="26" t="str">
        <f t="array" ref="G9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30" s="26" t="str">
        <f t="array" ref="H930">IF(
MOD(ROW()-2,6)=0,
INDEX('Form Responses'!I:I,INT((ROW()-2)/6)+2),
"-- NA --"
)</f>
        <v>-- NA --</v>
      </c>
      <c r="I930" s="32" t="str">
        <f t="array" ref="I930">IF(
MOD(ROW()-2,6)=0,
INDEX('Form Responses'!J:J,INT((ROW()-2)/6)+2),
"-- NA --"
)</f>
        <v>-- NA --</v>
      </c>
      <c r="J930" s="3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26">
        <v>930.0</v>
      </c>
      <c r="B931" s="6"/>
      <c r="C931" s="26" t="s">
        <v>500</v>
      </c>
      <c r="D931" s="26" t="str">
        <f t="array" ref="D9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25CC059</v>
      </c>
      <c r="E931" s="32" t="str">
        <f t="array" ref="E9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SWATHIKA R</v>
      </c>
      <c r="F931" s="26" t="str">
        <f t="array" ref="F9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1" s="26" t="str">
        <f t="array" ref="G9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31" s="26" t="str">
        <f t="array" ref="H931">IF(
MOD(ROW()-2,6)=0,
INDEX('Form Responses'!I:I,INT((ROW()-2)/6)+2),
"-- NA --"
)</f>
        <v>-- NA --</v>
      </c>
      <c r="I931" s="32" t="str">
        <f t="array" ref="I931">IF(
MOD(ROW()-2,6)=0,
INDEX('Form Responses'!J:J,INT((ROW()-2)/6)+2),
"-- NA --"
)</f>
        <v>-- NA --</v>
      </c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26">
        <v>931.0</v>
      </c>
      <c r="B932" s="29" t="str">
        <f t="array" ref="B932">INDEX('Form Responses'!$C:$C,INT((ROW()-2)/6)+2)</f>
        <v>NeuralNexas</v>
      </c>
      <c r="C932" s="31" t="s">
        <v>140</v>
      </c>
      <c r="D932" s="26" t="str">
        <f t="array" ref="D9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25CS062</v>
      </c>
      <c r="E932" s="32" t="str">
        <f t="array" ref="E9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PRASATH S</v>
      </c>
      <c r="F932" s="26" t="str">
        <f t="array" ref="F9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2" s="26" t="str">
        <f t="array" ref="G9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2" s="26">
        <f t="array" ref="H932">IF(
MOD(ROW()-2,6)=0,
INDEX('Form Responses'!I:I,INT((ROW()-2)/6)+2),
"-- NA --"
)</f>
        <v>6369424966</v>
      </c>
      <c r="I932" s="32" t="str">
        <f t="array" ref="I932">IF(
MOD(ROW()-2,6)=0,
INDEX('Form Responses'!J:J,INT((ROW()-2)/6)+2),
"-- NA --"
)</f>
        <v>hariprasath.s2025cse@sece.ac.in</v>
      </c>
      <c r="J932" s="29" t="str">
        <f t="array" ref="J932">INDEX('Form Responses'!$D:$D,INT((ROW()-2)/6)+2)</f>
        <v>Software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26">
        <v>932.0</v>
      </c>
      <c r="B933" s="33"/>
      <c r="C933" s="26" t="s">
        <v>282</v>
      </c>
      <c r="D933" s="26" t="str">
        <f t="array" ref="D9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25CS035</v>
      </c>
      <c r="E933" s="32" t="str">
        <f t="array" ref="E9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DHANISKA P S</v>
      </c>
      <c r="F933" s="26" t="str">
        <f t="array" ref="F9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3" s="26" t="str">
        <f t="array" ref="G9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3" s="26" t="str">
        <f t="array" ref="H933">IF(
MOD(ROW()-2,6)=0,
INDEX('Form Responses'!I:I,INT((ROW()-2)/6)+2),
"-- NA --"
)</f>
        <v>-- NA --</v>
      </c>
      <c r="I933" s="32" t="str">
        <f t="array" ref="I933">IF(
MOD(ROW()-2,6)=0,
INDEX('Form Responses'!J:J,INT((ROW()-2)/6)+2),
"-- NA --"
)</f>
        <v>-- NA --</v>
      </c>
      <c r="J933" s="3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26">
        <v>933.0</v>
      </c>
      <c r="B934" s="33"/>
      <c r="C934" s="26" t="s">
        <v>385</v>
      </c>
      <c r="D934" s="26" t="str">
        <f t="array" ref="D9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25CS018</v>
      </c>
      <c r="E934" s="32" t="str">
        <f t="array" ref="E9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ASVIKA A</v>
      </c>
      <c r="F934" s="26" t="str">
        <f t="array" ref="F9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4" s="26" t="str">
        <f t="array" ref="G9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4" s="26" t="str">
        <f t="array" ref="H934">IF(
MOD(ROW()-2,6)=0,
INDEX('Form Responses'!I:I,INT((ROW()-2)/6)+2),
"-- NA --"
)</f>
        <v>-- NA --</v>
      </c>
      <c r="I934" s="32" t="str">
        <f t="array" ref="I934">IF(
MOD(ROW()-2,6)=0,
INDEX('Form Responses'!J:J,INT((ROW()-2)/6)+2),
"-- NA --"
)</f>
        <v>-- NA --</v>
      </c>
      <c r="J934" s="3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26">
        <v>934.0</v>
      </c>
      <c r="B935" s="33"/>
      <c r="C935" s="26" t="s">
        <v>425</v>
      </c>
      <c r="D935" s="26" t="str">
        <f t="array" ref="D9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25CS033</v>
      </c>
      <c r="E935" s="32" t="str">
        <f t="array" ref="E9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 DHARSHAN. S</v>
      </c>
      <c r="F935" s="26" t="str">
        <f t="array" ref="F9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5" s="26" t="str">
        <f t="array" ref="G9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5" s="26" t="str">
        <f t="array" ref="H935">IF(
MOD(ROW()-2,6)=0,
INDEX('Form Responses'!I:I,INT((ROW()-2)/6)+2),
"-- NA --"
)</f>
        <v>-- NA --</v>
      </c>
      <c r="I935" s="32" t="str">
        <f t="array" ref="I935">IF(
MOD(ROW()-2,6)=0,
INDEX('Form Responses'!J:J,INT((ROW()-2)/6)+2),
"-- NA --"
)</f>
        <v>-- NA --</v>
      </c>
      <c r="J935" s="3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26">
        <v>935.0</v>
      </c>
      <c r="B936" s="33"/>
      <c r="C936" s="26" t="s">
        <v>464</v>
      </c>
      <c r="D936" s="26" t="str">
        <f t="array" ref="D9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25CS137</v>
      </c>
      <c r="E936" s="32" t="str">
        <f t="array" ref="E9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MUKESH KRISHNA  R</v>
      </c>
      <c r="F936" s="26" t="str">
        <f t="array" ref="F9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6" s="26" t="str">
        <f t="array" ref="G9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6" s="26" t="str">
        <f t="array" ref="H936">IF(
MOD(ROW()-2,6)=0,
INDEX('Form Responses'!I:I,INT((ROW()-2)/6)+2),
"-- NA --"
)</f>
        <v>-- NA --</v>
      </c>
      <c r="I936" s="32" t="str">
        <f t="array" ref="I936">IF(
MOD(ROW()-2,6)=0,
INDEX('Form Responses'!J:J,INT((ROW()-2)/6)+2),
"-- NA --"
)</f>
        <v>-- NA --</v>
      </c>
      <c r="J936" s="3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26">
        <v>936.0</v>
      </c>
      <c r="B937" s="6"/>
      <c r="C937" s="26" t="s">
        <v>500</v>
      </c>
      <c r="D937" s="26" t="str">
        <f t="array" ref="D9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25CS173</v>
      </c>
      <c r="E937" s="32" t="str">
        <f t="array" ref="E9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PRASITHA VR</v>
      </c>
      <c r="F937" s="26" t="str">
        <f t="array" ref="F9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7" s="26" t="str">
        <f t="array" ref="G9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37" s="26" t="str">
        <f t="array" ref="H937">IF(
MOD(ROW()-2,6)=0,
INDEX('Form Responses'!I:I,INT((ROW()-2)/6)+2),
"-- NA --"
)</f>
        <v>-- NA --</v>
      </c>
      <c r="I937" s="32" t="str">
        <f t="array" ref="I937">IF(
MOD(ROW()-2,6)=0,
INDEX('Form Responses'!J:J,INT((ROW()-2)/6)+2),
"-- NA --"
)</f>
        <v>-- NA --</v>
      </c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26">
        <v>937.0</v>
      </c>
      <c r="B938" s="29" t="str">
        <f t="array" ref="B938">INDEX('Form Responses'!$C:$C,INT((ROW()-2)/6)+2)</f>
        <v>CIPHER NEXUS</v>
      </c>
      <c r="C938" s="31" t="s">
        <v>140</v>
      </c>
      <c r="D938" s="26" t="str">
        <f t="array" ref="D9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25SY017 </v>
      </c>
      <c r="E938" s="32" t="str">
        <f t="array" ref="E9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GAVINAYAA S </v>
      </c>
      <c r="F938" s="26" t="str">
        <f t="array" ref="F9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8" s="26" t="str">
        <f t="array" ref="G9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938" s="26">
        <f t="array" ref="H938">IF(
MOD(ROW()-2,6)=0,
INDEX('Form Responses'!I:I,INT((ROW()-2)/6)+2),
"-- NA --"
)</f>
        <v>8870952993</v>
      </c>
      <c r="I938" s="32" t="str">
        <f t="array" ref="I938">IF(
MOD(ROW()-2,6)=0,
INDEX('Form Responses'!J:J,INT((ROW()-2)/6)+2),
"-- NA --"
)</f>
        <v>gavinayaa.s2025cys@sece.ac.in</v>
      </c>
      <c r="J938" s="29" t="str">
        <f t="array" ref="J938">INDEX('Form Responses'!$D:$D,INT((ROW()-2)/6)+2)</f>
        <v>Software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26">
        <v>938.0</v>
      </c>
      <c r="B939" s="33"/>
      <c r="C939" s="26" t="s">
        <v>282</v>
      </c>
      <c r="D939" s="26" t="str">
        <f t="array" ref="D9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25SY018 </v>
      </c>
      <c r="E939" s="32" t="str">
        <f t="array" ref="E9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GLAXON MELWIN.A </v>
      </c>
      <c r="F939" s="26" t="str">
        <f t="array" ref="F9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39" s="26" t="str">
        <f t="array" ref="G9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939" s="26" t="str">
        <f t="array" ref="H939">IF(
MOD(ROW()-2,6)=0,
INDEX('Form Responses'!I:I,INT((ROW()-2)/6)+2),
"-- NA --"
)</f>
        <v>-- NA --</v>
      </c>
      <c r="I939" s="32" t="str">
        <f t="array" ref="I939">IF(
MOD(ROW()-2,6)=0,
INDEX('Form Responses'!J:J,INT((ROW()-2)/6)+2),
"-- NA --"
)</f>
        <v>-- NA --</v>
      </c>
      <c r="J939" s="3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26">
        <v>939.0</v>
      </c>
      <c r="B940" s="33"/>
      <c r="C940" s="26" t="s">
        <v>385</v>
      </c>
      <c r="D940" s="26" t="str">
        <f t="array" ref="D9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25CS195</v>
      </c>
      <c r="E940" s="32" t="str">
        <f t="array" ref="E9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SANDHIYA R</v>
      </c>
      <c r="F940" s="26" t="str">
        <f t="array" ref="F9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0" s="26" t="str">
        <f t="array" ref="G9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0" s="26" t="str">
        <f t="array" ref="H940">IF(
MOD(ROW()-2,6)=0,
INDEX('Form Responses'!I:I,INT((ROW()-2)/6)+2),
"-- NA --"
)</f>
        <v>-- NA --</v>
      </c>
      <c r="I940" s="32" t="str">
        <f t="array" ref="I940">IF(
MOD(ROW()-2,6)=0,
INDEX('Form Responses'!J:J,INT((ROW()-2)/6)+2),
"-- NA --"
)</f>
        <v>-- NA --</v>
      </c>
      <c r="J940" s="3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26">
        <v>940.0</v>
      </c>
      <c r="B941" s="33"/>
      <c r="C941" s="26" t="s">
        <v>425</v>
      </c>
      <c r="D941" s="26" t="str">
        <f t="array" ref="D9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25CS197</v>
      </c>
      <c r="E941" s="32" t="str">
        <f t="array" ref="E9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S</v>
      </c>
      <c r="F941" s="26" t="str">
        <f t="array" ref="F9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1" s="26" t="str">
        <f t="array" ref="G9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1" s="26" t="str">
        <f t="array" ref="H941">IF(
MOD(ROW()-2,6)=0,
INDEX('Form Responses'!I:I,INT((ROW()-2)/6)+2),
"-- NA --"
)</f>
        <v>-- NA --</v>
      </c>
      <c r="I941" s="32" t="str">
        <f t="array" ref="I941">IF(
MOD(ROW()-2,6)=0,
INDEX('Form Responses'!J:J,INT((ROW()-2)/6)+2),
"-- NA --"
)</f>
        <v>-- NA --</v>
      </c>
      <c r="J941" s="3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26">
        <v>941.0</v>
      </c>
      <c r="B942" s="33"/>
      <c r="C942" s="26" t="s">
        <v>464</v>
      </c>
      <c r="D942" s="26" t="str">
        <f t="array" ref="D9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25CS198</v>
      </c>
      <c r="E942" s="32" t="str">
        <f t="array" ref="E9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SANJINI S</v>
      </c>
      <c r="F942" s="26" t="str">
        <f t="array" ref="F9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2" s="26" t="str">
        <f t="array" ref="G9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2" s="26" t="str">
        <f t="array" ref="H942">IF(
MOD(ROW()-2,6)=0,
INDEX('Form Responses'!I:I,INT((ROW()-2)/6)+2),
"-- NA --"
)</f>
        <v>-- NA --</v>
      </c>
      <c r="I942" s="32" t="str">
        <f t="array" ref="I942">IF(
MOD(ROW()-2,6)=0,
INDEX('Form Responses'!J:J,INT((ROW()-2)/6)+2),
"-- NA --"
)</f>
        <v>-- NA --</v>
      </c>
      <c r="J942" s="3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26">
        <v>942.0</v>
      </c>
      <c r="B943" s="6"/>
      <c r="C943" s="26" t="s">
        <v>500</v>
      </c>
      <c r="D943" s="26" t="str">
        <f t="array" ref="D9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entry </v>
      </c>
      <c r="E943" s="32" t="str">
        <f t="array" ref="E9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RITHIKA M</v>
      </c>
      <c r="F943" s="26" t="str">
        <f t="array" ref="F9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3" s="26" t="str">
        <f t="array" ref="G9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943" s="26" t="str">
        <f t="array" ref="H943">IF(
MOD(ROW()-2,6)=0,
INDEX('Form Responses'!I:I,INT((ROW()-2)/6)+2),
"-- NA --"
)</f>
        <v>-- NA --</v>
      </c>
      <c r="I943" s="32" t="str">
        <f t="array" ref="I943">IF(
MOD(ROW()-2,6)=0,
INDEX('Form Responses'!J:J,INT((ROW()-2)/6)+2),
"-- NA --"
)</f>
        <v>-- NA --</v>
      </c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26">
        <v>943.0</v>
      </c>
      <c r="B944" s="29" t="str">
        <f t="array" ref="B944">INDEX('Form Responses'!$C:$C,INT((ROW()-2)/6)+2)</f>
        <v>JARVIS</v>
      </c>
      <c r="C944" s="31" t="s">
        <v>140</v>
      </c>
      <c r="D944" s="26" t="str">
        <f t="array" ref="D9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25CS222</v>
      </c>
      <c r="E944" s="32" t="str">
        <f t="array" ref="E9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SUBASH A</v>
      </c>
      <c r="F944" s="26" t="str">
        <f t="array" ref="F9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4" s="26" t="str">
        <f t="array" ref="G9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4" s="26" t="str">
        <f t="array" ref="H944">IF(
MOD(ROW()-2,6)=0,
INDEX('Form Responses'!I:I,INT((ROW()-2)/6)+2),
"-- NA --"
)</f>
        <v>80728 54180</v>
      </c>
      <c r="I944" s="32" t="str">
        <f t="array" ref="I944">IF(
MOD(ROW()-2,6)=0,
INDEX('Form Responses'!J:J,INT((ROW()-2)/6)+2),
"-- NA --"
)</f>
        <v>subash.a2025cse@sece.ac.in</v>
      </c>
      <c r="J944" s="29" t="str">
        <f t="array" ref="J944">INDEX('Form Responses'!$D:$D,INT((ROW()-2)/6)+2)</f>
        <v>Software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26">
        <v>944.0</v>
      </c>
      <c r="B945" s="33"/>
      <c r="C945" s="26" t="s">
        <v>282</v>
      </c>
      <c r="D945" s="26" t="str">
        <f t="array" ref="D9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25CS218 </v>
      </c>
      <c r="E945" s="32" t="str">
        <f t="array" ref="E9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SRINIVASAN G</v>
      </c>
      <c r="F945" s="26" t="str">
        <f t="array" ref="F9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5" s="26" t="str">
        <f t="array" ref="G9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5" s="26" t="str">
        <f t="array" ref="H945">IF(
MOD(ROW()-2,6)=0,
INDEX('Form Responses'!I:I,INT((ROW()-2)/6)+2),
"-- NA --"
)</f>
        <v>-- NA --</v>
      </c>
      <c r="I945" s="32" t="str">
        <f t="array" ref="I945">IF(
MOD(ROW()-2,6)=0,
INDEX('Form Responses'!J:J,INT((ROW()-2)/6)+2),
"-- NA --"
)</f>
        <v>-- NA --</v>
      </c>
      <c r="J945" s="3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26">
        <v>945.0</v>
      </c>
      <c r="B946" s="33"/>
      <c r="C946" s="26" t="s">
        <v>385</v>
      </c>
      <c r="D946" s="26" t="str">
        <f t="array" ref="D9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25CS225</v>
      </c>
      <c r="E946" s="32" t="str">
        <f t="array" ref="E9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SUDHARSHAN J</v>
      </c>
      <c r="F946" s="26" t="str">
        <f t="array" ref="F9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6" s="26" t="str">
        <f t="array" ref="G9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6" s="26" t="str">
        <f t="array" ref="H946">IF(
MOD(ROW()-2,6)=0,
INDEX('Form Responses'!I:I,INT((ROW()-2)/6)+2),
"-- NA --"
)</f>
        <v>-- NA --</v>
      </c>
      <c r="I946" s="32" t="str">
        <f t="array" ref="I946">IF(
MOD(ROW()-2,6)=0,
INDEX('Form Responses'!J:J,INT((ROW()-2)/6)+2),
"-- NA --"
)</f>
        <v>-- NA --</v>
      </c>
      <c r="J946" s="3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26">
        <v>946.0</v>
      </c>
      <c r="B947" s="33"/>
      <c r="C947" s="26" t="s">
        <v>425</v>
      </c>
      <c r="D947" s="26" t="str">
        <f t="array" ref="D9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25SY056</v>
      </c>
      <c r="E947" s="32" t="str">
        <f t="array" ref="E9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TEJAASHREE T S</v>
      </c>
      <c r="F947" s="26" t="str">
        <f t="array" ref="F9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7" s="26" t="str">
        <f t="array" ref="G9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947" s="26" t="str">
        <f t="array" ref="H947">IF(
MOD(ROW()-2,6)=0,
INDEX('Form Responses'!I:I,INT((ROW()-2)/6)+2),
"-- NA --"
)</f>
        <v>-- NA --</v>
      </c>
      <c r="I947" s="32" t="str">
        <f t="array" ref="I947">IF(
MOD(ROW()-2,6)=0,
INDEX('Form Responses'!J:J,INT((ROW()-2)/6)+2),
"-- NA --"
)</f>
        <v>-- NA --</v>
      </c>
      <c r="J947" s="3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26">
        <v>947.0</v>
      </c>
      <c r="B948" s="33"/>
      <c r="C948" s="26" t="s">
        <v>464</v>
      </c>
      <c r="D948" s="26" t="str">
        <f t="array" ref="D9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25SY049</v>
      </c>
      <c r="E948" s="32" t="str">
        <f t="array" ref="E9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SIVANI S</v>
      </c>
      <c r="F948" s="26" t="str">
        <f t="array" ref="F9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8" s="26" t="str">
        <f t="array" ref="G9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948" s="26" t="str">
        <f t="array" ref="H948">IF(
MOD(ROW()-2,6)=0,
INDEX('Form Responses'!I:I,INT((ROW()-2)/6)+2),
"-- NA --"
)</f>
        <v>-- NA --</v>
      </c>
      <c r="I948" s="32" t="str">
        <f t="array" ref="I948">IF(
MOD(ROW()-2,6)=0,
INDEX('Form Responses'!J:J,INT((ROW()-2)/6)+2),
"-- NA --"
)</f>
        <v>-- NA --</v>
      </c>
      <c r="J948" s="3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26">
        <v>948.0</v>
      </c>
      <c r="B949" s="6"/>
      <c r="C949" s="26" t="s">
        <v>500</v>
      </c>
      <c r="D949" s="26" t="str">
        <f t="array" ref="D9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IC26BE L0036 </v>
      </c>
      <c r="E949" s="32" t="str">
        <f t="array" ref="E9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KISHORE D</v>
      </c>
      <c r="F949" s="26" t="str">
        <f t="array" ref="F9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49" s="26" t="str">
        <f t="array" ref="G9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49" s="26" t="str">
        <f t="array" ref="H949">IF(
MOD(ROW()-2,6)=0,
INDEX('Form Responses'!I:I,INT((ROW()-2)/6)+2),
"-- NA --"
)</f>
        <v>-- NA --</v>
      </c>
      <c r="I949" s="32" t="str">
        <f t="array" ref="I949">IF(
MOD(ROW()-2,6)=0,
INDEX('Form Responses'!J:J,INT((ROW()-2)/6)+2),
"-- NA --"
)</f>
        <v>-- NA --</v>
      </c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26">
        <v>949.0</v>
      </c>
      <c r="B950" s="29" t="str">
        <f t="array" ref="B950">INDEX('Form Responses'!$C:$C,INT((ROW()-2)/6)+2)</f>
        <v>IgniteX</v>
      </c>
      <c r="C950" s="31" t="s">
        <v>140</v>
      </c>
      <c r="D950" s="26" t="str">
        <f t="array" ref="D9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25CC037</v>
      </c>
      <c r="E950" s="32" t="str">
        <f t="array" ref="E9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Poonthalir K</v>
      </c>
      <c r="F950" s="26" t="str">
        <f t="array" ref="F9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0" s="26" t="str">
        <f t="array" ref="G9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50" s="26">
        <f t="array" ref="H950">IF(
MOD(ROW()-2,6)=0,
INDEX('Form Responses'!I:I,INT((ROW()-2)/6)+2),
"-- NA --"
)</f>
        <v>8438497339</v>
      </c>
      <c r="I950" s="32" t="str">
        <f t="array" ref="I950">IF(
MOD(ROW()-2,6)=0,
INDEX('Form Responses'!J:J,INT((ROW()-2)/6)+2),
"-- NA --"
)</f>
        <v>poonthalir.k2025cce@sece.ac.in</v>
      </c>
      <c r="J950" s="29" t="str">
        <f t="array" ref="J950">INDEX('Form Responses'!$D:$D,INT((ROW()-2)/6)+2)</f>
        <v>Hardware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26">
        <v>950.0</v>
      </c>
      <c r="B951" s="33"/>
      <c r="C951" s="26" t="s">
        <v>282</v>
      </c>
      <c r="D951" s="26" t="str">
        <f t="array" ref="D9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25AM018</v>
      </c>
      <c r="E951" s="32" t="str">
        <f t="array" ref="E9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Dhanushree M</v>
      </c>
      <c r="F951" s="26" t="str">
        <f t="array" ref="F9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1" s="26" t="str">
        <f t="array" ref="G9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51" s="26" t="str">
        <f t="array" ref="H951">IF(
MOD(ROW()-2,6)=0,
INDEX('Form Responses'!I:I,INT((ROW()-2)/6)+2),
"-- NA --"
)</f>
        <v>-- NA --</v>
      </c>
      <c r="I951" s="32" t="str">
        <f t="array" ref="I951">IF(
MOD(ROW()-2,6)=0,
INDEX('Form Responses'!J:J,INT((ROW()-2)/6)+2),
"-- NA --"
)</f>
        <v>-- NA --</v>
      </c>
      <c r="J951" s="3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26">
        <v>951.0</v>
      </c>
      <c r="B952" s="33"/>
      <c r="C952" s="26" t="s">
        <v>385</v>
      </c>
      <c r="D952" s="26" t="str">
        <f t="array" ref="D9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25EE035</v>
      </c>
      <c r="E952" s="32" t="str">
        <f t="array" ref="E9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Nishaa S</v>
      </c>
      <c r="F952" s="26" t="str">
        <f t="array" ref="F9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2" s="26" t="str">
        <f t="array" ref="G9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52" s="26" t="str">
        <f t="array" ref="H952">IF(
MOD(ROW()-2,6)=0,
INDEX('Form Responses'!I:I,INT((ROW()-2)/6)+2),
"-- NA --"
)</f>
        <v>-- NA --</v>
      </c>
      <c r="I952" s="32" t="str">
        <f t="array" ref="I952">IF(
MOD(ROW()-2,6)=0,
INDEX('Form Responses'!J:J,INT((ROW()-2)/6)+2),
"-- NA --"
)</f>
        <v>-- NA --</v>
      </c>
      <c r="J952" s="3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26">
        <v>952.0</v>
      </c>
      <c r="B953" s="33"/>
      <c r="C953" s="26" t="s">
        <v>425</v>
      </c>
      <c r="D953" s="26" t="str">
        <f t="array" ref="D9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25EE019</v>
      </c>
      <c r="E953" s="32" t="str">
        <f t="array" ref="E9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Karniha Shree M</v>
      </c>
      <c r="F953" s="26" t="str">
        <f t="array" ref="F9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3" s="26" t="str">
        <f t="array" ref="G9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53" s="26" t="str">
        <f t="array" ref="H953">IF(
MOD(ROW()-2,6)=0,
INDEX('Form Responses'!I:I,INT((ROW()-2)/6)+2),
"-- NA --"
)</f>
        <v>-- NA --</v>
      </c>
      <c r="I953" s="32" t="str">
        <f t="array" ref="I953">IF(
MOD(ROW()-2,6)=0,
INDEX('Form Responses'!J:J,INT((ROW()-2)/6)+2),
"-- NA --"
)</f>
        <v>-- NA --</v>
      </c>
      <c r="J953" s="3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26">
        <v>953.0</v>
      </c>
      <c r="B954" s="33"/>
      <c r="C954" s="26" t="s">
        <v>464</v>
      </c>
      <c r="D954" s="26" t="str">
        <f t="array" ref="D9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25CC049</v>
      </c>
      <c r="E954" s="32" t="str">
        <f t="array" ref="E9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Selva Priya S</v>
      </c>
      <c r="F954" s="26" t="str">
        <f t="array" ref="F9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4" s="26" t="str">
        <f t="array" ref="G9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54" s="26" t="str">
        <f t="array" ref="H954">IF(
MOD(ROW()-2,6)=0,
INDEX('Form Responses'!I:I,INT((ROW()-2)/6)+2),
"-- NA --"
)</f>
        <v>-- NA --</v>
      </c>
      <c r="I954" s="32" t="str">
        <f t="array" ref="I954">IF(
MOD(ROW()-2,6)=0,
INDEX('Form Responses'!J:J,INT((ROW()-2)/6)+2),
"-- NA --"
)</f>
        <v>-- NA --</v>
      </c>
      <c r="J954" s="3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26">
        <v>954.0</v>
      </c>
      <c r="B955" s="6"/>
      <c r="C955" s="26" t="s">
        <v>500</v>
      </c>
      <c r="D955" s="26" t="str">
        <f t="array" ref="D9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25CC032</v>
      </c>
      <c r="E955" s="32" t="str">
        <f t="array" ref="E9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Mothishya V</v>
      </c>
      <c r="F955" s="26" t="str">
        <f t="array" ref="F9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5" s="26" t="str">
        <f t="array" ref="G9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55" s="26" t="str">
        <f t="array" ref="H955">IF(
MOD(ROW()-2,6)=0,
INDEX('Form Responses'!I:I,INT((ROW()-2)/6)+2),
"-- NA --"
)</f>
        <v>-- NA --</v>
      </c>
      <c r="I955" s="32" t="str">
        <f t="array" ref="I955">IF(
MOD(ROW()-2,6)=0,
INDEX('Form Responses'!J:J,INT((ROW()-2)/6)+2),
"-- NA --"
)</f>
        <v>-- NA --</v>
      </c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26">
        <v>955.0</v>
      </c>
      <c r="B956" s="29" t="str">
        <f t="array" ref="B956">INDEX('Form Responses'!$C:$C,INT((ROW()-2)/6)+2)</f>
        <v>HexaVerse</v>
      </c>
      <c r="C956" s="31" t="s">
        <v>140</v>
      </c>
      <c r="D956" s="26" t="str">
        <f t="array" ref="D9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25CS044</v>
      </c>
      <c r="E956" s="32" t="str">
        <f t="array" ref="E9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DHIPIKA K</v>
      </c>
      <c r="F956" s="26" t="str">
        <f t="array" ref="F9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6" s="26" t="str">
        <f t="array" ref="G9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56" s="26">
        <f t="array" ref="H956">IF(
MOD(ROW()-2,6)=0,
INDEX('Form Responses'!I:I,INT((ROW()-2)/6)+2),
"-- NA --"
)</f>
        <v>6379267639</v>
      </c>
      <c r="I956" s="32" t="str">
        <f t="array" ref="I956">IF(
MOD(ROW()-2,6)=0,
INDEX('Form Responses'!J:J,INT((ROW()-2)/6)+2),
"-- NA --"
)</f>
        <v>dhipika.k2025cse@sece.ac.in</v>
      </c>
      <c r="J956" s="29" t="str">
        <f t="array" ref="J956">INDEX('Form Responses'!$D:$D,INT((ROW()-2)/6)+2)</f>
        <v>Hardware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26">
        <v>956.0</v>
      </c>
      <c r="B957" s="33"/>
      <c r="C957" s="26" t="s">
        <v>282</v>
      </c>
      <c r="D957" s="26" t="str">
        <f t="array" ref="D9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25CS039</v>
      </c>
      <c r="E957" s="32" t="str">
        <f t="array" ref="E9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DHARSANA SAKTHI S</v>
      </c>
      <c r="F957" s="26" t="str">
        <f t="array" ref="F9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7" s="26" t="str">
        <f t="array" ref="G9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57" s="26" t="str">
        <f t="array" ref="H957">IF(
MOD(ROW()-2,6)=0,
INDEX('Form Responses'!I:I,INT((ROW()-2)/6)+2),
"-- NA --"
)</f>
        <v>-- NA --</v>
      </c>
      <c r="I957" s="32" t="str">
        <f t="array" ref="I957">IF(
MOD(ROW()-2,6)=0,
INDEX('Form Responses'!J:J,INT((ROW()-2)/6)+2),
"-- NA --"
)</f>
        <v>-- NA --</v>
      </c>
      <c r="J957" s="3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26">
        <v>957.0</v>
      </c>
      <c r="B958" s="33"/>
      <c r="C958" s="26" t="s">
        <v>385</v>
      </c>
      <c r="D958" s="26" t="str">
        <f t="array" ref="D9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25CS019</v>
      </c>
      <c r="E958" s="32" t="str">
        <f t="array" ref="E9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BALARAMAN A V</v>
      </c>
      <c r="F958" s="26" t="str">
        <f t="array" ref="F9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8" s="26" t="str">
        <f t="array" ref="G9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58" s="26" t="str">
        <f t="array" ref="H958">IF(
MOD(ROW()-2,6)=0,
INDEX('Form Responses'!I:I,INT((ROW()-2)/6)+2),
"-- NA --"
)</f>
        <v>-- NA --</v>
      </c>
      <c r="I958" s="32" t="str">
        <f t="array" ref="I958">IF(
MOD(ROW()-2,6)=0,
INDEX('Form Responses'!J:J,INT((ROW()-2)/6)+2),
"-- NA --"
)</f>
        <v>-- NA --</v>
      </c>
      <c r="J958" s="3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26">
        <v>958.0</v>
      </c>
      <c r="B959" s="33"/>
      <c r="C959" s="26" t="s">
        <v>425</v>
      </c>
      <c r="D959" s="26" t="str">
        <f t="array" ref="D9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25CS043</v>
      </c>
      <c r="E959" s="32" t="str">
        <f t="array" ref="E9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DHARUNRAJA M A M</v>
      </c>
      <c r="F959" s="26" t="str">
        <f t="array" ref="F9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59" s="26" t="str">
        <f t="array" ref="G9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59" s="26" t="str">
        <f t="array" ref="H959">IF(
MOD(ROW()-2,6)=0,
INDEX('Form Responses'!I:I,INT((ROW()-2)/6)+2),
"-- NA --"
)</f>
        <v>-- NA --</v>
      </c>
      <c r="I959" s="32" t="str">
        <f t="array" ref="I959">IF(
MOD(ROW()-2,6)=0,
INDEX('Form Responses'!J:J,INT((ROW()-2)/6)+2),
"-- NA --"
)</f>
        <v>-- NA --</v>
      </c>
      <c r="J959" s="3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26">
        <v>959.0</v>
      </c>
      <c r="B960" s="33"/>
      <c r="C960" s="26" t="s">
        <v>464</v>
      </c>
      <c r="D960" s="26" t="str">
        <f t="array" ref="D9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25EE027</v>
      </c>
      <c r="E960" s="32" t="str">
        <f t="array" ref="E9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 S</v>
      </c>
      <c r="F960" s="26" t="str">
        <f t="array" ref="F9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0" s="26" t="str">
        <f t="array" ref="G9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60" s="26" t="str">
        <f t="array" ref="H960">IF(
MOD(ROW()-2,6)=0,
INDEX('Form Responses'!I:I,INT((ROW()-2)/6)+2),
"-- NA --"
)</f>
        <v>-- NA --</v>
      </c>
      <c r="I960" s="32" t="str">
        <f t="array" ref="I960">IF(
MOD(ROW()-2,6)=0,
INDEX('Form Responses'!J:J,INT((ROW()-2)/6)+2),
"-- NA --"
)</f>
        <v>-- NA --</v>
      </c>
      <c r="J960" s="3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26">
        <v>960.0</v>
      </c>
      <c r="B961" s="6"/>
      <c r="C961" s="26" t="s">
        <v>500</v>
      </c>
      <c r="D961" s="26" t="str">
        <f t="array" ref="D9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25EE054</v>
      </c>
      <c r="E961" s="32" t="str">
        <f t="array" ref="E9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SUPRIYA R</v>
      </c>
      <c r="F961" s="26" t="str">
        <f t="array" ref="F9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1" s="26" t="str">
        <f t="array" ref="G9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961" s="26" t="str">
        <f t="array" ref="H961">IF(
MOD(ROW()-2,6)=0,
INDEX('Form Responses'!I:I,INT((ROW()-2)/6)+2),
"-- NA --"
)</f>
        <v>-- NA --</v>
      </c>
      <c r="I961" s="32" t="str">
        <f t="array" ref="I961">IF(
MOD(ROW()-2,6)=0,
INDEX('Form Responses'!J:J,INT((ROW()-2)/6)+2),
"-- NA --"
)</f>
        <v>-- NA --</v>
      </c>
      <c r="J961" s="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26">
        <v>961.0</v>
      </c>
      <c r="B962" s="29" t="str">
        <f t="array" ref="B962">INDEX('Form Responses'!$C:$C,INT((ROW()-2)/6)+2)</f>
        <v>HACKEX</v>
      </c>
      <c r="C962" s="31" t="s">
        <v>140</v>
      </c>
      <c r="D962" s="26" t="str">
        <f t="array" ref="D9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25CS118</v>
      </c>
      <c r="E962" s="32" t="str">
        <f t="array" ref="E9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MADHU MITHRAN S</v>
      </c>
      <c r="F962" s="26" t="str">
        <f t="array" ref="F9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2" s="26" t="str">
        <f t="array" ref="G9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62" s="26">
        <f t="array" ref="H962">IF(
MOD(ROW()-2,6)=0,
INDEX('Form Responses'!I:I,INT((ROW()-2)/6)+2),
"-- NA --"
)</f>
        <v>6382077420</v>
      </c>
      <c r="I962" s="32" t="str">
        <f t="array" ref="I962">IF(
MOD(ROW()-2,6)=0,
INDEX('Form Responses'!J:J,INT((ROW()-2)/6)+2),
"-- NA --"
)</f>
        <v>madhumithran.s2025cse@sece.ac.in</v>
      </c>
      <c r="J962" s="29" t="str">
        <f t="array" ref="J962">INDEX('Form Responses'!$D:$D,INT((ROW()-2)/6)+2)</f>
        <v>Hardware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26">
        <v>962.0</v>
      </c>
      <c r="B963" s="33"/>
      <c r="C963" s="26" t="s">
        <v>282</v>
      </c>
      <c r="D963" s="26" t="str">
        <f t="array" ref="D9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25CS076</v>
      </c>
      <c r="E963" s="32" t="str">
        <f t="array" ref="E9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INIYA S</v>
      </c>
      <c r="F963" s="26" t="str">
        <f t="array" ref="F9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3" s="26" t="str">
        <f t="array" ref="G9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63" s="26" t="str">
        <f t="array" ref="H963">IF(
MOD(ROW()-2,6)=0,
INDEX('Form Responses'!I:I,INT((ROW()-2)/6)+2),
"-- NA --"
)</f>
        <v>-- NA --</v>
      </c>
      <c r="I963" s="32" t="str">
        <f t="array" ref="I963">IF(
MOD(ROW()-2,6)=0,
INDEX('Form Responses'!J:J,INT((ROW()-2)/6)+2),
"-- NA --"
)</f>
        <v>-- NA --</v>
      </c>
      <c r="J963" s="3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26">
        <v>963.0</v>
      </c>
      <c r="B964" s="33"/>
      <c r="C964" s="26" t="s">
        <v>385</v>
      </c>
      <c r="D964" s="26" t="str">
        <f t="array" ref="D9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25CS114</v>
      </c>
      <c r="E964" s="32" t="str">
        <f t="array" ref="E9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LEKHA SREE</v>
      </c>
      <c r="F964" s="26" t="str">
        <f t="array" ref="F9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4" s="26" t="str">
        <f t="array" ref="G9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64" s="26" t="str">
        <f t="array" ref="H964">IF(
MOD(ROW()-2,6)=0,
INDEX('Form Responses'!I:I,INT((ROW()-2)/6)+2),
"-- NA --"
)</f>
        <v>-- NA --</v>
      </c>
      <c r="I964" s="32" t="str">
        <f t="array" ref="I964">IF(
MOD(ROW()-2,6)=0,
INDEX('Form Responses'!J:J,INT((ROW()-2)/6)+2),
"-- NA --"
)</f>
        <v>-- NA --</v>
      </c>
      <c r="J964" s="3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26">
        <v>964.0</v>
      </c>
      <c r="B965" s="33"/>
      <c r="C965" s="26" t="s">
        <v>425</v>
      </c>
      <c r="D965" s="26" t="str">
        <f t="array" ref="D9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25EC148</v>
      </c>
      <c r="E965" s="32" t="str">
        <f t="array" ref="E9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SELVA BHARATHI B</v>
      </c>
      <c r="F965" s="26" t="str">
        <f t="array" ref="F9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5" s="26" t="str">
        <f t="array" ref="G9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65" s="26" t="str">
        <f t="array" ref="H965">IF(
MOD(ROW()-2,6)=0,
INDEX('Form Responses'!I:I,INT((ROW()-2)/6)+2),
"-- NA --"
)</f>
        <v>-- NA --</v>
      </c>
      <c r="I965" s="32" t="str">
        <f t="array" ref="I965">IF(
MOD(ROW()-2,6)=0,
INDEX('Form Responses'!J:J,INT((ROW()-2)/6)+2),
"-- NA --"
)</f>
        <v>-- NA --</v>
      </c>
      <c r="J965" s="3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26">
        <v>965.0</v>
      </c>
      <c r="B966" s="33"/>
      <c r="C966" s="26" t="s">
        <v>464</v>
      </c>
      <c r="D966" s="26" t="str">
        <f t="array" ref="D9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25AD195</v>
      </c>
      <c r="E966" s="32" t="str">
        <f t="array" ref="E9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SHANKARITHA R</v>
      </c>
      <c r="F966" s="26" t="str">
        <f t="array" ref="F9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6" s="26" t="str">
        <f t="array" ref="G9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66" s="26" t="str">
        <f t="array" ref="H966">IF(
MOD(ROW()-2,6)=0,
INDEX('Form Responses'!I:I,INT((ROW()-2)/6)+2),
"-- NA --"
)</f>
        <v>-- NA --</v>
      </c>
      <c r="I966" s="32" t="str">
        <f t="array" ref="I966">IF(
MOD(ROW()-2,6)=0,
INDEX('Form Responses'!J:J,INT((ROW()-2)/6)+2),
"-- NA --"
)</f>
        <v>-- NA --</v>
      </c>
      <c r="J966" s="3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26">
        <v>966.0</v>
      </c>
      <c r="B967" s="6"/>
      <c r="C967" s="26" t="s">
        <v>500</v>
      </c>
      <c r="D967" s="26" t="str">
        <f t="array" ref="D9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25CB032</v>
      </c>
      <c r="E967" s="32" t="str">
        <f t="array" ref="E9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Nandhana Dharani D</v>
      </c>
      <c r="F967" s="26" t="str">
        <f t="array" ref="F9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7" s="26" t="str">
        <f t="array" ref="G9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967" s="26" t="str">
        <f t="array" ref="H967">IF(
MOD(ROW()-2,6)=0,
INDEX('Form Responses'!I:I,INT((ROW()-2)/6)+2),
"-- NA --"
)</f>
        <v>-- NA --</v>
      </c>
      <c r="I967" s="32" t="str">
        <f t="array" ref="I967">IF(
MOD(ROW()-2,6)=0,
INDEX('Form Responses'!J:J,INT((ROW()-2)/6)+2),
"-- NA --"
)</f>
        <v>-- NA --</v>
      </c>
      <c r="J967" s="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26">
        <v>967.0</v>
      </c>
      <c r="B968" s="29" t="str">
        <f t="array" ref="B968">INDEX('Form Responses'!$C:$C,INT((ROW()-2)/6)+2)</f>
        <v>HONOTECHS</v>
      </c>
      <c r="C968" s="31" t="s">
        <v>140</v>
      </c>
      <c r="D968" s="26" t="str">
        <f t="array" ref="D9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25EC125 </v>
      </c>
      <c r="E968" s="32" t="str">
        <f t="array" ref="E9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PAVAN PRIYAN M </v>
      </c>
      <c r="F968" s="26" t="str">
        <f t="array" ref="F9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8" s="26" t="str">
        <f t="array" ref="G9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68" s="26" t="str">
        <f t="array" ref="H968">IF(
MOD(ROW()-2,6)=0,
INDEX('Form Responses'!I:I,INT((ROW()-2)/6)+2),
"-- NA --"
)</f>
        <v>94876 64458 </v>
      </c>
      <c r="I968" s="32" t="str">
        <f t="array" ref="I968">IF(
MOD(ROW()-2,6)=0,
INDEX('Form Responses'!J:J,INT((ROW()-2)/6)+2),
"-- NA --"
)</f>
        <v>pavanpriyan.m2025ece@sece.ac.in </v>
      </c>
      <c r="J968" s="29" t="str">
        <f t="array" ref="J968">INDEX('Form Responses'!$D:$D,INT((ROW()-2)/6)+2)</f>
        <v>Hardware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26">
        <v>968.0</v>
      </c>
      <c r="B969" s="33"/>
      <c r="C969" s="26" t="s">
        <v>282</v>
      </c>
      <c r="D969" s="26" t="str">
        <f t="array" ref="D9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25EC112</v>
      </c>
      <c r="E969" s="32" t="str">
        <f t="array" ref="E9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NAKSHATRA R </v>
      </c>
      <c r="F969" s="26" t="str">
        <f t="array" ref="F9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69" s="26" t="str">
        <f t="array" ref="G9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69" s="26" t="str">
        <f t="array" ref="H969">IF(
MOD(ROW()-2,6)=0,
INDEX('Form Responses'!I:I,INT((ROW()-2)/6)+2),
"-- NA --"
)</f>
        <v>-- NA --</v>
      </c>
      <c r="I969" s="32" t="str">
        <f t="array" ref="I969">IF(
MOD(ROW()-2,6)=0,
INDEX('Form Responses'!J:J,INT((ROW()-2)/6)+2),
"-- NA --"
)</f>
        <v>-- NA --</v>
      </c>
      <c r="J969" s="3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26">
        <v>969.0</v>
      </c>
      <c r="B970" s="33"/>
      <c r="C970" s="26" t="s">
        <v>385</v>
      </c>
      <c r="D970" s="26" t="str">
        <f t="array" ref="D9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25ME010</v>
      </c>
      <c r="E970" s="32" t="str">
        <f t="array" ref="E9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 R</v>
      </c>
      <c r="F970" s="26" t="str">
        <f t="array" ref="F9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0" s="26" t="str">
        <f t="array" ref="G9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970" s="26" t="str">
        <f t="array" ref="H970">IF(
MOD(ROW()-2,6)=0,
INDEX('Form Responses'!I:I,INT((ROW()-2)/6)+2),
"-- NA --"
)</f>
        <v>-- NA --</v>
      </c>
      <c r="I970" s="32" t="str">
        <f t="array" ref="I970">IF(
MOD(ROW()-2,6)=0,
INDEX('Form Responses'!J:J,INT((ROW()-2)/6)+2),
"-- NA --"
)</f>
        <v>-- NA --</v>
      </c>
      <c r="J970" s="3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26">
        <v>970.0</v>
      </c>
      <c r="B971" s="33"/>
      <c r="C971" s="26" t="s">
        <v>425</v>
      </c>
      <c r="D971" s="26" t="str">
        <f t="array" ref="D9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25CS212</v>
      </c>
      <c r="E971" s="32" t="str">
        <f t="array" ref="E9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SHRI HARITHA S</v>
      </c>
      <c r="F971" s="26" t="str">
        <f t="array" ref="F9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1" s="26" t="str">
        <f t="array" ref="G9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71" s="26" t="str">
        <f t="array" ref="H971">IF(
MOD(ROW()-2,6)=0,
INDEX('Form Responses'!I:I,INT((ROW()-2)/6)+2),
"-- NA --"
)</f>
        <v>-- NA --</v>
      </c>
      <c r="I971" s="32" t="str">
        <f t="array" ref="I971">IF(
MOD(ROW()-2,6)=0,
INDEX('Form Responses'!J:J,INT((ROW()-2)/6)+2),
"-- NA --"
)</f>
        <v>-- NA --</v>
      </c>
      <c r="J971" s="3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26">
        <v>971.0</v>
      </c>
      <c r="B972" s="33"/>
      <c r="C972" s="26" t="s">
        <v>464</v>
      </c>
      <c r="D972" s="26" t="str">
        <f t="array" ref="D9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25AM078</v>
      </c>
      <c r="E972" s="32" t="str">
        <f t="array" ref="E9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RESHMAA C</v>
      </c>
      <c r="F972" s="26" t="str">
        <f t="array" ref="F9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2" s="26" t="str">
        <f t="array" ref="G9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972" s="26" t="str">
        <f t="array" ref="H972">IF(
MOD(ROW()-2,6)=0,
INDEX('Form Responses'!I:I,INT((ROW()-2)/6)+2),
"-- NA --"
)</f>
        <v>-- NA --</v>
      </c>
      <c r="I972" s="32" t="str">
        <f t="array" ref="I972">IF(
MOD(ROW()-2,6)=0,
INDEX('Form Responses'!J:J,INT((ROW()-2)/6)+2),
"-- NA --"
)</f>
        <v>-- NA --</v>
      </c>
      <c r="J972" s="3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26">
        <v>972.0</v>
      </c>
      <c r="B973" s="6"/>
      <c r="C973" s="26" t="s">
        <v>500</v>
      </c>
      <c r="D973" s="26" t="str">
        <f t="array" ref="D9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</v>
      </c>
      <c r="E973" s="32" t="str">
        <f t="array" ref="E9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MONIGA K</v>
      </c>
      <c r="F973" s="26" t="str">
        <f t="array" ref="F9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3" s="26" t="str">
        <f t="array" ref="G9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73" s="26" t="str">
        <f t="array" ref="H973">IF(
MOD(ROW()-2,6)=0,
INDEX('Form Responses'!I:I,INT((ROW()-2)/6)+2),
"-- NA --"
)</f>
        <v>-- NA --</v>
      </c>
      <c r="I973" s="32" t="str">
        <f t="array" ref="I973">IF(
MOD(ROW()-2,6)=0,
INDEX('Form Responses'!J:J,INT((ROW()-2)/6)+2),
"-- NA --"
)</f>
        <v>-- NA --</v>
      </c>
      <c r="J973" s="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26">
        <v>973.0</v>
      </c>
      <c r="B974" s="29" t="str">
        <f t="array" ref="B974">INDEX('Form Responses'!$C:$C,INT((ROW()-2)/6)+2)</f>
        <v>TECH INNOVATERS</v>
      </c>
      <c r="C974" s="31" t="s">
        <v>140</v>
      </c>
      <c r="D974" s="26" t="str">
        <f t="array" ref="D9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25CS159</v>
      </c>
      <c r="E974" s="32" t="str">
        <f t="array" ref="E9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NITYA LAKSHMI.V</v>
      </c>
      <c r="F974" s="26" t="str">
        <f t="array" ref="F9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4" s="26" t="str">
        <f t="array" ref="G9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74" s="26" t="str">
        <f t="array" ref="H974">IF(
MOD(ROW()-2,6)=0,
INDEX('Form Responses'!I:I,INT((ROW()-2)/6)+2),
"-- NA --"
)</f>
        <v>94866 53706</v>
      </c>
      <c r="I974" s="32" t="str">
        <f t="array" ref="I974">IF(
MOD(ROW()-2,6)=0,
INDEX('Form Responses'!J:J,INT((ROW()-2)/6)+2),
"-- NA --"
)</f>
        <v>nityalakshmi.v2025cse@sece.ac.in</v>
      </c>
      <c r="J974" s="29" t="str">
        <f t="array" ref="J974">INDEX('Form Responses'!$D:$D,INT((ROW()-2)/6)+2)</f>
        <v>Hardware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26">
        <v>974.0</v>
      </c>
      <c r="B975" s="33"/>
      <c r="C975" s="26" t="s">
        <v>282</v>
      </c>
      <c r="D975" s="26" t="str">
        <f t="array" ref="D9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25CS154</v>
      </c>
      <c r="E975" s="32" t="str">
        <f t="array" ref="E9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NISHANTHI.S</v>
      </c>
      <c r="F975" s="26" t="str">
        <f t="array" ref="F9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5" s="26" t="str">
        <f t="array" ref="G9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75" s="26" t="str">
        <f t="array" ref="H975">IF(
MOD(ROW()-2,6)=0,
INDEX('Form Responses'!I:I,INT((ROW()-2)/6)+2),
"-- NA --"
)</f>
        <v>-- NA --</v>
      </c>
      <c r="I975" s="32" t="str">
        <f t="array" ref="I975">IF(
MOD(ROW()-2,6)=0,
INDEX('Form Responses'!J:J,INT((ROW()-2)/6)+2),
"-- NA --"
)</f>
        <v>-- NA --</v>
      </c>
      <c r="J975" s="3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26">
        <v>975.0</v>
      </c>
      <c r="B976" s="33"/>
      <c r="C976" s="26" t="s">
        <v>385</v>
      </c>
      <c r="D976" s="26" t="str">
        <f t="array" ref="D9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25CC027</v>
      </c>
      <c r="E976" s="32" t="str">
        <f t="array" ref="E9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LEKA ADITHYAN.G</v>
      </c>
      <c r="F976" s="26" t="str">
        <f t="array" ref="F9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6" s="26" t="str">
        <f t="array" ref="G9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76" s="26" t="str">
        <f t="array" ref="H976">IF(
MOD(ROW()-2,6)=0,
INDEX('Form Responses'!I:I,INT((ROW()-2)/6)+2),
"-- NA --"
)</f>
        <v>-- NA --</v>
      </c>
      <c r="I976" s="32" t="str">
        <f t="array" ref="I976">IF(
MOD(ROW()-2,6)=0,
INDEX('Form Responses'!J:J,INT((ROW()-2)/6)+2),
"-- NA --"
)</f>
        <v>-- NA --</v>
      </c>
      <c r="J976" s="3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26">
        <v>976.0</v>
      </c>
      <c r="B977" s="33"/>
      <c r="C977" s="26" t="s">
        <v>425</v>
      </c>
      <c r="D977" s="26" t="str">
        <f t="array" ref="D9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25CC034</v>
      </c>
      <c r="E977" s="32" t="str">
        <f t="array" ref="E9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NAVEENKUMAR.G</v>
      </c>
      <c r="F977" s="26" t="str">
        <f t="array" ref="F9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7" s="26" t="str">
        <f t="array" ref="G9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77" s="26" t="str">
        <f t="array" ref="H977">IF(
MOD(ROW()-2,6)=0,
INDEX('Form Responses'!I:I,INT((ROW()-2)/6)+2),
"-- NA --"
)</f>
        <v>-- NA --</v>
      </c>
      <c r="I977" s="32" t="str">
        <f t="array" ref="I977">IF(
MOD(ROW()-2,6)=0,
INDEX('Form Responses'!J:J,INT((ROW()-2)/6)+2),
"-- NA --"
)</f>
        <v>-- NA --</v>
      </c>
      <c r="J977" s="3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26">
        <v>977.0</v>
      </c>
      <c r="B978" s="33"/>
      <c r="C978" s="26" t="s">
        <v>464</v>
      </c>
      <c r="D978" s="26" t="str">
        <f t="array" ref="D9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25CC019</v>
      </c>
      <c r="E978" s="32" t="str">
        <f t="array" ref="E9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KAMALESH.R</v>
      </c>
      <c r="F978" s="26" t="str">
        <f t="array" ref="F9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8" s="26" t="str">
        <f t="array" ref="G9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78" s="26" t="str">
        <f t="array" ref="H978">IF(
MOD(ROW()-2,6)=0,
INDEX('Form Responses'!I:I,INT((ROW()-2)/6)+2),
"-- NA --"
)</f>
        <v>-- NA --</v>
      </c>
      <c r="I978" s="32" t="str">
        <f t="array" ref="I978">IF(
MOD(ROW()-2,6)=0,
INDEX('Form Responses'!J:J,INT((ROW()-2)/6)+2),
"-- NA --"
)</f>
        <v>-- NA --</v>
      </c>
      <c r="J978" s="3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26">
        <v>978.0</v>
      </c>
      <c r="B979" s="6"/>
      <c r="C979" s="26" t="s">
        <v>500</v>
      </c>
      <c r="D979" s="26" t="str">
        <f t="array" ref="D9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25CC043</v>
      </c>
      <c r="E979" s="32" t="str">
        <f t="array" ref="E9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RUPAADHARAN.S.R</v>
      </c>
      <c r="F979" s="26" t="str">
        <f t="array" ref="F9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79" s="26" t="str">
        <f t="array" ref="G9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79" s="26" t="str">
        <f t="array" ref="H979">IF(
MOD(ROW()-2,6)=0,
INDEX('Form Responses'!I:I,INT((ROW()-2)/6)+2),
"-- NA --"
)</f>
        <v>-- NA --</v>
      </c>
      <c r="I979" s="32" t="str">
        <f t="array" ref="I979">IF(
MOD(ROW()-2,6)=0,
INDEX('Form Responses'!J:J,INT((ROW()-2)/6)+2),
"-- NA --"
)</f>
        <v>-- NA --</v>
      </c>
      <c r="J979" s="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26">
        <v>979.0</v>
      </c>
      <c r="B980" s="29" t="str">
        <f t="array" ref="B980">INDEX('Form Responses'!$C:$C,INT((ROW()-2)/6)+2)</f>
        <v>VisionX 1</v>
      </c>
      <c r="C980" s="31" t="s">
        <v>140</v>
      </c>
      <c r="D980" s="26" t="str">
        <f t="array" ref="D9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25CS127</v>
      </c>
      <c r="E980" s="32" t="str">
        <f t="array" ref="E9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MINMINI MITHANA</v>
      </c>
      <c r="F980" s="26" t="str">
        <f t="array" ref="F9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0" s="26" t="str">
        <f t="array" ref="G9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0" s="26" t="str">
        <f t="array" ref="H980">IF(
MOD(ROW()-2,6)=0,
INDEX('Form Responses'!I:I,INT((ROW()-2)/6)+2),
"-- NA --"
)</f>
        <v>+91 74492 45113</v>
      </c>
      <c r="I980" s="32" t="str">
        <f t="array" ref="I980">IF(
MOD(ROW()-2,6)=0,
INDEX('Form Responses'!J:J,INT((ROW()-2)/6)+2),
"-- NA --"
)</f>
        <v>minminimithana.m2025cse@sece.ac.in</v>
      </c>
      <c r="J980" s="29" t="str">
        <f t="array" ref="J980">INDEX('Form Responses'!$D:$D,INT((ROW()-2)/6)+2)</f>
        <v>Software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26">
        <v>980.0</v>
      </c>
      <c r="B981" s="33"/>
      <c r="C981" s="26" t="s">
        <v>282</v>
      </c>
      <c r="D981" s="26" t="str">
        <f t="array" ref="D9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25CS087</v>
      </c>
      <c r="E981" s="32" t="str">
        <f t="array" ref="E9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JOSHIKASRI S</v>
      </c>
      <c r="F981" s="26" t="str">
        <f t="array" ref="F9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1" s="26" t="str">
        <f t="array" ref="G9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1" s="26" t="str">
        <f t="array" ref="H981">IF(
MOD(ROW()-2,6)=0,
INDEX('Form Responses'!I:I,INT((ROW()-2)/6)+2),
"-- NA --"
)</f>
        <v>-- NA --</v>
      </c>
      <c r="I981" s="32" t="str">
        <f t="array" ref="I981">IF(
MOD(ROW()-2,6)=0,
INDEX('Form Responses'!J:J,INT((ROW()-2)/6)+2),
"-- NA --"
)</f>
        <v>-- NA --</v>
      </c>
      <c r="J981" s="3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26">
        <v>981.0</v>
      </c>
      <c r="B982" s="33"/>
      <c r="C982" s="26" t="s">
        <v>385</v>
      </c>
      <c r="D982" s="26" t="str">
        <f t="array" ref="D9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25CS068</v>
      </c>
      <c r="E982" s="32" t="str">
        <f t="array" ref="E9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HARINIE S</v>
      </c>
      <c r="F982" s="26" t="str">
        <f t="array" ref="F9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2" s="26" t="str">
        <f t="array" ref="G9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2" s="26" t="str">
        <f t="array" ref="H982">IF(
MOD(ROW()-2,6)=0,
INDEX('Form Responses'!I:I,INT((ROW()-2)/6)+2),
"-- NA --"
)</f>
        <v>-- NA --</v>
      </c>
      <c r="I982" s="32" t="str">
        <f t="array" ref="I982">IF(
MOD(ROW()-2,6)=0,
INDEX('Form Responses'!J:J,INT((ROW()-2)/6)+2),
"-- NA --"
)</f>
        <v>-- NA --</v>
      </c>
      <c r="J982" s="3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26">
        <v>982.0</v>
      </c>
      <c r="B983" s="33"/>
      <c r="C983" s="26" t="s">
        <v>425</v>
      </c>
      <c r="D983" s="26" t="str">
        <f t="array" ref="D9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25CS092</v>
      </c>
      <c r="E983" s="32" t="str">
        <f t="array" ref="E9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KAMALI S</v>
      </c>
      <c r="F983" s="26" t="str">
        <f t="array" ref="F9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3" s="26" t="str">
        <f t="array" ref="G9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3" s="26" t="str">
        <f t="array" ref="H983">IF(
MOD(ROW()-2,6)=0,
INDEX('Form Responses'!I:I,INT((ROW()-2)/6)+2),
"-- NA --"
)</f>
        <v>-- NA --</v>
      </c>
      <c r="I983" s="32" t="str">
        <f t="array" ref="I983">IF(
MOD(ROW()-2,6)=0,
INDEX('Form Responses'!J:J,INT((ROW()-2)/6)+2),
"-- NA --"
)</f>
        <v>-- NA --</v>
      </c>
      <c r="J983" s="3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26">
        <v>983.0</v>
      </c>
      <c r="B984" s="33"/>
      <c r="C984" s="26" t="s">
        <v>464</v>
      </c>
      <c r="D984" s="26" t="str">
        <f t="array" ref="D9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25CS099</v>
      </c>
      <c r="E984" s="32" t="str">
        <f t="array" ref="E9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KARUNYA K M</v>
      </c>
      <c r="F984" s="26" t="str">
        <f t="array" ref="F9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4" s="26" t="str">
        <f t="array" ref="G9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4" s="26" t="str">
        <f t="array" ref="H984">IF(
MOD(ROW()-2,6)=0,
INDEX('Form Responses'!I:I,INT((ROW()-2)/6)+2),
"-- NA --"
)</f>
        <v>-- NA --</v>
      </c>
      <c r="I984" s="32" t="str">
        <f t="array" ref="I984">IF(
MOD(ROW()-2,6)=0,
INDEX('Form Responses'!J:J,INT((ROW()-2)/6)+2),
"-- NA --"
)</f>
        <v>-- NA --</v>
      </c>
      <c r="J984" s="3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26">
        <v>984.0</v>
      </c>
      <c r="B985" s="6"/>
      <c r="C985" s="26" t="s">
        <v>500</v>
      </c>
      <c r="D985" s="26" t="str">
        <f t="array" ref="D9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25CS128</v>
      </c>
      <c r="E985" s="32" t="str">
        <f t="array" ref="E9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MITHUNA B</v>
      </c>
      <c r="F985" s="26" t="str">
        <f t="array" ref="F9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5" s="26" t="str">
        <f t="array" ref="G9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5" s="26" t="str">
        <f t="array" ref="H985">IF(
MOD(ROW()-2,6)=0,
INDEX('Form Responses'!I:I,INT((ROW()-2)/6)+2),
"-- NA --"
)</f>
        <v>-- NA --</v>
      </c>
      <c r="I985" s="32" t="str">
        <f t="array" ref="I985">IF(
MOD(ROW()-2,6)=0,
INDEX('Form Responses'!J:J,INT((ROW()-2)/6)+2),
"-- NA --"
)</f>
        <v>-- NA --</v>
      </c>
      <c r="J985" s="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26">
        <v>985.0</v>
      </c>
      <c r="B986" s="29" t="str">
        <f t="array" ref="B986">INDEX('Form Responses'!$C:$C,INT((ROW()-2)/6)+2)</f>
        <v>Infonix</v>
      </c>
      <c r="C986" s="31" t="s">
        <v>140</v>
      </c>
      <c r="D986" s="26" t="str">
        <f t="array" ref="D9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25CS243</v>
      </c>
      <c r="E986" s="32" t="str">
        <f t="array" ref="E9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Veerarajeswari K </v>
      </c>
      <c r="F986" s="26" t="str">
        <f t="array" ref="F9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6" s="26" t="str">
        <f t="array" ref="G9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6" s="26">
        <f t="array" ref="H986">IF(
MOD(ROW()-2,6)=0,
INDEX('Form Responses'!I:I,INT((ROW()-2)/6)+2),
"-- NA --"
)</f>
        <v>6369303183</v>
      </c>
      <c r="I986" s="32" t="str">
        <f t="array" ref="I986">IF(
MOD(ROW()-2,6)=0,
INDEX('Form Responses'!J:J,INT((ROW()-2)/6)+2),
"-- NA --"
)</f>
        <v>veerarajeswari.k2025cse@sece.ac.in</v>
      </c>
      <c r="J986" s="29" t="str">
        <f t="array" ref="J986">INDEX('Form Responses'!$D:$D,INT((ROW()-2)/6)+2)</f>
        <v>Software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26">
        <v>986.0</v>
      </c>
      <c r="B987" s="33"/>
      <c r="C987" s="26" t="s">
        <v>282</v>
      </c>
      <c r="D987" s="26" t="str">
        <f t="array" ref="D9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25CS210</v>
      </c>
      <c r="E987" s="32" t="str">
        <f t="array" ref="E9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Shivadharshini S</v>
      </c>
      <c r="F987" s="26" t="str">
        <f t="array" ref="F9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7" s="26" t="str">
        <f t="array" ref="G9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7" s="26" t="str">
        <f t="array" ref="H987">IF(
MOD(ROW()-2,6)=0,
INDEX('Form Responses'!I:I,INT((ROW()-2)/6)+2),
"-- NA --"
)</f>
        <v>-- NA --</v>
      </c>
      <c r="I987" s="32" t="str">
        <f t="array" ref="I987">IF(
MOD(ROW()-2,6)=0,
INDEX('Form Responses'!J:J,INT((ROW()-2)/6)+2),
"-- NA --"
)</f>
        <v>-- NA --</v>
      </c>
      <c r="J987" s="3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26">
        <v>987.0</v>
      </c>
      <c r="B988" s="33"/>
      <c r="C988" s="26" t="s">
        <v>385</v>
      </c>
      <c r="D988" s="26" t="str">
        <f t="array" ref="D9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25CS241</v>
      </c>
      <c r="E988" s="32" t="str">
        <f t="array" ref="E9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K</v>
      </c>
      <c r="F988" s="26" t="str">
        <f t="array" ref="F9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8" s="26" t="str">
        <f t="array" ref="G9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88" s="26" t="str">
        <f t="array" ref="H988">IF(
MOD(ROW()-2,6)=0,
INDEX('Form Responses'!I:I,INT((ROW()-2)/6)+2),
"-- NA --"
)</f>
        <v>-- NA --</v>
      </c>
      <c r="I988" s="32" t="str">
        <f t="array" ref="I988">IF(
MOD(ROW()-2,6)=0,
INDEX('Form Responses'!J:J,INT((ROW()-2)/6)+2),
"-- NA --"
)</f>
        <v>-- NA --</v>
      </c>
      <c r="J988" s="3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26">
        <v>988.0</v>
      </c>
      <c r="B989" s="33"/>
      <c r="C989" s="26" t="s">
        <v>425</v>
      </c>
      <c r="D989" s="26" t="str">
        <f t="array" ref="D9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25EC102</v>
      </c>
      <c r="E989" s="32" t="str">
        <f t="array" ref="E9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Mohanapriya P</v>
      </c>
      <c r="F989" s="26" t="str">
        <f t="array" ref="F9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89" s="26" t="str">
        <f t="array" ref="G9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989" s="26" t="str">
        <f t="array" ref="H989">IF(
MOD(ROW()-2,6)=0,
INDEX('Form Responses'!I:I,INT((ROW()-2)/6)+2),
"-- NA --"
)</f>
        <v>-- NA --</v>
      </c>
      <c r="I989" s="32" t="str">
        <f t="array" ref="I989">IF(
MOD(ROW()-2,6)=0,
INDEX('Form Responses'!J:J,INT((ROW()-2)/6)+2),
"-- NA --"
)</f>
        <v>-- NA --</v>
      </c>
      <c r="J989" s="3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26">
        <v>989.0</v>
      </c>
      <c r="B990" s="33"/>
      <c r="C990" s="26" t="s">
        <v>464</v>
      </c>
      <c r="D990" s="26" t="str">
        <f t="array" ref="D9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25AD186</v>
      </c>
      <c r="E990" s="32" t="str">
        <f t="array" ref="E9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Sarvesh P M</v>
      </c>
      <c r="F990" s="26" t="str">
        <f t="array" ref="F9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0" s="26" t="str">
        <f t="array" ref="G9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0" s="26" t="str">
        <f t="array" ref="H990">IF(
MOD(ROW()-2,6)=0,
INDEX('Form Responses'!I:I,INT((ROW()-2)/6)+2),
"-- NA --"
)</f>
        <v>-- NA --</v>
      </c>
      <c r="I990" s="32" t="str">
        <f t="array" ref="I990">IF(
MOD(ROW()-2,6)=0,
INDEX('Form Responses'!J:J,INT((ROW()-2)/6)+2),
"-- NA --"
)</f>
        <v>-- NA --</v>
      </c>
      <c r="J990" s="3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26">
        <v>990.0</v>
      </c>
      <c r="B991" s="6"/>
      <c r="C991" s="26" t="s">
        <v>500</v>
      </c>
      <c r="D991" s="26" t="str">
        <f t="array" ref="D9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25CS249</v>
      </c>
      <c r="E991" s="32" t="str">
        <f t="array" ref="E9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Viswa S</v>
      </c>
      <c r="F991" s="26" t="str">
        <f t="array" ref="F9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1" s="26" t="str">
        <f t="array" ref="G9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991" s="26" t="str">
        <f t="array" ref="H991">IF(
MOD(ROW()-2,6)=0,
INDEX('Form Responses'!I:I,INT((ROW()-2)/6)+2),
"-- NA --"
)</f>
        <v>-- NA --</v>
      </c>
      <c r="I991" s="32" t="str">
        <f t="array" ref="I991">IF(
MOD(ROW()-2,6)=0,
INDEX('Form Responses'!J:J,INT((ROW()-2)/6)+2),
"-- NA --"
)</f>
        <v>-- NA --</v>
      </c>
      <c r="J991" s="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26">
        <v>991.0</v>
      </c>
      <c r="B992" s="29" t="str">
        <f t="array" ref="B992">INDEX('Form Responses'!$C:$C,INT((ROW()-2)/6)+2)</f>
        <v>TECH VERSE </v>
      </c>
      <c r="C992" s="31" t="s">
        <v>140</v>
      </c>
      <c r="D992" s="26" t="str">
        <f t="array" ref="D9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25AD012</v>
      </c>
      <c r="E992" s="32" t="str">
        <f t="array" ref="E9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ARCHANA B</v>
      </c>
      <c r="F992" s="26" t="str">
        <f t="array" ref="F9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2" s="26" t="str">
        <f t="array" ref="G9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2" s="26">
        <f t="array" ref="H992">IF(
MOD(ROW()-2,6)=0,
INDEX('Form Responses'!I:I,INT((ROW()-2)/6)+2),
"-- NA --"
)</f>
        <v>9043560495</v>
      </c>
      <c r="I992" s="32" t="str">
        <f t="array" ref="I992">IF(
MOD(ROW()-2,6)=0,
INDEX('Form Responses'!J:J,INT((ROW()-2)/6)+2),
"-- NA --"
)</f>
        <v>archana.b2025aids@sece.ac.in</v>
      </c>
      <c r="J992" s="29" t="str">
        <f t="array" ref="J992">INDEX('Form Responses'!$D:$D,INT((ROW()-2)/6)+2)</f>
        <v>Software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26">
        <v>992.0</v>
      </c>
      <c r="B993" s="33"/>
      <c r="C993" s="26" t="s">
        <v>282</v>
      </c>
      <c r="D993" s="26" t="str">
        <f t="array" ref="D9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25AD045</v>
      </c>
      <c r="E993" s="32" t="str">
        <f t="array" ref="E9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 DHARSHINI B</v>
      </c>
      <c r="F993" s="26" t="str">
        <f t="array" ref="F9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3" s="26" t="str">
        <f t="array" ref="G9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3" s="26" t="str">
        <f t="array" ref="H993">IF(
MOD(ROW()-2,6)=0,
INDEX('Form Responses'!I:I,INT((ROW()-2)/6)+2),
"-- NA --"
)</f>
        <v>-- NA --</v>
      </c>
      <c r="I993" s="32" t="str">
        <f t="array" ref="I993">IF(
MOD(ROW()-2,6)=0,
INDEX('Form Responses'!J:J,INT((ROW()-2)/6)+2),
"-- NA --"
)</f>
        <v>-- NA --</v>
      </c>
      <c r="J993" s="3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26">
        <v>993.0</v>
      </c>
      <c r="B994" s="33"/>
      <c r="C994" s="26" t="s">
        <v>385</v>
      </c>
      <c r="D994" s="26" t="str">
        <f t="array" ref="D9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25AD054</v>
      </c>
      <c r="E994" s="32" t="str">
        <f t="array" ref="E9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GNANA SHREE K</v>
      </c>
      <c r="F994" s="26" t="str">
        <f t="array" ref="F9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4" s="26" t="str">
        <f t="array" ref="G9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4" s="26" t="str">
        <f t="array" ref="H994">IF(
MOD(ROW()-2,6)=0,
INDEX('Form Responses'!I:I,INT((ROW()-2)/6)+2),
"-- NA --"
)</f>
        <v>-- NA --</v>
      </c>
      <c r="I994" s="32" t="str">
        <f t="array" ref="I994">IF(
MOD(ROW()-2,6)=0,
INDEX('Form Responses'!J:J,INT((ROW()-2)/6)+2),
"-- NA --"
)</f>
        <v>-- NA --</v>
      </c>
      <c r="J994" s="3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26">
        <v>994.0</v>
      </c>
      <c r="B995" s="33"/>
      <c r="C995" s="26" t="s">
        <v>425</v>
      </c>
      <c r="D995" s="26" t="str">
        <f t="array" ref="D9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25AD053</v>
      </c>
      <c r="E995" s="32" t="str">
        <f t="array" ref="E9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GIRITHAR J M</v>
      </c>
      <c r="F995" s="26" t="str">
        <f t="array" ref="F9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5" s="26" t="str">
        <f t="array" ref="G9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5" s="26" t="str">
        <f t="array" ref="H995">IF(
MOD(ROW()-2,6)=0,
INDEX('Form Responses'!I:I,INT((ROW()-2)/6)+2),
"-- NA --"
)</f>
        <v>-- NA --</v>
      </c>
      <c r="I995" s="32" t="str">
        <f t="array" ref="I995">IF(
MOD(ROW()-2,6)=0,
INDEX('Form Responses'!J:J,INT((ROW()-2)/6)+2),
"-- NA --"
)</f>
        <v>-- NA --</v>
      </c>
      <c r="J995" s="3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26">
        <v>995.0</v>
      </c>
      <c r="B996" s="33"/>
      <c r="C996" s="26" t="s">
        <v>464</v>
      </c>
      <c r="D996" s="26" t="str">
        <f t="array" ref="D9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25CC001</v>
      </c>
      <c r="E996" s="32" t="str">
        <f t="array" ref="E9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ADITHYA R</v>
      </c>
      <c r="F996" s="26" t="str">
        <f t="array" ref="F9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6" s="26" t="str">
        <f t="array" ref="G9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996" s="26" t="str">
        <f t="array" ref="H996">IF(
MOD(ROW()-2,6)=0,
INDEX('Form Responses'!I:I,INT((ROW()-2)/6)+2),
"-- NA --"
)</f>
        <v>-- NA --</v>
      </c>
      <c r="I996" s="32" t="str">
        <f t="array" ref="I996">IF(
MOD(ROW()-2,6)=0,
INDEX('Form Responses'!J:J,INT((ROW()-2)/6)+2),
"-- NA --"
)</f>
        <v>-- NA --</v>
      </c>
      <c r="J996" s="3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26">
        <v>996.0</v>
      </c>
      <c r="B997" s="6"/>
      <c r="C997" s="26" t="s">
        <v>500</v>
      </c>
      <c r="D997" s="26" t="str">
        <f t="array" ref="D9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25ME028</v>
      </c>
      <c r="E997" s="32" t="str">
        <f t="array" ref="E9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TARUN VIGNESH R</v>
      </c>
      <c r="F997" s="26" t="str">
        <f t="array" ref="F9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7" s="26" t="str">
        <f t="array" ref="G9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997" s="26" t="str">
        <f t="array" ref="H997">IF(
MOD(ROW()-2,6)=0,
INDEX('Form Responses'!I:I,INT((ROW()-2)/6)+2),
"-- NA --"
)</f>
        <v>-- NA --</v>
      </c>
      <c r="I997" s="32" t="str">
        <f t="array" ref="I997">IF(
MOD(ROW()-2,6)=0,
INDEX('Form Responses'!J:J,INT((ROW()-2)/6)+2),
"-- NA --"
)</f>
        <v>-- NA --</v>
      </c>
      <c r="J997" s="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26">
        <v>997.0</v>
      </c>
      <c r="B998" s="29" t="str">
        <f t="array" ref="B998">INDEX('Form Responses'!$C:$C,INT((ROW()-2)/6)+2)</f>
        <v>ZYNTRICS </v>
      </c>
      <c r="C998" s="31" t="s">
        <v>140</v>
      </c>
      <c r="D998" s="26" t="str">
        <f t="array" ref="D9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25AD130</v>
      </c>
      <c r="E998" s="32" t="str">
        <f t="array" ref="E9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NEYAA U</v>
      </c>
      <c r="F998" s="26" t="str">
        <f t="array" ref="F9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8" s="26" t="str">
        <f t="array" ref="G9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8" s="26">
        <f t="array" ref="H998">IF(
MOD(ROW()-2,6)=0,
INDEX('Form Responses'!I:I,INT((ROW()-2)/6)+2),
"-- NA --"
)</f>
        <v>9025303285</v>
      </c>
      <c r="I998" s="32" t="str">
        <f t="array" ref="I998">IF(
MOD(ROW()-2,6)=0,
INDEX('Form Responses'!J:J,INT((ROW()-2)/6)+2),
"-- NA --"
)</f>
        <v>neyaa.u2025aids@sece.ac.in</v>
      </c>
      <c r="J998" s="29" t="str">
        <f t="array" ref="J998">INDEX('Form Responses'!$D:$D,INT((ROW()-2)/6)+2)</f>
        <v>Software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26">
        <v>998.0</v>
      </c>
      <c r="B999" s="33"/>
      <c r="C999" s="26" t="s">
        <v>282</v>
      </c>
      <c r="D999" s="26" t="str">
        <f t="array" ref="D9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25AD132</v>
      </c>
      <c r="E999" s="32" t="str">
        <f t="array" ref="E9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NIKITHA V</v>
      </c>
      <c r="F999" s="26" t="str">
        <f t="array" ref="F9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999" s="26" t="str">
        <f t="array" ref="G9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999" s="26" t="str">
        <f t="array" ref="H999">IF(
MOD(ROW()-2,6)=0,
INDEX('Form Responses'!I:I,INT((ROW()-2)/6)+2),
"-- NA --"
)</f>
        <v>-- NA --</v>
      </c>
      <c r="I999" s="32" t="str">
        <f t="array" ref="I999">IF(
MOD(ROW()-2,6)=0,
INDEX('Form Responses'!J:J,INT((ROW()-2)/6)+2),
"-- NA --"
)</f>
        <v>-- NA --</v>
      </c>
      <c r="J999" s="3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26">
        <v>999.0</v>
      </c>
      <c r="B1000" s="33"/>
      <c r="C1000" s="26" t="s">
        <v>385</v>
      </c>
      <c r="D1000" s="26" t="str">
        <f t="array" ref="D10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25AD140</v>
      </c>
      <c r="E1000" s="32" t="str">
        <f t="array" ref="E10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R</v>
      </c>
      <c r="F1000" s="26" t="str">
        <f t="array" ref="F10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0" s="26" t="str">
        <f t="array" ref="G10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00" s="26" t="str">
        <f t="array" ref="H1000">IF(
MOD(ROW()-2,6)=0,
INDEX('Form Responses'!I:I,INT((ROW()-2)/6)+2),
"-- NA --"
)</f>
        <v>-- NA --</v>
      </c>
      <c r="I1000" s="32" t="str">
        <f t="array" ref="I1000">IF(
MOD(ROW()-2,6)=0,
INDEX('Form Responses'!J:J,INT((ROW()-2)/6)+2),
"-- NA --"
)</f>
        <v>-- NA --</v>
      </c>
      <c r="J1000" s="3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26">
        <v>1000.0</v>
      </c>
      <c r="B1001" s="33"/>
      <c r="C1001" s="26" t="s">
        <v>425</v>
      </c>
      <c r="D1001" s="26" t="str">
        <f t="array" ref="D10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25CB049</v>
      </c>
      <c r="E1001" s="32" t="str">
        <f t="array" ref="E10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SHERA SANJAY N</v>
      </c>
      <c r="F1001" s="26" t="str">
        <f t="array" ref="F10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1" s="26" t="str">
        <f t="array" ref="G10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01" s="26" t="str">
        <f t="array" ref="H1001">IF(
MOD(ROW()-2,6)=0,
INDEX('Form Responses'!I:I,INT((ROW()-2)/6)+2),
"-- NA --"
)</f>
        <v>-- NA --</v>
      </c>
      <c r="I1001" s="32" t="str">
        <f t="array" ref="I1001">IF(
MOD(ROW()-2,6)=0,
INDEX('Form Responses'!J:J,INT((ROW()-2)/6)+2),
"-- NA --"
)</f>
        <v>-- NA --</v>
      </c>
      <c r="J1001" s="3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26">
        <v>1001.0</v>
      </c>
      <c r="B1002" s="33"/>
      <c r="C1002" s="26" t="s">
        <v>464</v>
      </c>
      <c r="D1002" s="26" t="str">
        <f t="array" ref="D10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25AM040</v>
      </c>
      <c r="E1002" s="32" t="str">
        <f t="array" ref="E10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HARIRAM K S</v>
      </c>
      <c r="F1002" s="26" t="str">
        <f t="array" ref="F10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2" s="26" t="str">
        <f t="array" ref="G10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02" s="26" t="str">
        <f t="array" ref="H1002">IF(
MOD(ROW()-2,6)=0,
INDEX('Form Responses'!I:I,INT((ROW()-2)/6)+2),
"-- NA --"
)</f>
        <v>-- NA --</v>
      </c>
      <c r="I1002" s="32" t="str">
        <f t="array" ref="I1002">IF(
MOD(ROW()-2,6)=0,
INDEX('Form Responses'!J:J,INT((ROW()-2)/6)+2),
"-- NA --"
)</f>
        <v>-- NA --</v>
      </c>
      <c r="J1002" s="3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26">
        <v>1002.0</v>
      </c>
      <c r="B1003" s="6"/>
      <c r="C1003" s="26" t="s">
        <v>500</v>
      </c>
      <c r="D1003" s="26" t="str">
        <f t="array" ref="D10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25AD171</v>
      </c>
      <c r="E1003" s="32" t="str">
        <f t="array" ref="E10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Reshma </v>
      </c>
      <c r="F1003" s="26" t="str">
        <f t="array" ref="F10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3" s="26" t="str">
        <f t="array" ref="G10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AI&amp;DS</v>
      </c>
      <c r="H1003" s="26" t="str">
        <f t="array" ref="H1003">IF(
MOD(ROW()-2,6)=0,
INDEX('Form Responses'!I:I,INT((ROW()-2)/6)+2),
"-- NA --"
)</f>
        <v>-- NA --</v>
      </c>
      <c r="I1003" s="32" t="str">
        <f t="array" ref="I1003">IF(
MOD(ROW()-2,6)=0,
INDEX('Form Responses'!J:J,INT((ROW()-2)/6)+2),
"-- NA --"
)</f>
        <v>-- NA --</v>
      </c>
      <c r="J1003" s="6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26">
        <v>1003.0</v>
      </c>
      <c r="B1004" s="29" t="str">
        <f t="array" ref="B1004">INDEX('Form Responses'!$C:$C,INT((ROW()-2)/6)+2)</f>
        <v>Genz Creovate</v>
      </c>
      <c r="C1004" s="31" t="s">
        <v>140</v>
      </c>
      <c r="D1004" s="26" t="str">
        <f t="array" ref="D10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25SY015</v>
      </c>
      <c r="E1004" s="32" t="str">
        <f t="array" ref="E10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S</v>
      </c>
      <c r="F1004" s="26" t="str">
        <f t="array" ref="F10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4" s="26" t="str">
        <f t="array" ref="G10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04" s="26" t="str">
        <f t="array" ref="H1004">IF(
MOD(ROW()-2,6)=0,
INDEX('Form Responses'!I:I,INT((ROW()-2)/6)+2),
"-- NA --"
)</f>
        <v>95979 02506</v>
      </c>
      <c r="I1004" s="32" t="str">
        <f t="array" ref="I1004">IF(
MOD(ROW()-2,6)=0,
INDEX('Form Responses'!J:J,INT((ROW()-2)/6)+2),
"-- NA --"
)</f>
        <v>dharshini.s2025cys@sece.ac.in</v>
      </c>
      <c r="J1004" s="29" t="str">
        <f t="array" ref="J1004">INDEX('Form Responses'!$D:$D,INT((ROW()-2)/6)+2)</f>
        <v>Software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26">
        <v>1004.0</v>
      </c>
      <c r="B1005" s="33"/>
      <c r="C1005" s="26" t="s">
        <v>282</v>
      </c>
      <c r="D1005" s="26" t="str">
        <f t="array" ref="D10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25AD217</v>
      </c>
      <c r="E1005" s="32" t="str">
        <f t="array" ref="E10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SYED SAZWAN B</v>
      </c>
      <c r="F1005" s="26" t="str">
        <f t="array" ref="F10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5" s="26" t="str">
        <f t="array" ref="G10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05" s="26" t="str">
        <f t="array" ref="H1005">IF(
MOD(ROW()-2,6)=0,
INDEX('Form Responses'!I:I,INT((ROW()-2)/6)+2),
"-- NA --"
)</f>
        <v>-- NA --</v>
      </c>
      <c r="I1005" s="32" t="str">
        <f t="array" ref="I1005">IF(
MOD(ROW()-2,6)=0,
INDEX('Form Responses'!J:J,INT((ROW()-2)/6)+2),
"-- NA --"
)</f>
        <v>-- NA --</v>
      </c>
      <c r="J1005" s="3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26">
        <v>1005.0</v>
      </c>
      <c r="B1006" s="33"/>
      <c r="C1006" s="26" t="s">
        <v>385</v>
      </c>
      <c r="D1006" s="26" t="str">
        <f t="array" ref="D10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25AD211</v>
      </c>
      <c r="E1006" s="32" t="str">
        <f t="array" ref="E10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SUKANTH S</v>
      </c>
      <c r="F1006" s="26" t="str">
        <f t="array" ref="F10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6" s="26" t="str">
        <f t="array" ref="G10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06" s="26" t="str">
        <f t="array" ref="H1006">IF(
MOD(ROW()-2,6)=0,
INDEX('Form Responses'!I:I,INT((ROW()-2)/6)+2),
"-- NA --"
)</f>
        <v>-- NA --</v>
      </c>
      <c r="I1006" s="32" t="str">
        <f t="array" ref="I1006">IF(
MOD(ROW()-2,6)=0,
INDEX('Form Responses'!J:J,INT((ROW()-2)/6)+2),
"-- NA --"
)</f>
        <v>-- NA --</v>
      </c>
      <c r="J1006" s="33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26">
        <v>1006.0</v>
      </c>
      <c r="B1007" s="33"/>
      <c r="C1007" s="26" t="s">
        <v>425</v>
      </c>
      <c r="D1007" s="26" t="str">
        <f t="array" ref="D10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25SY028</v>
      </c>
      <c r="E1007" s="32" t="str">
        <f t="array" ref="E10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KANIMOZHI K </v>
      </c>
      <c r="F1007" s="26" t="str">
        <f t="array" ref="F10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7" s="26" t="str">
        <f t="array" ref="G10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07" s="26" t="str">
        <f t="array" ref="H1007">IF(
MOD(ROW()-2,6)=0,
INDEX('Form Responses'!I:I,INT((ROW()-2)/6)+2),
"-- NA --"
)</f>
        <v>-- NA --</v>
      </c>
      <c r="I1007" s="32" t="str">
        <f t="array" ref="I1007">IF(
MOD(ROW()-2,6)=0,
INDEX('Form Responses'!J:J,INT((ROW()-2)/6)+2),
"-- NA --"
)</f>
        <v>-- NA --</v>
      </c>
      <c r="J1007" s="33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26">
        <v>1007.0</v>
      </c>
      <c r="B1008" s="33"/>
      <c r="C1008" s="26" t="s">
        <v>464</v>
      </c>
      <c r="D1008" s="26" t="str">
        <f t="array" ref="D10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25SY045</v>
      </c>
      <c r="E1008" s="32" t="str">
        <f t="array" ref="E10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RITHIKA MR</v>
      </c>
      <c r="F1008" s="26" t="str">
        <f t="array" ref="F10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8" s="26" t="str">
        <f t="array" ref="G10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08" s="26" t="str">
        <f t="array" ref="H1008">IF(
MOD(ROW()-2,6)=0,
INDEX('Form Responses'!I:I,INT((ROW()-2)/6)+2),
"-- NA --"
)</f>
        <v>-- NA --</v>
      </c>
      <c r="I1008" s="32" t="str">
        <f t="array" ref="I1008">IF(
MOD(ROW()-2,6)=0,
INDEX('Form Responses'!J:J,INT((ROW()-2)/6)+2),
"-- NA --"
)</f>
        <v>-- NA --</v>
      </c>
      <c r="J1008" s="33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26">
        <v>1008.0</v>
      </c>
      <c r="B1009" s="6"/>
      <c r="C1009" s="26" t="s">
        <v>500</v>
      </c>
      <c r="D1009" s="26" t="str">
        <f t="array" ref="D10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25AD201</v>
      </c>
      <c r="E1009" s="32" t="str">
        <f t="array" ref="E10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Shwetha S</v>
      </c>
      <c r="F1009" s="26" t="str">
        <f t="array" ref="F10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09" s="26" t="str">
        <f t="array" ref="G10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09" s="26" t="str">
        <f t="array" ref="H1009">IF(
MOD(ROW()-2,6)=0,
INDEX('Form Responses'!I:I,INT((ROW()-2)/6)+2),
"-- NA --"
)</f>
        <v>-- NA --</v>
      </c>
      <c r="I1009" s="32" t="str">
        <f t="array" ref="I1009">IF(
MOD(ROW()-2,6)=0,
INDEX('Form Responses'!J:J,INT((ROW()-2)/6)+2),
"-- NA --"
)</f>
        <v>-- NA --</v>
      </c>
      <c r="J1009" s="6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26">
        <v>1009.0</v>
      </c>
      <c r="B1010" s="29" t="str">
        <f t="array" ref="B1010">INDEX('Form Responses'!$C:$C,INT((ROW()-2)/6)+2)</f>
        <v>ElectroNova</v>
      </c>
      <c r="C1010" s="31" t="s">
        <v>140</v>
      </c>
      <c r="D1010" s="26" t="str">
        <f t="array" ref="D10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25EC007 </v>
      </c>
      <c r="E1010" s="32" t="str">
        <f t="array" ref="E10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ADHISHESAGAN ADHITHAN.S </v>
      </c>
      <c r="F1010" s="26" t="str">
        <f t="array" ref="F10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0" s="26" t="str">
        <f t="array" ref="G10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10" s="26">
        <f t="array" ref="H1010">IF(
MOD(ROW()-2,6)=0,
INDEX('Form Responses'!I:I,INT((ROW()-2)/6)+2),
"-- NA --"
)</f>
        <v>9003509050</v>
      </c>
      <c r="I1010" s="32" t="str">
        <f t="array" ref="I1010">IF(
MOD(ROW()-2,6)=0,
INDEX('Form Responses'!J:J,INT((ROW()-2)/6)+2),
"-- NA --"
)</f>
        <v>adhishesaganadithan.s2025ece@sece.ac.in</v>
      </c>
      <c r="J1010" s="29" t="str">
        <f t="array" ref="J1010">INDEX('Form Responses'!$D:$D,INT((ROW()-2)/6)+2)</f>
        <v>Hardware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26">
        <v>1010.0</v>
      </c>
      <c r="B1011" s="33"/>
      <c r="C1011" s="26" t="s">
        <v>282</v>
      </c>
      <c r="D1011" s="26" t="str">
        <f t="array" ref="D10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25EC006</v>
      </c>
      <c r="E1011" s="32" t="str">
        <f t="array" ref="E10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ADHAVAN.A </v>
      </c>
      <c r="F1011" s="26" t="str">
        <f t="array" ref="F10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1" s="26" t="str">
        <f t="array" ref="G10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11" s="26" t="str">
        <f t="array" ref="H1011">IF(
MOD(ROW()-2,6)=0,
INDEX('Form Responses'!I:I,INT((ROW()-2)/6)+2),
"-- NA --"
)</f>
        <v>-- NA --</v>
      </c>
      <c r="I1011" s="32" t="str">
        <f t="array" ref="I1011">IF(
MOD(ROW()-2,6)=0,
INDEX('Form Responses'!J:J,INT((ROW()-2)/6)+2),
"-- NA --"
)</f>
        <v>-- NA --</v>
      </c>
      <c r="J1011" s="33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26">
        <v>1011.0</v>
      </c>
      <c r="B1012" s="33"/>
      <c r="C1012" s="26" t="s">
        <v>385</v>
      </c>
      <c r="D1012" s="26" t="str">
        <f t="array" ref="D10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25AD028</v>
      </c>
      <c r="E1012" s="32" t="str">
        <f t="array" ref="E10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DARSHAN.P.M</v>
      </c>
      <c r="F1012" s="26" t="str">
        <f t="array" ref="F10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2" s="26" t="str">
        <f t="array" ref="G10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12" s="26" t="str">
        <f t="array" ref="H1012">IF(
MOD(ROW()-2,6)=0,
INDEX('Form Responses'!I:I,INT((ROW()-2)/6)+2),
"-- NA --"
)</f>
        <v>-- NA --</v>
      </c>
      <c r="I1012" s="32" t="str">
        <f t="array" ref="I1012">IF(
MOD(ROW()-2,6)=0,
INDEX('Form Responses'!J:J,INT((ROW()-2)/6)+2),
"-- NA --"
)</f>
        <v>-- NA --</v>
      </c>
      <c r="J1012" s="33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26">
        <v>1012.0</v>
      </c>
      <c r="B1013" s="33"/>
      <c r="C1013" s="26" t="s">
        <v>425</v>
      </c>
      <c r="D1013" s="26" t="str">
        <f t="array" ref="D10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25CC040</v>
      </c>
      <c r="E1013" s="32" t="str">
        <f t="array" ref="E10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PRIYANKA.M</v>
      </c>
      <c r="F1013" s="26" t="str">
        <f t="array" ref="F10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3" s="26" t="str">
        <f t="array" ref="G10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013" s="26" t="str">
        <f t="array" ref="H1013">IF(
MOD(ROW()-2,6)=0,
INDEX('Form Responses'!I:I,INT((ROW()-2)/6)+2),
"-- NA --"
)</f>
        <v>-- NA --</v>
      </c>
      <c r="I1013" s="32" t="str">
        <f t="array" ref="I1013">IF(
MOD(ROW()-2,6)=0,
INDEX('Form Responses'!J:J,INT((ROW()-2)/6)+2),
"-- NA --"
)</f>
        <v>-- NA --</v>
      </c>
      <c r="J1013" s="33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26">
        <v>1013.0</v>
      </c>
      <c r="B1014" s="33"/>
      <c r="C1014" s="26" t="s">
        <v>464</v>
      </c>
      <c r="D1014" s="26" t="str">
        <f t="array" ref="D10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25EE032</v>
      </c>
      <c r="E1014" s="32" t="str">
        <f t="array" ref="E10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 KUMAR.N.S</v>
      </c>
      <c r="F1014" s="26" t="str">
        <f t="array" ref="F10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4" s="26" t="str">
        <f t="array" ref="G10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14" s="26" t="str">
        <f t="array" ref="H1014">IF(
MOD(ROW()-2,6)=0,
INDEX('Form Responses'!I:I,INT((ROW()-2)/6)+2),
"-- NA --"
)</f>
        <v>-- NA --</v>
      </c>
      <c r="I1014" s="32" t="str">
        <f t="array" ref="I1014">IF(
MOD(ROW()-2,6)=0,
INDEX('Form Responses'!J:J,INT((ROW()-2)/6)+2),
"-- NA --"
)</f>
        <v>-- NA --</v>
      </c>
      <c r="J1014" s="33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26">
        <v>1014.0</v>
      </c>
      <c r="B1015" s="6"/>
      <c r="C1015" s="26" t="s">
        <v>500</v>
      </c>
      <c r="D1015" s="26" t="str">
        <f t="array" ref="D10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25ME020</v>
      </c>
      <c r="E1015" s="32" t="str">
        <f t="array" ref="E10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PADMA SINDHIYA.S</v>
      </c>
      <c r="F1015" s="26" t="str">
        <f t="array" ref="F10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5" s="26" t="str">
        <f t="array" ref="G10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015" s="26" t="str">
        <f t="array" ref="H1015">IF(
MOD(ROW()-2,6)=0,
INDEX('Form Responses'!I:I,INT((ROW()-2)/6)+2),
"-- NA --"
)</f>
        <v>-- NA --</v>
      </c>
      <c r="I1015" s="32" t="str">
        <f t="array" ref="I1015">IF(
MOD(ROW()-2,6)=0,
INDEX('Form Responses'!J:J,INT((ROW()-2)/6)+2),
"-- NA --"
)</f>
        <v>-- NA --</v>
      </c>
      <c r="J1015" s="6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26">
        <v>1015.0</v>
      </c>
      <c r="B1016" s="29" t="str">
        <f t="array" ref="B1016">INDEX('Form Responses'!$C:$C,INT((ROW()-2)/6)+2)</f>
        <v>Vyugam </v>
      </c>
      <c r="C1016" s="31" t="s">
        <v>140</v>
      </c>
      <c r="D1016" s="26" t="str">
        <f t="array" ref="D10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25EC016</v>
      </c>
      <c r="E1016" s="32" t="str">
        <f t="array" ref="E10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ARAVINDHA RAVICHANDRAN </v>
      </c>
      <c r="F1016" s="26" t="str">
        <f t="array" ref="F10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6" s="26" t="str">
        <f t="array" ref="G10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16" s="26">
        <f t="array" ref="H1016">IF(
MOD(ROW()-2,6)=0,
INDEX('Form Responses'!I:I,INT((ROW()-2)/6)+2),
"-- NA --"
)</f>
        <v>6380608892</v>
      </c>
      <c r="I1016" s="32" t="str">
        <f t="array" ref="I1016">IF(
MOD(ROW()-2,6)=0,
INDEX('Form Responses'!J:J,INT((ROW()-2)/6)+2),
"-- NA --"
)</f>
        <v>aravindha.r2025ece@sece.ac.in</v>
      </c>
      <c r="J1016" s="29" t="str">
        <f t="array" ref="J1016">INDEX('Form Responses'!$D:$D,INT((ROW()-2)/6)+2)</f>
        <v>Software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26">
        <v>1016.0</v>
      </c>
      <c r="B1017" s="33"/>
      <c r="C1017" s="26" t="s">
        <v>282</v>
      </c>
      <c r="D1017" s="26" t="str">
        <f t="array" ref="D10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25AM054</v>
      </c>
      <c r="E1017" s="32" t="str">
        <f t="array" ref="E10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KEERTHANA S</v>
      </c>
      <c r="F1017" s="26" t="str">
        <f t="array" ref="F10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7" s="26" t="str">
        <f t="array" ref="G10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17" s="26" t="str">
        <f t="array" ref="H1017">IF(
MOD(ROW()-2,6)=0,
INDEX('Form Responses'!I:I,INT((ROW()-2)/6)+2),
"-- NA --"
)</f>
        <v>-- NA --</v>
      </c>
      <c r="I1017" s="32" t="str">
        <f t="array" ref="I1017">IF(
MOD(ROW()-2,6)=0,
INDEX('Form Responses'!J:J,INT((ROW()-2)/6)+2),
"-- NA --"
)</f>
        <v>-- NA --</v>
      </c>
      <c r="J1017" s="33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26">
        <v>1017.0</v>
      </c>
      <c r="B1018" s="33"/>
      <c r="C1018" s="26" t="s">
        <v>385</v>
      </c>
      <c r="D1018" s="26" t="str">
        <f t="array" ref="D10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</v>
      </c>
      <c r="E1018" s="32" t="str">
        <f t="array" ref="E10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ATHIRA V</v>
      </c>
      <c r="F1018" s="26" t="str">
        <f t="array" ref="F10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8" s="26" t="str">
        <f t="array" ref="G10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18" s="26" t="str">
        <f t="array" ref="H1018">IF(
MOD(ROW()-2,6)=0,
INDEX('Form Responses'!I:I,INT((ROW()-2)/6)+2),
"-- NA --"
)</f>
        <v>-- NA --</v>
      </c>
      <c r="I1018" s="32" t="str">
        <f t="array" ref="I1018">IF(
MOD(ROW()-2,6)=0,
INDEX('Form Responses'!J:J,INT((ROW()-2)/6)+2),
"-- NA --"
)</f>
        <v>-- NA --</v>
      </c>
      <c r="J1018" s="33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26">
        <v>1018.0</v>
      </c>
      <c r="B1019" s="33"/>
      <c r="C1019" s="26" t="s">
        <v>425</v>
      </c>
      <c r="D1019" s="26" t="str">
        <f t="array" ref="D10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25AD089</v>
      </c>
      <c r="E1019" s="32" t="str">
        <f t="array" ref="E10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 S</v>
      </c>
      <c r="F1019" s="26" t="str">
        <f t="array" ref="F10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19" s="26" t="str">
        <f t="array" ref="G10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19" s="26" t="str">
        <f t="array" ref="H1019">IF(
MOD(ROW()-2,6)=0,
INDEX('Form Responses'!I:I,INT((ROW()-2)/6)+2),
"-- NA --"
)</f>
        <v>-- NA --</v>
      </c>
      <c r="I1019" s="32" t="str">
        <f t="array" ref="I1019">IF(
MOD(ROW()-2,6)=0,
INDEX('Form Responses'!J:J,INT((ROW()-2)/6)+2),
"-- NA --"
)</f>
        <v>-- NA --</v>
      </c>
      <c r="J1019" s="33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26">
        <v>1019.0</v>
      </c>
      <c r="B1020" s="33"/>
      <c r="C1020" s="26" t="s">
        <v>464</v>
      </c>
      <c r="D1020" s="26" t="str">
        <f t="array" ref="D10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25AM120</v>
      </c>
      <c r="E1020" s="32" t="str">
        <f t="array" ref="E10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SAGAR V</v>
      </c>
      <c r="F1020" s="26" t="str">
        <f t="array" ref="F10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0" s="26" t="str">
        <f t="array" ref="G10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20" s="26" t="str">
        <f t="array" ref="H1020">IF(
MOD(ROW()-2,6)=0,
INDEX('Form Responses'!I:I,INT((ROW()-2)/6)+2),
"-- NA --"
)</f>
        <v>-- NA --</v>
      </c>
      <c r="I1020" s="32" t="str">
        <f t="array" ref="I1020">IF(
MOD(ROW()-2,6)=0,
INDEX('Form Responses'!J:J,INT((ROW()-2)/6)+2),
"-- NA --"
)</f>
        <v>-- NA --</v>
      </c>
      <c r="J1020" s="33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26">
        <v>1020.0</v>
      </c>
      <c r="B1021" s="6"/>
      <c r="C1021" s="26" t="s">
        <v>500</v>
      </c>
      <c r="D1021" s="26" t="str">
        <f t="array" ref="D10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25IT056</v>
      </c>
      <c r="E1021" s="32" t="str">
        <f t="array" ref="E10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C</v>
      </c>
      <c r="F1021" s="26" t="str">
        <f t="array" ref="F10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1" s="26" t="str">
        <f t="array" ref="G10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021" s="26" t="str">
        <f t="array" ref="H1021">IF(
MOD(ROW()-2,6)=0,
INDEX('Form Responses'!I:I,INT((ROW()-2)/6)+2),
"-- NA --"
)</f>
        <v>-- NA --</v>
      </c>
      <c r="I1021" s="32" t="str">
        <f t="array" ref="I1021">IF(
MOD(ROW()-2,6)=0,
INDEX('Form Responses'!J:J,INT((ROW()-2)/6)+2),
"-- NA --"
)</f>
        <v>-- NA --</v>
      </c>
      <c r="J1021" s="6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26">
        <v>1021.0</v>
      </c>
      <c r="B1022" s="29" t="str">
        <f t="array" ref="B1022">INDEX('Form Responses'!$C:$C,INT((ROW()-2)/6)+2)</f>
        <v>SPARKMATRIX</v>
      </c>
      <c r="C1022" s="31" t="s">
        <v>140</v>
      </c>
      <c r="D1022" s="26" t="str">
        <f t="array" ref="D10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25EC151</v>
      </c>
      <c r="E1022" s="32" t="str">
        <f t="array" ref="E10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SHANJHENA.V</v>
      </c>
      <c r="F1022" s="26" t="str">
        <f t="array" ref="F10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2" s="26" t="str">
        <f t="array" ref="G10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22" s="26">
        <f t="array" ref="H1022">IF(
MOD(ROW()-2,6)=0,
INDEX('Form Responses'!I:I,INT((ROW()-2)/6)+2),
"-- NA --"
)</f>
        <v>9791486210</v>
      </c>
      <c r="I1022" s="32" t="str">
        <f t="array" ref="I1022">IF(
MOD(ROW()-2,6)=0,
INDEX('Form Responses'!J:J,INT((ROW()-2)/6)+2),
"-- NA --"
)</f>
        <v>shanjhena.v2025ece@sece.ac.in</v>
      </c>
      <c r="J1022" s="29" t="str">
        <f t="array" ref="J1022">INDEX('Form Responses'!$D:$D,INT((ROW()-2)/6)+2)</f>
        <v>Hardware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26">
        <v>1022.0</v>
      </c>
      <c r="B1023" s="33"/>
      <c r="C1023" s="26" t="s">
        <v>282</v>
      </c>
      <c r="D1023" s="26" t="str">
        <f t="array" ref="D10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25EC176</v>
      </c>
      <c r="E1023" s="32" t="str">
        <f t="array" ref="E10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TANISSKA.S</v>
      </c>
      <c r="F1023" s="26" t="str">
        <f t="array" ref="F10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3" s="26" t="str">
        <f t="array" ref="G10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23" s="26" t="str">
        <f t="array" ref="H1023">IF(
MOD(ROW()-2,6)=0,
INDEX('Form Responses'!I:I,INT((ROW()-2)/6)+2),
"-- NA --"
)</f>
        <v>-- NA --</v>
      </c>
      <c r="I1023" s="32" t="str">
        <f t="array" ref="I1023">IF(
MOD(ROW()-2,6)=0,
INDEX('Form Responses'!J:J,INT((ROW()-2)/6)+2),
"-- NA --"
)</f>
        <v>-- NA --</v>
      </c>
      <c r="J1023" s="33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>
      <c r="A1024" s="26">
        <v>1023.0</v>
      </c>
      <c r="B1024" s="33"/>
      <c r="C1024" s="26" t="s">
        <v>385</v>
      </c>
      <c r="D1024" s="26" t="str">
        <f t="array" ref="D10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25EC149</v>
      </c>
      <c r="E1024" s="32" t="str">
        <f t="array" ref="E10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SENPAKAPRIYA</v>
      </c>
      <c r="F1024" s="26" t="str">
        <f t="array" ref="F10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4" s="26" t="str">
        <f t="array" ref="G10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24" s="26" t="str">
        <f t="array" ref="H1024">IF(
MOD(ROW()-2,6)=0,
INDEX('Form Responses'!I:I,INT((ROW()-2)/6)+2),
"-- NA --"
)</f>
        <v>-- NA --</v>
      </c>
      <c r="I1024" s="32" t="str">
        <f t="array" ref="I1024">IF(
MOD(ROW()-2,6)=0,
INDEX('Form Responses'!J:J,INT((ROW()-2)/6)+2),
"-- NA --"
)</f>
        <v>-- NA --</v>
      </c>
      <c r="J1024" s="33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>
      <c r="A1025" s="26">
        <v>1024.0</v>
      </c>
      <c r="B1025" s="33"/>
      <c r="C1025" s="26" t="s">
        <v>425</v>
      </c>
      <c r="D1025" s="26" t="str">
        <f t="array" ref="D10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25EE048</v>
      </c>
      <c r="E1025" s="32" t="str">
        <f t="array" ref="E10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SHARAN RAJ G</v>
      </c>
      <c r="F1025" s="26" t="str">
        <f t="array" ref="F10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5" s="26" t="str">
        <f t="array" ref="G10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25" s="26" t="str">
        <f t="array" ref="H1025">IF(
MOD(ROW()-2,6)=0,
INDEX('Form Responses'!I:I,INT((ROW()-2)/6)+2),
"-- NA --"
)</f>
        <v>-- NA --</v>
      </c>
      <c r="I1025" s="32" t="str">
        <f t="array" ref="I1025">IF(
MOD(ROW()-2,6)=0,
INDEX('Form Responses'!J:J,INT((ROW()-2)/6)+2),
"-- NA --"
)</f>
        <v>-- NA --</v>
      </c>
      <c r="J1025" s="33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>
      <c r="A1026" s="26">
        <v>1025.0</v>
      </c>
      <c r="B1026" s="33"/>
      <c r="C1026" s="26" t="s">
        <v>464</v>
      </c>
      <c r="D1026" s="26" t="str">
        <f t="array" ref="D10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25IT016</v>
      </c>
      <c r="E1026" s="32" t="str">
        <f t="array" ref="E10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 R</v>
      </c>
      <c r="F1026" s="26" t="str">
        <f t="array" ref="F10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6" s="26" t="str">
        <f t="array" ref="G10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026" s="26" t="str">
        <f t="array" ref="H1026">IF(
MOD(ROW()-2,6)=0,
INDEX('Form Responses'!I:I,INT((ROW()-2)/6)+2),
"-- NA --"
)</f>
        <v>-- NA --</v>
      </c>
      <c r="I1026" s="32" t="str">
        <f t="array" ref="I1026">IF(
MOD(ROW()-2,6)=0,
INDEX('Form Responses'!J:J,INT((ROW()-2)/6)+2),
"-- NA --"
)</f>
        <v>-- NA --</v>
      </c>
      <c r="J1026" s="33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>
      <c r="A1027" s="26">
        <v>1026.0</v>
      </c>
      <c r="B1027" s="6"/>
      <c r="C1027" s="26" t="s">
        <v>500</v>
      </c>
      <c r="D1027" s="26" t="str">
        <f t="array" ref="D10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25IT019</v>
      </c>
      <c r="E1027" s="32" t="str">
        <f t="array" ref="E10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HARIKARAN K</v>
      </c>
      <c r="F1027" s="26" t="str">
        <f t="array" ref="F10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7" s="26" t="str">
        <f t="array" ref="G10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027" s="26" t="str">
        <f t="array" ref="H1027">IF(
MOD(ROW()-2,6)=0,
INDEX('Form Responses'!I:I,INT((ROW()-2)/6)+2),
"-- NA --"
)</f>
        <v>-- NA --</v>
      </c>
      <c r="I1027" s="32" t="str">
        <f t="array" ref="I1027">IF(
MOD(ROW()-2,6)=0,
INDEX('Form Responses'!J:J,INT((ROW()-2)/6)+2),
"-- NA --"
)</f>
        <v>-- NA --</v>
      </c>
      <c r="J1027" s="6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>
      <c r="A1028" s="26">
        <v>1027.0</v>
      </c>
      <c r="B1028" s="29" t="str">
        <f t="array" ref="B1028">INDEX('Form Responses'!$C:$C,INT((ROW()-2)/6)+2)</f>
        <v>Solution Squad</v>
      </c>
      <c r="C1028" s="31" t="s">
        <v>140</v>
      </c>
      <c r="D1028" s="26" t="str">
        <f t="array" ref="D10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25EE038</v>
      </c>
      <c r="E1028" s="32" t="str">
        <f t="array" ref="E10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PAKIYALAKSHMI M</v>
      </c>
      <c r="F1028" s="26" t="str">
        <f t="array" ref="F10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8" s="26" t="str">
        <f t="array" ref="G10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28" s="26">
        <f t="array" ref="H1028">IF(
MOD(ROW()-2,6)=0,
INDEX('Form Responses'!I:I,INT((ROW()-2)/6)+2),
"-- NA --"
)</f>
        <v>9944862206</v>
      </c>
      <c r="I1028" s="32" t="str">
        <f t="array" ref="I1028">IF(
MOD(ROW()-2,6)=0,
INDEX('Form Responses'!J:J,INT((ROW()-2)/6)+2),
"-- NA --"
)</f>
        <v>pakiyalakshmi.m2025eee@sece.ac.in</v>
      </c>
      <c r="J1028" s="29" t="str">
        <f t="array" ref="J1028">INDEX('Form Responses'!$D:$D,INT((ROW()-2)/6)+2)</f>
        <v>Hardware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>
      <c r="A1029" s="26">
        <v>1028.0</v>
      </c>
      <c r="B1029" s="33"/>
      <c r="C1029" s="26" t="s">
        <v>282</v>
      </c>
      <c r="D1029" s="26" t="str">
        <f t="array" ref="D10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25EE031</v>
      </c>
      <c r="E1029" s="32" t="str">
        <f t="array" ref="E10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NAGAPRASHANNA N</v>
      </c>
      <c r="F1029" s="26" t="str">
        <f t="array" ref="F10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29" s="26" t="str">
        <f t="array" ref="G10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29" s="26" t="str">
        <f t="array" ref="H1029">IF(
MOD(ROW()-2,6)=0,
INDEX('Form Responses'!I:I,INT((ROW()-2)/6)+2),
"-- NA --"
)</f>
        <v>-- NA --</v>
      </c>
      <c r="I1029" s="32" t="str">
        <f t="array" ref="I1029">IF(
MOD(ROW()-2,6)=0,
INDEX('Form Responses'!J:J,INT((ROW()-2)/6)+2),
"-- NA --"
)</f>
        <v>-- NA --</v>
      </c>
      <c r="J1029" s="33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>
      <c r="A1030" s="26">
        <v>1029.0</v>
      </c>
      <c r="B1030" s="33"/>
      <c r="C1030" s="26" t="s">
        <v>385</v>
      </c>
      <c r="D1030" s="26" t="str">
        <f t="array" ref="D10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25EE013</v>
      </c>
      <c r="E1030" s="32" t="str">
        <f t="array" ref="E10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GODWIN S</v>
      </c>
      <c r="F1030" s="26" t="str">
        <f t="array" ref="F10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0" s="26" t="str">
        <f t="array" ref="G10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30" s="26" t="str">
        <f t="array" ref="H1030">IF(
MOD(ROW()-2,6)=0,
INDEX('Form Responses'!I:I,INT((ROW()-2)/6)+2),
"-- NA --"
)</f>
        <v>-- NA --</v>
      </c>
      <c r="I1030" s="32" t="str">
        <f t="array" ref="I1030">IF(
MOD(ROW()-2,6)=0,
INDEX('Form Responses'!J:J,INT((ROW()-2)/6)+2),
"-- NA --"
)</f>
        <v>-- NA --</v>
      </c>
      <c r="J1030" s="33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>
      <c r="A1031" s="26">
        <v>1030.0</v>
      </c>
      <c r="B1031" s="33"/>
      <c r="C1031" s="26" t="s">
        <v>425</v>
      </c>
      <c r="D1031" s="26" t="str">
        <f t="array" ref="D10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25CS020</v>
      </c>
      <c r="E1031" s="32" t="str">
        <f t="array" ref="E10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BARATH M</v>
      </c>
      <c r="F1031" s="26" t="str">
        <f t="array" ref="F10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1" s="26" t="str">
        <f t="array" ref="G10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31" s="26" t="str">
        <f t="array" ref="H1031">IF(
MOD(ROW()-2,6)=0,
INDEX('Form Responses'!I:I,INT((ROW()-2)/6)+2),
"-- NA --"
)</f>
        <v>-- NA --</v>
      </c>
      <c r="I1031" s="32" t="str">
        <f t="array" ref="I1031">IF(
MOD(ROW()-2,6)=0,
INDEX('Form Responses'!J:J,INT((ROW()-2)/6)+2),
"-- NA --"
)</f>
        <v>-- NA --</v>
      </c>
      <c r="J1031" s="33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>
      <c r="A1032" s="26">
        <v>1031.0</v>
      </c>
      <c r="B1032" s="33"/>
      <c r="C1032" s="26" t="s">
        <v>464</v>
      </c>
      <c r="D1032" s="26" t="str">
        <f t="array" ref="D10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25CS006</v>
      </c>
      <c r="E1032" s="32" t="str">
        <f t="array" ref="E10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AKSHAI T</v>
      </c>
      <c r="F1032" s="26" t="str">
        <f t="array" ref="F10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2" s="26" t="str">
        <f t="array" ref="G10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32" s="26" t="str">
        <f t="array" ref="H1032">IF(
MOD(ROW()-2,6)=0,
INDEX('Form Responses'!I:I,INT((ROW()-2)/6)+2),
"-- NA --"
)</f>
        <v>-- NA --</v>
      </c>
      <c r="I1032" s="32" t="str">
        <f t="array" ref="I1032">IF(
MOD(ROW()-2,6)=0,
INDEX('Form Responses'!J:J,INT((ROW()-2)/6)+2),
"-- NA --"
)</f>
        <v>-- NA --</v>
      </c>
      <c r="J1032" s="33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>
      <c r="A1033" s="26">
        <v>1032.0</v>
      </c>
      <c r="B1033" s="6"/>
      <c r="C1033" s="26" t="s">
        <v>500</v>
      </c>
      <c r="D1033" s="26" t="str">
        <f t="array" ref="D10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25EE006</v>
      </c>
      <c r="E1033" s="32" t="str">
        <f t="array" ref="E10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DHEENADHAYALAN </v>
      </c>
      <c r="F1033" s="26" t="str">
        <f t="array" ref="F10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3" s="26" t="str">
        <f t="array" ref="G10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33" s="26" t="str">
        <f t="array" ref="H1033">IF(
MOD(ROW()-2,6)=0,
INDEX('Form Responses'!I:I,INT((ROW()-2)/6)+2),
"-- NA --"
)</f>
        <v>-- NA --</v>
      </c>
      <c r="I1033" s="32" t="str">
        <f t="array" ref="I1033">IF(
MOD(ROW()-2,6)=0,
INDEX('Form Responses'!J:J,INT((ROW()-2)/6)+2),
"-- NA --"
)</f>
        <v>-- NA --</v>
      </c>
      <c r="J1033" s="6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>
      <c r="A1034" s="26">
        <v>1033.0</v>
      </c>
      <c r="B1034" s="29" t="str">
        <f t="array" ref="B1034">INDEX('Form Responses'!$C:$C,INT((ROW()-2)/6)+2)</f>
        <v>SCARFACE</v>
      </c>
      <c r="C1034" s="31" t="s">
        <v>140</v>
      </c>
      <c r="D1034" s="26" t="str">
        <f t="array" ref="D10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25AM075</v>
      </c>
      <c r="E1034" s="32" t="str">
        <f t="array" ref="E10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RAJESH R</v>
      </c>
      <c r="F1034" s="26" t="str">
        <f t="array" ref="F10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4" s="26" t="str">
        <f t="array" ref="G10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34" s="26">
        <f t="array" ref="H1034">IF(
MOD(ROW()-2,6)=0,
INDEX('Form Responses'!I:I,INT((ROW()-2)/6)+2),
"-- NA --"
)</f>
        <v>7708957447</v>
      </c>
      <c r="I1034" s="32" t="str">
        <f t="array" ref="I1034">IF(
MOD(ROW()-2,6)=0,
INDEX('Form Responses'!J:J,INT((ROW()-2)/6)+2),
"-- NA --"
)</f>
        <v>rajesh.r2025aiml@sece.ac.in</v>
      </c>
      <c r="J1034" s="29" t="str">
        <f t="array" ref="J1034">INDEX('Form Responses'!$D:$D,INT((ROW()-2)/6)+2)</f>
        <v>Hardware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>
      <c r="A1035" s="26">
        <v>1034.0</v>
      </c>
      <c r="B1035" s="33"/>
      <c r="C1035" s="26" t="s">
        <v>282</v>
      </c>
      <c r="D1035" s="26" t="str">
        <f t="array" ref="D10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26AM090</v>
      </c>
      <c r="E1035" s="32" t="str">
        <f t="array" ref="E10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SARAN R</v>
      </c>
      <c r="F1035" s="26" t="str">
        <f t="array" ref="F10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5" s="26" t="str">
        <f t="array" ref="G10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35" s="26" t="str">
        <f t="array" ref="H1035">IF(
MOD(ROW()-2,6)=0,
INDEX('Form Responses'!I:I,INT((ROW()-2)/6)+2),
"-- NA --"
)</f>
        <v>-- NA --</v>
      </c>
      <c r="I1035" s="32" t="str">
        <f t="array" ref="I1035">IF(
MOD(ROW()-2,6)=0,
INDEX('Form Responses'!J:J,INT((ROW()-2)/6)+2),
"-- NA --"
)</f>
        <v>-- NA --</v>
      </c>
      <c r="J1035" s="33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>
      <c r="A1036" s="26">
        <v>1035.0</v>
      </c>
      <c r="B1036" s="33"/>
      <c r="C1036" s="26" t="s">
        <v>385</v>
      </c>
      <c r="D1036" s="26" t="str">
        <f t="array" ref="D10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25AM071</v>
      </c>
      <c r="E1036" s="32" t="str">
        <f t="array" ref="E10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 P K</v>
      </c>
      <c r="F1036" s="26" t="str">
        <f t="array" ref="F10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6" s="26" t="str">
        <f t="array" ref="G10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36" s="26" t="str">
        <f t="array" ref="H1036">IF(
MOD(ROW()-2,6)=0,
INDEX('Form Responses'!I:I,INT((ROW()-2)/6)+2),
"-- NA --"
)</f>
        <v>-- NA --</v>
      </c>
      <c r="I1036" s="32" t="str">
        <f t="array" ref="I1036">IF(
MOD(ROW()-2,6)=0,
INDEX('Form Responses'!J:J,INT((ROW()-2)/6)+2),
"-- NA --"
)</f>
        <v>-- NA --</v>
      </c>
      <c r="J1036" s="33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>
      <c r="A1037" s="26">
        <v>1036.0</v>
      </c>
      <c r="B1037" s="33"/>
      <c r="C1037" s="26" t="s">
        <v>425</v>
      </c>
      <c r="D1037" s="26" t="str">
        <f t="array" ref="D10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25SY022</v>
      </c>
      <c r="E1037" s="32" t="str">
        <f t="array" ref="E10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JAYAVARSHIVI R J</v>
      </c>
      <c r="F1037" s="26" t="str">
        <f t="array" ref="F10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7" s="26" t="str">
        <f t="array" ref="G10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37" s="26" t="str">
        <f t="array" ref="H1037">IF(
MOD(ROW()-2,6)=0,
INDEX('Form Responses'!I:I,INT((ROW()-2)/6)+2),
"-- NA --"
)</f>
        <v>-- NA --</v>
      </c>
      <c r="I1037" s="32" t="str">
        <f t="array" ref="I1037">IF(
MOD(ROW()-2,6)=0,
INDEX('Form Responses'!J:J,INT((ROW()-2)/6)+2),
"-- NA --"
)</f>
        <v>-- NA --</v>
      </c>
      <c r="J1037" s="33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>
      <c r="A1038" s="26">
        <v>1037.0</v>
      </c>
      <c r="B1038" s="33"/>
      <c r="C1038" s="26" t="s">
        <v>464</v>
      </c>
      <c r="D1038" s="26" t="str">
        <f t="array" ref="D10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25SY033</v>
      </c>
      <c r="E1038" s="32" t="str">
        <f t="array" ref="E10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KREESHMA S</v>
      </c>
      <c r="F1038" s="26" t="str">
        <f t="array" ref="F10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8" s="26" t="str">
        <f t="array" ref="G10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38" s="26" t="str">
        <f t="array" ref="H1038">IF(
MOD(ROW()-2,6)=0,
INDEX('Form Responses'!I:I,INT((ROW()-2)/6)+2),
"-- NA --"
)</f>
        <v>-- NA --</v>
      </c>
      <c r="I1038" s="32" t="str">
        <f t="array" ref="I1038">IF(
MOD(ROW()-2,6)=0,
INDEX('Form Responses'!J:J,INT((ROW()-2)/6)+2),
"-- NA --"
)</f>
        <v>-- NA --</v>
      </c>
      <c r="J1038" s="33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>
      <c r="A1039" s="26">
        <v>1038.0</v>
      </c>
      <c r="B1039" s="6"/>
      <c r="C1039" s="26" t="s">
        <v>500</v>
      </c>
      <c r="D1039" s="26" t="str">
        <f t="array" ref="D10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25SY031</v>
      </c>
      <c r="E1039" s="32" t="str">
        <f t="array" ref="E10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KOTHAI U K</v>
      </c>
      <c r="F1039" s="26" t="str">
        <f t="array" ref="F10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39" s="26" t="str">
        <f t="array" ref="G10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39" s="26" t="str">
        <f t="array" ref="H1039">IF(
MOD(ROW()-2,6)=0,
INDEX('Form Responses'!I:I,INT((ROW()-2)/6)+2),
"-- NA --"
)</f>
        <v>-- NA --</v>
      </c>
      <c r="I1039" s="32" t="str">
        <f t="array" ref="I1039">IF(
MOD(ROW()-2,6)=0,
INDEX('Form Responses'!J:J,INT((ROW()-2)/6)+2),
"-- NA --"
)</f>
        <v>-- NA --</v>
      </c>
      <c r="J1039" s="6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>
      <c r="A1040" s="26">
        <v>1039.0</v>
      </c>
      <c r="B1040" s="29" t="str">
        <f t="array" ref="B1040">INDEX('Form Responses'!$C:$C,INT((ROW()-2)/6)+2)</f>
        <v>PROTONOVA</v>
      </c>
      <c r="C1040" s="31" t="s">
        <v>140</v>
      </c>
      <c r="D1040" s="26" t="str">
        <f t="array" ref="D10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25AD077</v>
      </c>
      <c r="E1040" s="32" t="str">
        <f t="array" ref="E10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A S </v>
      </c>
      <c r="F1040" s="26" t="str">
        <f t="array" ref="F10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0" s="26" t="str">
        <f t="array" ref="G10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40" s="26" t="str">
        <f t="array" ref="H1040">IF(
MOD(ROW()-2,6)=0,
INDEX('Form Responses'!I:I,INT((ROW()-2)/6)+2),
"-- NA --"
)</f>
        <v>+91 63857 39682</v>
      </c>
      <c r="I1040" s="32" t="str">
        <f t="array" ref="I1040">IF(
MOD(ROW()-2,6)=0,
INDEX('Form Responses'!J:J,INT((ROW()-2)/6)+2),
"-- NA --"
)</f>
        <v>janani.as2025aids@sece.ac.in</v>
      </c>
      <c r="J1040" s="29" t="str">
        <f t="array" ref="J1040">INDEX('Form Responses'!$D:$D,INT((ROW()-2)/6)+2)</f>
        <v>Hardware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>
      <c r="A1041" s="26">
        <v>1040.0</v>
      </c>
      <c r="B1041" s="33"/>
      <c r="C1041" s="26" t="s">
        <v>282</v>
      </c>
      <c r="D1041" s="26" t="str">
        <f t="array" ref="D10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25AD068</v>
      </c>
      <c r="E1041" s="32" t="str">
        <f t="array" ref="E10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HARSHAVARTHINI T </v>
      </c>
      <c r="F1041" s="26" t="str">
        <f t="array" ref="F10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1" s="26" t="str">
        <f t="array" ref="G10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41" s="26" t="str">
        <f t="array" ref="H1041">IF(
MOD(ROW()-2,6)=0,
INDEX('Form Responses'!I:I,INT((ROW()-2)/6)+2),
"-- NA --"
)</f>
        <v>-- NA --</v>
      </c>
      <c r="I1041" s="32" t="str">
        <f t="array" ref="I1041">IF(
MOD(ROW()-2,6)=0,
INDEX('Form Responses'!J:J,INT((ROW()-2)/6)+2),
"-- NA --"
)</f>
        <v>-- NA --</v>
      </c>
      <c r="J1041" s="33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>
      <c r="A1042" s="26">
        <v>1041.0</v>
      </c>
      <c r="B1042" s="33"/>
      <c r="C1042" s="26" t="s">
        <v>385</v>
      </c>
      <c r="D1042" s="26" t="str">
        <f t="array" ref="D10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25AD065</v>
      </c>
      <c r="E1042" s="32" t="str">
        <f t="array" ref="E10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HARISH K</v>
      </c>
      <c r="F1042" s="26" t="str">
        <f t="array" ref="F10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2" s="26" t="str">
        <f t="array" ref="G10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42" s="26" t="str">
        <f t="array" ref="H1042">IF(
MOD(ROW()-2,6)=0,
INDEX('Form Responses'!I:I,INT((ROW()-2)/6)+2),
"-- NA --"
)</f>
        <v>-- NA --</v>
      </c>
      <c r="I1042" s="32" t="str">
        <f t="array" ref="I1042">IF(
MOD(ROW()-2,6)=0,
INDEX('Form Responses'!J:J,INT((ROW()-2)/6)+2),
"-- NA --"
)</f>
        <v>-- NA --</v>
      </c>
      <c r="J1042" s="33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>
      <c r="A1043" s="26">
        <v>1042.0</v>
      </c>
      <c r="B1043" s="33"/>
      <c r="C1043" s="26" t="s">
        <v>425</v>
      </c>
      <c r="D1043" s="26" t="str">
        <f t="array" ref="D10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25AD094</v>
      </c>
      <c r="E1043" s="32" t="str">
        <f t="array" ref="E10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KASIRAJAN P</v>
      </c>
      <c r="F1043" s="26" t="str">
        <f t="array" ref="F10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3" s="26" t="str">
        <f t="array" ref="G10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43" s="26" t="str">
        <f t="array" ref="H1043">IF(
MOD(ROW()-2,6)=0,
INDEX('Form Responses'!I:I,INT((ROW()-2)/6)+2),
"-- NA --"
)</f>
        <v>-- NA --</v>
      </c>
      <c r="I1043" s="32" t="str">
        <f t="array" ref="I1043">IF(
MOD(ROW()-2,6)=0,
INDEX('Form Responses'!J:J,INT((ROW()-2)/6)+2),
"-- NA --"
)</f>
        <v>-- NA --</v>
      </c>
      <c r="J1043" s="33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>
      <c r="A1044" s="26">
        <v>1043.0</v>
      </c>
      <c r="B1044" s="33"/>
      <c r="C1044" s="26" t="s">
        <v>464</v>
      </c>
      <c r="D1044" s="26" t="str">
        <f t="array" ref="D10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25CS084</v>
      </c>
      <c r="E1044" s="32" t="str">
        <f t="array" ref="E10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JAYASHREE M</v>
      </c>
      <c r="F1044" s="26" t="str">
        <f t="array" ref="F10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4" s="26" t="str">
        <f t="array" ref="G10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44" s="26" t="str">
        <f t="array" ref="H1044">IF(
MOD(ROW()-2,6)=0,
INDEX('Form Responses'!I:I,INT((ROW()-2)/6)+2),
"-- NA --"
)</f>
        <v>-- NA --</v>
      </c>
      <c r="I1044" s="32" t="str">
        <f t="array" ref="I1044">IF(
MOD(ROW()-2,6)=0,
INDEX('Form Responses'!J:J,INT((ROW()-2)/6)+2),
"-- NA --"
)</f>
        <v>-- NA --</v>
      </c>
      <c r="J1044" s="33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>
      <c r="A1045" s="26">
        <v>1044.0</v>
      </c>
      <c r="B1045" s="6"/>
      <c r="C1045" s="26" t="s">
        <v>500</v>
      </c>
      <c r="D1045" s="26" t="str">
        <f t="array" ref="D10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25AM027</v>
      </c>
      <c r="E1045" s="32" t="str">
        <f t="array" ref="E10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GAYATHRI N</v>
      </c>
      <c r="F1045" s="26" t="str">
        <f t="array" ref="F10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5" s="26" t="str">
        <f t="array" ref="G10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45" s="26" t="str">
        <f t="array" ref="H1045">IF(
MOD(ROW()-2,6)=0,
INDEX('Form Responses'!I:I,INT((ROW()-2)/6)+2),
"-- NA --"
)</f>
        <v>-- NA --</v>
      </c>
      <c r="I1045" s="32" t="str">
        <f t="array" ref="I1045">IF(
MOD(ROW()-2,6)=0,
INDEX('Form Responses'!J:J,INT((ROW()-2)/6)+2),
"-- NA --"
)</f>
        <v>-- NA --</v>
      </c>
      <c r="J1045" s="6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>
      <c r="A1046" s="26">
        <v>1045.0</v>
      </c>
      <c r="B1046" s="29" t="str">
        <f t="array" ref="B1046">INDEX('Form Responses'!$C:$C,INT((ROW()-2)/6)+2)</f>
        <v>CODE SURVIVORS </v>
      </c>
      <c r="C1046" s="31" t="s">
        <v>140</v>
      </c>
      <c r="D1046" s="26" t="str">
        <f t="array" ref="D10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25CB031</v>
      </c>
      <c r="E1046" s="32" t="str">
        <f t="array" ref="E10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MUTHUSELVAN S </v>
      </c>
      <c r="F1046" s="26" t="str">
        <f t="array" ref="F10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6" s="26" t="str">
        <f t="array" ref="G10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46" s="26">
        <f t="array" ref="H1046">IF(
MOD(ROW()-2,6)=0,
INDEX('Form Responses'!I:I,INT((ROW()-2)/6)+2),
"-- NA --"
)</f>
        <v>7397059472</v>
      </c>
      <c r="I1046" s="32" t="str">
        <f t="array" ref="I1046">IF(
MOD(ROW()-2,6)=0,
INDEX('Form Responses'!J:J,INT((ROW()-2)/6)+2),
"-- NA --"
)</f>
        <v>muthuselvan.s2025csbs@sece.ac.in</v>
      </c>
      <c r="J1046" s="29" t="str">
        <f t="array" ref="J1046">INDEX('Form Responses'!$D:$D,INT((ROW()-2)/6)+2)</f>
        <v>Software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>
      <c r="A1047" s="26">
        <v>1046.0</v>
      </c>
      <c r="B1047" s="33"/>
      <c r="C1047" s="26" t="s">
        <v>282</v>
      </c>
      <c r="D1047" s="26" t="str">
        <f t="array" ref="D10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25CB013</v>
      </c>
      <c r="E1047" s="32" t="str">
        <f t="array" ref="E10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GODWIN NOVA PAUL D</v>
      </c>
      <c r="F1047" s="26" t="str">
        <f t="array" ref="F10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7" s="26" t="str">
        <f t="array" ref="G10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47" s="26" t="str">
        <f t="array" ref="H1047">IF(
MOD(ROW()-2,6)=0,
INDEX('Form Responses'!I:I,INT((ROW()-2)/6)+2),
"-- NA --"
)</f>
        <v>-- NA --</v>
      </c>
      <c r="I1047" s="32" t="str">
        <f t="array" ref="I1047">IF(
MOD(ROW()-2,6)=0,
INDEX('Form Responses'!J:J,INT((ROW()-2)/6)+2),
"-- NA --"
)</f>
        <v>-- NA --</v>
      </c>
      <c r="J1047" s="33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>
      <c r="A1048" s="26">
        <v>1047.0</v>
      </c>
      <c r="B1048" s="33"/>
      <c r="C1048" s="26" t="s">
        <v>385</v>
      </c>
      <c r="D1048" s="26" t="str">
        <f t="array" ref="D10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25CB016</v>
      </c>
      <c r="E1048" s="32" t="str">
        <f t="array" ref="E10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GOUTHAM K</v>
      </c>
      <c r="F1048" s="26" t="str">
        <f t="array" ref="F10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8" s="26" t="str">
        <f t="array" ref="G10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48" s="26" t="str">
        <f t="array" ref="H1048">IF(
MOD(ROW()-2,6)=0,
INDEX('Form Responses'!I:I,INT((ROW()-2)/6)+2),
"-- NA --"
)</f>
        <v>-- NA --</v>
      </c>
      <c r="I1048" s="32" t="str">
        <f t="array" ref="I1048">IF(
MOD(ROW()-2,6)=0,
INDEX('Form Responses'!J:J,INT((ROW()-2)/6)+2),
"-- NA --"
)</f>
        <v>-- NA --</v>
      </c>
      <c r="J1048" s="33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>
      <c r="A1049" s="26">
        <v>1048.0</v>
      </c>
      <c r="B1049" s="33"/>
      <c r="C1049" s="26" t="s">
        <v>425</v>
      </c>
      <c r="D1049" s="26" t="str">
        <f t="array" ref="D10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25CB029</v>
      </c>
      <c r="E1049" s="32" t="str">
        <f t="array" ref="E10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MOHAMMED SUHAIL J</v>
      </c>
      <c r="F1049" s="26" t="str">
        <f t="array" ref="F10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49" s="26" t="str">
        <f t="array" ref="G10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49" s="26" t="str">
        <f t="array" ref="H1049">IF(
MOD(ROW()-2,6)=0,
INDEX('Form Responses'!I:I,INT((ROW()-2)/6)+2),
"-- NA --"
)</f>
        <v>-- NA --</v>
      </c>
      <c r="I1049" s="32" t="str">
        <f t="array" ref="I1049">IF(
MOD(ROW()-2,6)=0,
INDEX('Form Responses'!J:J,INT((ROW()-2)/6)+2),
"-- NA --"
)</f>
        <v>-- NA --</v>
      </c>
      <c r="J1049" s="33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>
      <c r="A1050" s="26">
        <v>1049.0</v>
      </c>
      <c r="B1050" s="33"/>
      <c r="C1050" s="26" t="s">
        <v>464</v>
      </c>
      <c r="D1050" s="26" t="str">
        <f t="array" ref="D10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25EC036 </v>
      </c>
      <c r="E1050" s="32" t="str">
        <f t="array" ref="E10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DHANIA SHREE P  </v>
      </c>
      <c r="F1050" s="26" t="str">
        <f t="array" ref="F10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50" s="26" t="str">
        <f t="array" ref="G10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50" s="26" t="str">
        <f t="array" ref="H1050">IF(
MOD(ROW()-2,6)=0,
INDEX('Form Responses'!I:I,INT((ROW()-2)/6)+2),
"-- NA --"
)</f>
        <v>-- NA --</v>
      </c>
      <c r="I1050" s="32" t="str">
        <f t="array" ref="I1050">IF(
MOD(ROW()-2,6)=0,
INDEX('Form Responses'!J:J,INT((ROW()-2)/6)+2),
"-- NA --"
)</f>
        <v>-- NA --</v>
      </c>
      <c r="J1050" s="33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>
      <c r="A1051" s="26">
        <v>1050.0</v>
      </c>
      <c r="B1051" s="6"/>
      <c r="C1051" s="26" t="s">
        <v>500</v>
      </c>
      <c r="D1051" s="26" t="str">
        <f t="array" ref="D10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L6</v>
      </c>
      <c r="E1051" s="32" t="str">
        <f t="array" ref="E10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INDUMATHI V </v>
      </c>
      <c r="F1051" s="26" t="str">
        <f t="array" ref="F10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51" s="26" t="str">
        <f t="array" ref="G10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51" s="26" t="str">
        <f t="array" ref="H1051">IF(
MOD(ROW()-2,6)=0,
INDEX('Form Responses'!I:I,INT((ROW()-2)/6)+2),
"-- NA --"
)</f>
        <v>-- NA --</v>
      </c>
      <c r="I1051" s="32" t="str">
        <f t="array" ref="I1051">IF(
MOD(ROW()-2,6)=0,
INDEX('Form Responses'!J:J,INT((ROW()-2)/6)+2),
"-- NA --"
)</f>
        <v>-- NA --</v>
      </c>
      <c r="J1051" s="6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>
      <c r="A1052" s="26">
        <v>1051.0</v>
      </c>
      <c r="B1052" s="29" t="str">
        <f t="array" ref="B1052">INDEX('Form Responses'!$C:$C,INT((ROW()-2)/6)+2)</f>
        <v>LUMINEX</v>
      </c>
      <c r="C1052" s="31" t="s">
        <v>140</v>
      </c>
      <c r="D1052" s="26" t="str">
        <f t="array" ref="D10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24CB024</v>
      </c>
      <c r="E1052" s="32" t="str">
        <f t="array" ref="E10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MAHESWARA PANDIYAN A</v>
      </c>
      <c r="F1052" s="26" t="str">
        <f t="array" ref="F10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2" s="26" t="str">
        <f t="array" ref="G10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52" s="26">
        <f t="array" ref="H1052">IF(
MOD(ROW()-2,6)=0,
INDEX('Form Responses'!I:I,INT((ROW()-2)/6)+2),
"-- NA --"
)</f>
        <v>9994779320</v>
      </c>
      <c r="I1052" s="32" t="str">
        <f t="array" ref="I1052">IF(
MOD(ROW()-2,6)=0,
INDEX('Form Responses'!J:J,INT((ROW()-2)/6)+2),
"-- NA --"
)</f>
        <v>maheswarapandiyan.a2024csbs@sece.ac.in</v>
      </c>
      <c r="J1052" s="29" t="str">
        <f t="array" ref="J1052">INDEX('Form Responses'!$D:$D,INT((ROW()-2)/6)+2)</f>
        <v>Hardware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>
      <c r="A1053" s="26">
        <v>1052.0</v>
      </c>
      <c r="B1053" s="33"/>
      <c r="C1053" s="26" t="s">
        <v>282</v>
      </c>
      <c r="D1053" s="26" t="str">
        <f t="array" ref="D10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24CB010</v>
      </c>
      <c r="E1053" s="32" t="str">
        <f t="array" ref="E10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 VASAN V</v>
      </c>
      <c r="F1053" s="26" t="str">
        <f t="array" ref="F10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3" s="26" t="str">
        <f t="array" ref="G10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53" s="26" t="str">
        <f t="array" ref="H1053">IF(
MOD(ROW()-2,6)=0,
INDEX('Form Responses'!I:I,INT((ROW()-2)/6)+2),
"-- NA --"
)</f>
        <v>-- NA --</v>
      </c>
      <c r="I1053" s="32" t="str">
        <f t="array" ref="I1053">IF(
MOD(ROW()-2,6)=0,
INDEX('Form Responses'!J:J,INT((ROW()-2)/6)+2),
"-- NA --"
)</f>
        <v>-- NA --</v>
      </c>
      <c r="J1053" s="33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>
      <c r="A1054" s="26">
        <v>1053.0</v>
      </c>
      <c r="B1054" s="33"/>
      <c r="C1054" s="26" t="s">
        <v>385</v>
      </c>
      <c r="D1054" s="26" t="str">
        <f t="array" ref="D10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24CB047</v>
      </c>
      <c r="E1054" s="32" t="str">
        <f t="array" ref="E10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SIVAGANESH B</v>
      </c>
      <c r="F1054" s="26" t="str">
        <f t="array" ref="F10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4" s="26" t="str">
        <f t="array" ref="G10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54" s="26" t="str">
        <f t="array" ref="H1054">IF(
MOD(ROW()-2,6)=0,
INDEX('Form Responses'!I:I,INT((ROW()-2)/6)+2),
"-- NA --"
)</f>
        <v>-- NA --</v>
      </c>
      <c r="I1054" s="32" t="str">
        <f t="array" ref="I1054">IF(
MOD(ROW()-2,6)=0,
INDEX('Form Responses'!J:J,INT((ROW()-2)/6)+2),
"-- NA --"
)</f>
        <v>-- NA --</v>
      </c>
      <c r="J1054" s="33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>
      <c r="A1055" s="26">
        <v>1054.0</v>
      </c>
      <c r="B1055" s="33"/>
      <c r="C1055" s="26" t="s">
        <v>425</v>
      </c>
      <c r="D1055" s="26" t="str">
        <f t="array" ref="D10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24CB034</v>
      </c>
      <c r="E1055" s="32" t="str">
        <f t="array" ref="E10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PRENNITHE S G</v>
      </c>
      <c r="F1055" s="26" t="str">
        <f t="array" ref="F10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5" s="26" t="str">
        <f t="array" ref="G10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055" s="26" t="str">
        <f t="array" ref="H1055">IF(
MOD(ROW()-2,6)=0,
INDEX('Form Responses'!I:I,INT((ROW()-2)/6)+2),
"-- NA --"
)</f>
        <v>-- NA --</v>
      </c>
      <c r="I1055" s="32" t="str">
        <f t="array" ref="I1055">IF(
MOD(ROW()-2,6)=0,
INDEX('Form Responses'!J:J,INT((ROW()-2)/6)+2),
"-- NA --"
)</f>
        <v>-- NA --</v>
      </c>
      <c r="J1055" s="33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>
      <c r="A1056" s="26">
        <v>1055.0</v>
      </c>
      <c r="B1056" s="33"/>
      <c r="C1056" s="26" t="s">
        <v>464</v>
      </c>
      <c r="D1056" s="26" t="str">
        <f t="array" ref="D10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24EC101</v>
      </c>
      <c r="E1056" s="32" t="str">
        <f t="array" ref="E10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NAREN KISHORE R</v>
      </c>
      <c r="F1056" s="26" t="str">
        <f t="array" ref="F10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6" s="26" t="str">
        <f t="array" ref="G10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56" s="26" t="str">
        <f t="array" ref="H1056">IF(
MOD(ROW()-2,6)=0,
INDEX('Form Responses'!I:I,INT((ROW()-2)/6)+2),
"-- NA --"
)</f>
        <v>-- NA --</v>
      </c>
      <c r="I1056" s="32" t="str">
        <f t="array" ref="I1056">IF(
MOD(ROW()-2,6)=0,
INDEX('Form Responses'!J:J,INT((ROW()-2)/6)+2),
"-- NA --"
)</f>
        <v>-- NA --</v>
      </c>
      <c r="J1056" s="33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>
      <c r="A1057" s="26">
        <v>1056.0</v>
      </c>
      <c r="B1057" s="6"/>
      <c r="C1057" s="26" t="s">
        <v>500</v>
      </c>
      <c r="D1057" s="26" t="str">
        <f t="array" ref="D10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24EC099</v>
      </c>
      <c r="E1057" s="32" t="str">
        <f t="array" ref="E10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NADHIYA K</v>
      </c>
      <c r="F1057" s="26" t="str">
        <f t="array" ref="F10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57" s="26" t="str">
        <f t="array" ref="G10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57" s="26" t="str">
        <f t="array" ref="H1057">IF(
MOD(ROW()-2,6)=0,
INDEX('Form Responses'!I:I,INT((ROW()-2)/6)+2),
"-- NA --"
)</f>
        <v>-- NA --</v>
      </c>
      <c r="I1057" s="32" t="str">
        <f t="array" ref="I1057">IF(
MOD(ROW()-2,6)=0,
INDEX('Form Responses'!J:J,INT((ROW()-2)/6)+2),
"-- NA --"
)</f>
        <v>-- NA --</v>
      </c>
      <c r="J1057" s="6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>
      <c r="A1058" s="26">
        <v>1057.0</v>
      </c>
      <c r="B1058" s="29" t="str">
        <f t="array" ref="B1058">INDEX('Form Responses'!$C:$C,INT((ROW()-2)/6)+2)</f>
        <v>NOVAX</v>
      </c>
      <c r="C1058" s="31" t="s">
        <v>140</v>
      </c>
      <c r="D1058" s="26" t="str">
        <f t="array" ref="D10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25EC090</v>
      </c>
      <c r="E1058" s="32" t="str">
        <f t="array" ref="E10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MAHALAKSHMI A</v>
      </c>
      <c r="F1058" s="26" t="str">
        <f t="array" ref="F10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58" s="26" t="str">
        <f t="array" ref="G10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58" s="26">
        <f t="array" ref="H1058">IF(
MOD(ROW()-2,6)=0,
INDEX('Form Responses'!I:I,INT((ROW()-2)/6)+2),
"-- NA --"
)</f>
        <v>6374043156</v>
      </c>
      <c r="I1058" s="32" t="str">
        <f t="array" ref="I1058">IF(
MOD(ROW()-2,6)=0,
INDEX('Form Responses'!J:J,INT((ROW()-2)/6)+2),
"-- NA --"
)</f>
        <v>mahalakshmi.a2025ec@sece.ac.in</v>
      </c>
      <c r="J1058" s="29" t="str">
        <f t="array" ref="J1058">INDEX('Form Responses'!$D:$D,INT((ROW()-2)/6)+2)</f>
        <v>Software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>
      <c r="A1059" s="26">
        <v>1058.0</v>
      </c>
      <c r="B1059" s="33"/>
      <c r="C1059" s="26" t="s">
        <v>282</v>
      </c>
      <c r="D1059" s="26" t="str">
        <f t="array" ref="D10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25CS121</v>
      </c>
      <c r="E1059" s="32" t="str">
        <f t="array" ref="E10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MAHESHWARI P</v>
      </c>
      <c r="F1059" s="26" t="str">
        <f t="array" ref="F10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59" s="26" t="str">
        <f t="array" ref="G10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59" s="26" t="str">
        <f t="array" ref="H1059">IF(
MOD(ROW()-2,6)=0,
INDEX('Form Responses'!I:I,INT((ROW()-2)/6)+2),
"-- NA --"
)</f>
        <v>-- NA --</v>
      </c>
      <c r="I1059" s="32" t="str">
        <f t="array" ref="I1059">IF(
MOD(ROW()-2,6)=0,
INDEX('Form Responses'!J:J,INT((ROW()-2)/6)+2),
"-- NA --"
)</f>
        <v>-- NA --</v>
      </c>
      <c r="J1059" s="33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>
      <c r="A1060" s="26">
        <v>1059.0</v>
      </c>
      <c r="B1060" s="33"/>
      <c r="C1060" s="26" t="s">
        <v>385</v>
      </c>
      <c r="D1060" s="26" t="str">
        <f t="array" ref="D10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25CS091</v>
      </c>
      <c r="E1060" s="32" t="str">
        <f t="array" ref="E10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KALAISELVI V</v>
      </c>
      <c r="F1060" s="26" t="str">
        <f t="array" ref="F10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0" s="26" t="str">
        <f t="array" ref="G10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60" s="26" t="str">
        <f t="array" ref="H1060">IF(
MOD(ROW()-2,6)=0,
INDEX('Form Responses'!I:I,INT((ROW()-2)/6)+2),
"-- NA --"
)</f>
        <v>-- NA --</v>
      </c>
      <c r="I1060" s="32" t="str">
        <f t="array" ref="I1060">IF(
MOD(ROW()-2,6)=0,
INDEX('Form Responses'!J:J,INT((ROW()-2)/6)+2),
"-- NA --"
)</f>
        <v>-- NA --</v>
      </c>
      <c r="J1060" s="33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>
      <c r="A1061" s="26">
        <v>1060.0</v>
      </c>
      <c r="B1061" s="33"/>
      <c r="C1061" s="26" t="s">
        <v>425</v>
      </c>
      <c r="D1061" s="26" t="str">
        <f t="array" ref="D10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25CC047</v>
      </c>
      <c r="E1061" s="32" t="str">
        <f t="array" ref="E10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SASIKALA S</v>
      </c>
      <c r="F1061" s="26" t="str">
        <f t="array" ref="F10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1" s="26" t="str">
        <f t="array" ref="G10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061" s="26" t="str">
        <f t="array" ref="H1061">IF(
MOD(ROW()-2,6)=0,
INDEX('Form Responses'!I:I,INT((ROW()-2)/6)+2),
"-- NA --"
)</f>
        <v>-- NA --</v>
      </c>
      <c r="I1061" s="32" t="str">
        <f t="array" ref="I1061">IF(
MOD(ROW()-2,6)=0,
INDEX('Form Responses'!J:J,INT((ROW()-2)/6)+2),
"-- NA --"
)</f>
        <v>-- NA --</v>
      </c>
      <c r="J1061" s="33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>
      <c r="A1062" s="26">
        <v>1061.0</v>
      </c>
      <c r="B1062" s="33"/>
      <c r="C1062" s="26" t="s">
        <v>464</v>
      </c>
      <c r="D1062" s="26" t="str">
        <f t="array" ref="D10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25EC066</v>
      </c>
      <c r="E1062" s="32" t="str">
        <f t="array" ref="E10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KANIMOZHI T</v>
      </c>
      <c r="F1062" s="26" t="str">
        <f t="array" ref="F10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2" s="26" t="str">
        <f t="array" ref="G10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2" s="26" t="str">
        <f t="array" ref="H1062">IF(
MOD(ROW()-2,6)=0,
INDEX('Form Responses'!I:I,INT((ROW()-2)/6)+2),
"-- NA --"
)</f>
        <v>-- NA --</v>
      </c>
      <c r="I1062" s="32" t="str">
        <f t="array" ref="I1062">IF(
MOD(ROW()-2,6)=0,
INDEX('Form Responses'!J:J,INT((ROW()-2)/6)+2),
"-- NA --"
)</f>
        <v>-- NA --</v>
      </c>
      <c r="J1062" s="33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>
      <c r="A1063" s="26">
        <v>1062.0</v>
      </c>
      <c r="B1063" s="6"/>
      <c r="C1063" s="26" t="s">
        <v>500</v>
      </c>
      <c r="D1063" s="26" t="str">
        <f t="array" ref="D10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25EC064</v>
      </c>
      <c r="E1063" s="32" t="str">
        <f t="array" ref="E10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JOVIGHA K C</v>
      </c>
      <c r="F1063" s="26" t="str">
        <f t="array" ref="F10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3" s="26" t="str">
        <f t="array" ref="G10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3" s="26" t="str">
        <f t="array" ref="H1063">IF(
MOD(ROW()-2,6)=0,
INDEX('Form Responses'!I:I,INT((ROW()-2)/6)+2),
"-- NA --"
)</f>
        <v>-- NA --</v>
      </c>
      <c r="I1063" s="32" t="str">
        <f t="array" ref="I1063">IF(
MOD(ROW()-2,6)=0,
INDEX('Form Responses'!J:J,INT((ROW()-2)/6)+2),
"-- NA --"
)</f>
        <v>-- NA --</v>
      </c>
      <c r="J1063" s="6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>
      <c r="A1064" s="26">
        <v>1063.0</v>
      </c>
      <c r="B1064" s="29" t="str">
        <f t="array" ref="B1064">INDEX('Form Responses'!$C:$C,INT((ROW()-2)/6)+2)</f>
        <v>VISION MAKERS</v>
      </c>
      <c r="C1064" s="31" t="s">
        <v>140</v>
      </c>
      <c r="D1064" s="26" t="str">
        <f t="array" ref="D10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25EC034</v>
      </c>
      <c r="E1064" s="32" t="str">
        <f t="array" ref="E10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DEVADHARSHAN RP</v>
      </c>
      <c r="F1064" s="26" t="str">
        <f t="array" ref="F10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4" s="26" t="str">
        <f t="array" ref="G10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4" s="26" t="str">
        <f t="array" ref="H1064">IF(
MOD(ROW()-2,6)=0,
INDEX('Form Responses'!I:I,INT((ROW()-2)/6)+2),
"-- NA --"
)</f>
        <v>+91 82207 21753</v>
      </c>
      <c r="I1064" s="32" t="str">
        <f t="array" ref="I1064">IF(
MOD(ROW()-2,6)=0,
INDEX('Form Responses'!J:J,INT((ROW()-2)/6)+2),
"-- NA --"
)</f>
        <v>devdharshan.rp2025ece@sece.ac.in</v>
      </c>
      <c r="J1064" s="29" t="str">
        <f t="array" ref="J1064">INDEX('Form Responses'!$D:$D,INT((ROW()-2)/6)+2)</f>
        <v>Hardware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>
      <c r="A1065" s="26">
        <v>1064.0</v>
      </c>
      <c r="B1065" s="33"/>
      <c r="C1065" s="26" t="s">
        <v>282</v>
      </c>
      <c r="D1065" s="26" t="str">
        <f t="array" ref="D10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25EC002</v>
      </c>
      <c r="E1065" s="32" t="str">
        <f t="array" ref="E10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ABDULKALAM S</v>
      </c>
      <c r="F1065" s="26" t="str">
        <f t="array" ref="F10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5" s="26" t="str">
        <f t="array" ref="G10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5" s="26" t="str">
        <f t="array" ref="H1065">IF(
MOD(ROW()-2,6)=0,
INDEX('Form Responses'!I:I,INT((ROW()-2)/6)+2),
"-- NA --"
)</f>
        <v>-- NA --</v>
      </c>
      <c r="I1065" s="32" t="str">
        <f t="array" ref="I1065">IF(
MOD(ROW()-2,6)=0,
INDEX('Form Responses'!J:J,INT((ROW()-2)/6)+2),
"-- NA --"
)</f>
        <v>-- NA --</v>
      </c>
      <c r="J1065" s="33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>
      <c r="A1066" s="26">
        <v>1065.0</v>
      </c>
      <c r="B1066" s="33"/>
      <c r="C1066" s="26" t="s">
        <v>385</v>
      </c>
      <c r="D1066" s="26" t="str">
        <f t="array" ref="D10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25EC024</v>
      </c>
      <c r="E1066" s="32" t="str">
        <f t="array" ref="E10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BARATHSURIYA S</v>
      </c>
      <c r="F1066" s="26" t="str">
        <f t="array" ref="F10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6" s="26" t="str">
        <f t="array" ref="G10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6" s="26" t="str">
        <f t="array" ref="H1066">IF(
MOD(ROW()-2,6)=0,
INDEX('Form Responses'!I:I,INT((ROW()-2)/6)+2),
"-- NA --"
)</f>
        <v>-- NA --</v>
      </c>
      <c r="I1066" s="32" t="str">
        <f t="array" ref="I1066">IF(
MOD(ROW()-2,6)=0,
INDEX('Form Responses'!J:J,INT((ROW()-2)/6)+2),
"-- NA --"
)</f>
        <v>-- NA --</v>
      </c>
      <c r="J1066" s="33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>
      <c r="A1067" s="26">
        <v>1066.0</v>
      </c>
      <c r="B1067" s="33"/>
      <c r="C1067" s="26" t="s">
        <v>425</v>
      </c>
      <c r="D1067" s="26" t="str">
        <f t="array" ref="D10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25EC013</v>
      </c>
      <c r="E1067" s="32" t="str">
        <f t="array" ref="E10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AKSHYAKUMAR M</v>
      </c>
      <c r="F1067" s="26" t="str">
        <f t="array" ref="F10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7" s="26" t="str">
        <f t="array" ref="G10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67" s="26" t="str">
        <f t="array" ref="H1067">IF(
MOD(ROW()-2,6)=0,
INDEX('Form Responses'!I:I,INT((ROW()-2)/6)+2),
"-- NA --"
)</f>
        <v>-- NA --</v>
      </c>
      <c r="I1067" s="32" t="str">
        <f t="array" ref="I1067">IF(
MOD(ROW()-2,6)=0,
INDEX('Form Responses'!J:J,INT((ROW()-2)/6)+2),
"-- NA --"
)</f>
        <v>-- NA --</v>
      </c>
      <c r="J1067" s="33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>
      <c r="A1068" s="26">
        <v>1067.0</v>
      </c>
      <c r="B1068" s="33"/>
      <c r="C1068" s="26" t="s">
        <v>464</v>
      </c>
      <c r="D1068" s="26" t="str">
        <f t="array" ref="D10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25CS162</v>
      </c>
      <c r="E1068" s="32" t="str">
        <f t="array" ref="E10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NIVEDHA N</v>
      </c>
      <c r="F1068" s="26" t="str">
        <f t="array" ref="F10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8" s="26" t="str">
        <f t="array" ref="G10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68" s="26" t="str">
        <f t="array" ref="H1068">IF(
MOD(ROW()-2,6)=0,
INDEX('Form Responses'!I:I,INT((ROW()-2)/6)+2),
"-- NA --"
)</f>
        <v>-- NA --</v>
      </c>
      <c r="I1068" s="32" t="str">
        <f t="array" ref="I1068">IF(
MOD(ROW()-2,6)=0,
INDEX('Form Responses'!J:J,INT((ROW()-2)/6)+2),
"-- NA --"
)</f>
        <v>-- NA --</v>
      </c>
      <c r="J1068" s="33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>
      <c r="A1069" s="26">
        <v>1068.0</v>
      </c>
      <c r="B1069" s="6"/>
      <c r="C1069" s="26" t="s">
        <v>500</v>
      </c>
      <c r="D1069" s="26" t="str">
        <f t="array" ref="D10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25CS142</v>
      </c>
      <c r="E1069" s="32" t="str">
        <f t="array" ref="E10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NANDANA R</v>
      </c>
      <c r="F1069" s="26" t="str">
        <f t="array" ref="F10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69" s="26" t="str">
        <f t="array" ref="G10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69" s="26" t="str">
        <f t="array" ref="H1069">IF(
MOD(ROW()-2,6)=0,
INDEX('Form Responses'!I:I,INT((ROW()-2)/6)+2),
"-- NA --"
)</f>
        <v>-- NA --</v>
      </c>
      <c r="I1069" s="32" t="str">
        <f t="array" ref="I1069">IF(
MOD(ROW()-2,6)=0,
INDEX('Form Responses'!J:J,INT((ROW()-2)/6)+2),
"-- NA --"
)</f>
        <v>-- NA --</v>
      </c>
      <c r="J1069" s="6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>
      <c r="A1070" s="26">
        <v>1069.0</v>
      </c>
      <c r="B1070" s="29" t="str">
        <f t="array" ref="B1070">INDEX('Form Responses'!$C:$C,INT((ROW()-2)/6)+2)</f>
        <v>CEREBRUM MAX</v>
      </c>
      <c r="C1070" s="31" t="s">
        <v>140</v>
      </c>
      <c r="D1070" s="26" t="str">
        <f t="array" ref="D10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25EC051</v>
      </c>
      <c r="E1070" s="32" t="str">
        <f t="array" ref="E10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Prasath K</v>
      </c>
      <c r="F1070" s="26" t="str">
        <f t="array" ref="F10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0" s="26" t="str">
        <f t="array" ref="G10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70" s="26">
        <f t="array" ref="H1070">IF(
MOD(ROW()-2,6)=0,
INDEX('Form Responses'!I:I,INT((ROW()-2)/6)+2),
"-- NA --"
)</f>
        <v>7550029696</v>
      </c>
      <c r="I1070" s="32" t="str">
        <f t="array" ref="I1070">IF(
MOD(ROW()-2,6)=0,
INDEX('Form Responses'!J:J,INT((ROW()-2)/6)+2),
"-- NA --"
)</f>
        <v>hariprasath.k2025ece@sece.ac.in</v>
      </c>
      <c r="J1070" s="29" t="str">
        <f t="array" ref="J1070">INDEX('Form Responses'!$D:$D,INT((ROW()-2)/6)+2)</f>
        <v>Hardware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>
      <c r="A1071" s="26">
        <v>1070.0</v>
      </c>
      <c r="B1071" s="33"/>
      <c r="C1071" s="26" t="s">
        <v>282</v>
      </c>
      <c r="D1071" s="26" t="str">
        <f t="array" ref="D10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25EC022</v>
      </c>
      <c r="E1071" s="32" t="str">
        <f t="array" ref="E10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Aswin Kumar K</v>
      </c>
      <c r="F1071" s="26" t="str">
        <f t="array" ref="F10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1" s="26" t="str">
        <f t="array" ref="G10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71" s="26" t="str">
        <f t="array" ref="H1071">IF(
MOD(ROW()-2,6)=0,
INDEX('Form Responses'!I:I,INT((ROW()-2)/6)+2),
"-- NA --"
)</f>
        <v>-- NA --</v>
      </c>
      <c r="I1071" s="32" t="str">
        <f t="array" ref="I1071">IF(
MOD(ROW()-2,6)=0,
INDEX('Form Responses'!J:J,INT((ROW()-2)/6)+2),
"-- NA --"
)</f>
        <v>-- NA --</v>
      </c>
      <c r="J1071" s="33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>
      <c r="A1072" s="26">
        <v>1071.0</v>
      </c>
      <c r="B1072" s="33"/>
      <c r="C1072" s="26" t="s">
        <v>385</v>
      </c>
      <c r="D1072" s="26" t="str">
        <f t="array" ref="D10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25EC062</v>
      </c>
      <c r="E1072" s="32" t="str">
        <f t="array" ref="E10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 Agash R</v>
      </c>
      <c r="F1072" s="26" t="str">
        <f t="array" ref="F10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2" s="26" t="str">
        <f t="array" ref="G10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72" s="26" t="str">
        <f t="array" ref="H1072">IF(
MOD(ROW()-2,6)=0,
INDEX('Form Responses'!I:I,INT((ROW()-2)/6)+2),
"-- NA --"
)</f>
        <v>-- NA --</v>
      </c>
      <c r="I1072" s="32" t="str">
        <f t="array" ref="I1072">IF(
MOD(ROW()-2,6)=0,
INDEX('Form Responses'!J:J,INT((ROW()-2)/6)+2),
"-- NA --"
)</f>
        <v>-- NA --</v>
      </c>
      <c r="J1072" s="33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>
      <c r="A1073" s="26">
        <v>1072.0</v>
      </c>
      <c r="B1073" s="33"/>
      <c r="C1073" s="26" t="s">
        <v>425</v>
      </c>
      <c r="D1073" s="26" t="str">
        <f t="array" ref="D10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25EC029</v>
      </c>
      <c r="E1073" s="32" t="str">
        <f t="array" ref="E10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Chandru D</v>
      </c>
      <c r="F1073" s="26" t="str">
        <f t="array" ref="F10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3" s="26" t="str">
        <f t="array" ref="G10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73" s="26" t="str">
        <f t="array" ref="H1073">IF(
MOD(ROW()-2,6)=0,
INDEX('Form Responses'!I:I,INT((ROW()-2)/6)+2),
"-- NA --"
)</f>
        <v>-- NA --</v>
      </c>
      <c r="I1073" s="32" t="str">
        <f t="array" ref="I1073">IF(
MOD(ROW()-2,6)=0,
INDEX('Form Responses'!J:J,INT((ROW()-2)/6)+2),
"-- NA --"
)</f>
        <v>-- NA --</v>
      </c>
      <c r="J1073" s="33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>
      <c r="A1074" s="26">
        <v>1073.0</v>
      </c>
      <c r="B1074" s="33"/>
      <c r="C1074" s="26" t="s">
        <v>464</v>
      </c>
      <c r="D1074" s="26" t="str">
        <f t="array" ref="D10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25EE040</v>
      </c>
      <c r="E1074" s="32" t="str">
        <f t="array" ref="E10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Priyadharshini R</v>
      </c>
      <c r="F1074" s="26" t="str">
        <f t="array" ref="F10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4" s="26" t="str">
        <f t="array" ref="G10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74" s="26" t="str">
        <f t="array" ref="H1074">IF(
MOD(ROW()-2,6)=0,
INDEX('Form Responses'!I:I,INT((ROW()-2)/6)+2),
"-- NA --"
)</f>
        <v>-- NA --</v>
      </c>
      <c r="I1074" s="32" t="str">
        <f t="array" ref="I1074">IF(
MOD(ROW()-2,6)=0,
INDEX('Form Responses'!J:J,INT((ROW()-2)/6)+2),
"-- NA --"
)</f>
        <v>-- NA --</v>
      </c>
      <c r="J1074" s="33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>
      <c r="A1075" s="26">
        <v>1074.0</v>
      </c>
      <c r="B1075" s="6"/>
      <c r="C1075" s="26" t="s">
        <v>500</v>
      </c>
      <c r="D1075" s="26" t="str">
        <f t="array" ref="D10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25CS138</v>
      </c>
      <c r="E1075" s="32" t="str">
        <f t="array" ref="E10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Mukunda Priya M V</v>
      </c>
      <c r="F1075" s="26" t="str">
        <f t="array" ref="F10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5" s="26" t="str">
        <f t="array" ref="G10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075" s="26" t="str">
        <f t="array" ref="H1075">IF(
MOD(ROW()-2,6)=0,
INDEX('Form Responses'!I:I,INT((ROW()-2)/6)+2),
"-- NA --"
)</f>
        <v>-- NA --</v>
      </c>
      <c r="I1075" s="32" t="str">
        <f t="array" ref="I1075">IF(
MOD(ROW()-2,6)=0,
INDEX('Form Responses'!J:J,INT((ROW()-2)/6)+2),
"-- NA --"
)</f>
        <v>-- NA --</v>
      </c>
      <c r="J1075" s="6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>
      <c r="A1076" s="26">
        <v>1075.0</v>
      </c>
      <c r="B1076" s="29" t="str">
        <f t="array" ref="B1076">INDEX('Form Responses'!$C:$C,INT((ROW()-2)/6)+2)</f>
        <v>HEXFORGE</v>
      </c>
      <c r="C1076" s="31" t="s">
        <v>140</v>
      </c>
      <c r="D1076" s="26" t="str">
        <f t="array" ref="D10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25AD080</v>
      </c>
      <c r="E1076" s="32" t="str">
        <f t="array" ref="E10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JEETHESH M</v>
      </c>
      <c r="F1076" s="26" t="str">
        <f t="array" ref="F10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6" s="26" t="str">
        <f t="array" ref="G10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76" s="26">
        <f t="array" ref="H1076">IF(
MOD(ROW()-2,6)=0,
INDEX('Form Responses'!I:I,INT((ROW()-2)/6)+2),
"-- NA --"
)</f>
        <v>8838102020</v>
      </c>
      <c r="I1076" s="32" t="str">
        <f t="array" ref="I1076">IF(
MOD(ROW()-2,6)=0,
INDEX('Form Responses'!J:J,INT((ROW()-2)/6)+2),
"-- NA --"
)</f>
        <v>jeethesh.m2025aids@sece.ac.in</v>
      </c>
      <c r="J1076" s="29" t="str">
        <f t="array" ref="J1076">INDEX('Form Responses'!$D:$D,INT((ROW()-2)/6)+2)</f>
        <v>Software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>
      <c r="A1077" s="26">
        <v>1076.0</v>
      </c>
      <c r="B1077" s="33"/>
      <c r="C1077" s="26" t="s">
        <v>282</v>
      </c>
      <c r="D1077" s="26" t="str">
        <f t="array" ref="D10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25AD113</v>
      </c>
      <c r="E1077" s="32" t="str">
        <f t="array" ref="E10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MADHANRAJ S P</v>
      </c>
      <c r="F1077" s="26" t="str">
        <f t="array" ref="F10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7" s="26" t="str">
        <f t="array" ref="G10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77" s="26" t="str">
        <f t="array" ref="H1077">IF(
MOD(ROW()-2,6)=0,
INDEX('Form Responses'!I:I,INT((ROW()-2)/6)+2),
"-- NA --"
)</f>
        <v>-- NA --</v>
      </c>
      <c r="I1077" s="32" t="str">
        <f t="array" ref="I1077">IF(
MOD(ROW()-2,6)=0,
INDEX('Form Responses'!J:J,INT((ROW()-2)/6)+2),
"-- NA --"
)</f>
        <v>-- NA --</v>
      </c>
      <c r="J1077" s="33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>
      <c r="A1078" s="26">
        <v>1077.0</v>
      </c>
      <c r="B1078" s="33"/>
      <c r="C1078" s="26" t="s">
        <v>385</v>
      </c>
      <c r="D1078" s="26" t="str">
        <f t="array" ref="D10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25AD095</v>
      </c>
      <c r="E1078" s="32" t="str">
        <f t="array" ref="E10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KASTHURI DEVI S</v>
      </c>
      <c r="F1078" s="26" t="str">
        <f t="array" ref="F10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8" s="26" t="str">
        <f t="array" ref="G10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78" s="26" t="str">
        <f t="array" ref="H1078">IF(
MOD(ROW()-2,6)=0,
INDEX('Form Responses'!I:I,INT((ROW()-2)/6)+2),
"-- NA --"
)</f>
        <v>-- NA --</v>
      </c>
      <c r="I1078" s="32" t="str">
        <f t="array" ref="I1078">IF(
MOD(ROW()-2,6)=0,
INDEX('Form Responses'!J:J,INT((ROW()-2)/6)+2),
"-- NA --"
)</f>
        <v>-- NA --</v>
      </c>
      <c r="J1078" s="33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>
      <c r="A1079" s="26">
        <v>1078.0</v>
      </c>
      <c r="B1079" s="33"/>
      <c r="C1079" s="26" t="s">
        <v>425</v>
      </c>
      <c r="D1079" s="26" t="str">
        <f t="array" ref="D10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25AM072</v>
      </c>
      <c r="E1079" s="32" t="str">
        <f t="array" ref="E10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RAGUL R</v>
      </c>
      <c r="F1079" s="26" t="str">
        <f t="array" ref="F10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79" s="26" t="str">
        <f t="array" ref="G10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79" s="26" t="str">
        <f t="array" ref="H1079">IF(
MOD(ROW()-2,6)=0,
INDEX('Form Responses'!I:I,INT((ROW()-2)/6)+2),
"-- NA --"
)</f>
        <v>-- NA --</v>
      </c>
      <c r="I1079" s="32" t="str">
        <f t="array" ref="I1079">IF(
MOD(ROW()-2,6)=0,
INDEX('Form Responses'!J:J,INT((ROW()-2)/6)+2),
"-- NA --"
)</f>
        <v>-- NA --</v>
      </c>
      <c r="J1079" s="33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>
      <c r="A1080" s="26">
        <v>1079.0</v>
      </c>
      <c r="B1080" s="33"/>
      <c r="C1080" s="26" t="s">
        <v>464</v>
      </c>
      <c r="D1080" s="26" t="str">
        <f t="array" ref="D10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25SY044</v>
      </c>
      <c r="E1080" s="32" t="str">
        <f t="array" ref="E10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RITHANI R </v>
      </c>
      <c r="F1080" s="26" t="str">
        <f t="array" ref="F10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0" s="26" t="str">
        <f t="array" ref="G10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80" s="26" t="str">
        <f t="array" ref="H1080">IF(
MOD(ROW()-2,6)=0,
INDEX('Form Responses'!I:I,INT((ROW()-2)/6)+2),
"-- NA --"
)</f>
        <v>-- NA --</v>
      </c>
      <c r="I1080" s="32" t="str">
        <f t="array" ref="I1080">IF(
MOD(ROW()-2,6)=0,
INDEX('Form Responses'!J:J,INT((ROW()-2)/6)+2),
"-- NA --"
)</f>
        <v>-- NA --</v>
      </c>
      <c r="J1080" s="33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>
      <c r="A1081" s="26">
        <v>1080.0</v>
      </c>
      <c r="B1081" s="6"/>
      <c r="C1081" s="26" t="s">
        <v>500</v>
      </c>
      <c r="D1081" s="26" t="str">
        <f t="array" ref="D10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25SY057</v>
      </c>
      <c r="E1081" s="32" t="str">
        <f t="array" ref="E10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THANHA R</v>
      </c>
      <c r="F1081" s="26" t="str">
        <f t="array" ref="F10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1" s="26" t="str">
        <f t="array" ref="G10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081" s="26" t="str">
        <f t="array" ref="H1081">IF(
MOD(ROW()-2,6)=0,
INDEX('Form Responses'!I:I,INT((ROW()-2)/6)+2),
"-- NA --"
)</f>
        <v>-- NA --</v>
      </c>
      <c r="I1081" s="32" t="str">
        <f t="array" ref="I1081">IF(
MOD(ROW()-2,6)=0,
INDEX('Form Responses'!J:J,INT((ROW()-2)/6)+2),
"-- NA --"
)</f>
        <v>-- NA --</v>
      </c>
      <c r="J1081" s="6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>
      <c r="A1082" s="26">
        <v>1081.0</v>
      </c>
      <c r="B1082" s="29" t="str">
        <f t="array" ref="B1082">INDEX('Form Responses'!$C:$C,INT((ROW()-2)/6)+2)</f>
        <v>SPACE X</v>
      </c>
      <c r="C1082" s="31" t="s">
        <v>140</v>
      </c>
      <c r="D1082" s="26" t="str">
        <f t="array" ref="D10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25AM029</v>
      </c>
      <c r="E1082" s="56" t="str">
        <f t="array" ref="E10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Gokul.PN</v>
      </c>
      <c r="F1082" s="26" t="str">
        <f t="array" ref="F10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2" s="26" t="str">
        <f t="array" ref="G10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2" s="26">
        <f t="array" ref="H1082">IF(
MOD(ROW()-2,6)=0,
INDEX('Form Responses'!I:I,INT((ROW()-2)/6)+2),
"-- NA --"
)</f>
        <v>8489738089</v>
      </c>
      <c r="I1082" s="32" t="str">
        <f t="array" ref="I1082">IF(
MOD(ROW()-2,6)=0,
INDEX('Form Responses'!J:J,INT((ROW()-2)/6)+2),
"-- NA --"
)</f>
        <v>gokul.pn2025aiml@sece.ac.in</v>
      </c>
      <c r="J1082" s="29" t="str">
        <f t="array" ref="J1082">INDEX('Form Responses'!$D:$D,INT((ROW()-2)/6)+2)</f>
        <v>Software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>
      <c r="A1083" s="26">
        <v>1082.0</v>
      </c>
      <c r="B1083" s="33"/>
      <c r="C1083" s="26" t="s">
        <v>282</v>
      </c>
      <c r="D1083" s="26" t="str">
        <f t="array" ref="D10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entry </v>
      </c>
      <c r="E1083" s="32" t="str">
        <f t="array" ref="E10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Tharanidharan.M</v>
      </c>
      <c r="F1083" s="26" t="str">
        <f t="array" ref="F10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3" s="26" t="str">
        <f t="array" ref="G10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3" s="26" t="str">
        <f t="array" ref="H1083">IF(
MOD(ROW()-2,6)=0,
INDEX('Form Responses'!I:I,INT((ROW()-2)/6)+2),
"-- NA --"
)</f>
        <v>-- NA --</v>
      </c>
      <c r="I1083" s="32" t="str">
        <f t="array" ref="I1083">IF(
MOD(ROW()-2,6)=0,
INDEX('Form Responses'!J:J,INT((ROW()-2)/6)+2),
"-- NA --"
)</f>
        <v>-- NA --</v>
      </c>
      <c r="J1083" s="33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>
      <c r="A1084" s="26">
        <v>1083.0</v>
      </c>
      <c r="B1084" s="33"/>
      <c r="C1084" s="26" t="s">
        <v>385</v>
      </c>
      <c r="D1084" s="26" t="str">
        <f t="array" ref="D10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25AM032</v>
      </c>
      <c r="E1084" s="32" t="str">
        <f t="array" ref="E10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Gokulpriyan.k</v>
      </c>
      <c r="F1084" s="26" t="str">
        <f t="array" ref="F10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4" s="26" t="str">
        <f t="array" ref="G10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4" s="26" t="str">
        <f t="array" ref="H1084">IF(
MOD(ROW()-2,6)=0,
INDEX('Form Responses'!I:I,INT((ROW()-2)/6)+2),
"-- NA --"
)</f>
        <v>-- NA --</v>
      </c>
      <c r="I1084" s="32" t="str">
        <f t="array" ref="I1084">IF(
MOD(ROW()-2,6)=0,
INDEX('Form Responses'!J:J,INT((ROW()-2)/6)+2),
"-- NA --"
)</f>
        <v>-- NA --</v>
      </c>
      <c r="J1084" s="33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>
      <c r="A1085" s="26">
        <v>1084.0</v>
      </c>
      <c r="B1085" s="33"/>
      <c r="C1085" s="26" t="s">
        <v>425</v>
      </c>
      <c r="D1085" s="26" t="str">
        <f t="array" ref="D10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25EC087</v>
      </c>
      <c r="E1085" s="32" t="str">
        <f t="array" ref="E10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Lithish.R</v>
      </c>
      <c r="F1085" s="26" t="str">
        <f t="array" ref="F10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5" s="26" t="str">
        <f t="array" ref="G10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85" s="26" t="str">
        <f t="array" ref="H1085">IF(
MOD(ROW()-2,6)=0,
INDEX('Form Responses'!I:I,INT((ROW()-2)/6)+2),
"-- NA --"
)</f>
        <v>-- NA --</v>
      </c>
      <c r="I1085" s="32" t="str">
        <f t="array" ref="I1085">IF(
MOD(ROW()-2,6)=0,
INDEX('Form Responses'!J:J,INT((ROW()-2)/6)+2),
"-- NA --"
)</f>
        <v>-- NA --</v>
      </c>
      <c r="J1085" s="33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>
      <c r="A1086" s="26">
        <v>1085.0</v>
      </c>
      <c r="B1086" s="33"/>
      <c r="C1086" s="26" t="s">
        <v>464</v>
      </c>
      <c r="D1086" s="26" t="str">
        <f t="array" ref="D10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entry </v>
      </c>
      <c r="E1086" s="32" t="str">
        <f t="array" ref="E10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Farhana.H</v>
      </c>
      <c r="F1086" s="26" t="str">
        <f t="array" ref="F10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6" s="26" t="str">
        <f t="array" ref="G10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6" s="26" t="str">
        <f t="array" ref="H1086">IF(
MOD(ROW()-2,6)=0,
INDEX('Form Responses'!I:I,INT((ROW()-2)/6)+2),
"-- NA --"
)</f>
        <v>-- NA --</v>
      </c>
      <c r="I1086" s="32" t="str">
        <f t="array" ref="I1086">IF(
MOD(ROW()-2,6)=0,
INDEX('Form Responses'!J:J,INT((ROW()-2)/6)+2),
"-- NA --"
)</f>
        <v>-- NA --</v>
      </c>
      <c r="J1086" s="33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>
      <c r="A1087" s="26">
        <v>1086.0</v>
      </c>
      <c r="B1087" s="6"/>
      <c r="C1087" s="26" t="s">
        <v>500</v>
      </c>
      <c r="D1087" s="26" t="str">
        <f t="array" ref="D10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Lateral entry </v>
      </c>
      <c r="E1087" s="32" t="str">
        <f t="array" ref="E10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Kathija Banu K</v>
      </c>
      <c r="F1087" s="26" t="str">
        <f t="array" ref="F10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7" s="26" t="str">
        <f t="array" ref="G10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087" s="26" t="str">
        <f t="array" ref="H1087">IF(
MOD(ROW()-2,6)=0,
INDEX('Form Responses'!I:I,INT((ROW()-2)/6)+2),
"-- NA --"
)</f>
        <v>-- NA --</v>
      </c>
      <c r="I1087" s="32" t="str">
        <f t="array" ref="I1087">IF(
MOD(ROW()-2,6)=0,
INDEX('Form Responses'!J:J,INT((ROW()-2)/6)+2),
"-- NA --"
)</f>
        <v>-- NA --</v>
      </c>
      <c r="J1087" s="6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>
      <c r="A1088" s="26">
        <v>1087.0</v>
      </c>
      <c r="B1088" s="29" t="str">
        <f t="array" ref="B1088">INDEX('Form Responses'!$C:$C,INT((ROW()-2)/6)+2)</f>
        <v>AURORA</v>
      </c>
      <c r="C1088" s="31" t="s">
        <v>140</v>
      </c>
      <c r="D1088" s="26" t="str">
        <f t="array" ref="D10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25AM098</v>
      </c>
      <c r="E1088" s="32" t="str">
        <f t="array" ref="E10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SHWETHA S</v>
      </c>
      <c r="F1088" s="26" t="str">
        <f t="array" ref="F10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8" s="26" t="str">
        <f t="array" ref="G10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8" s="26">
        <f t="array" ref="H1088">IF(
MOD(ROW()-2,6)=0,
INDEX('Form Responses'!I:I,INT((ROW()-2)/6)+2),
"-- NA --"
)</f>
        <v>9345292221</v>
      </c>
      <c r="I1088" s="32" t="str">
        <f t="array" ref="I1088">IF(
MOD(ROW()-2,6)=0,
INDEX('Form Responses'!J:J,INT((ROW()-2)/6)+2),
"-- NA --"
)</f>
        <v>shwetha.s2025aiml@sece.ac.in</v>
      </c>
      <c r="J1088" s="29" t="str">
        <f t="array" ref="J1088">INDEX('Form Responses'!$D:$D,INT((ROW()-2)/6)+2)</f>
        <v>Hardware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>
      <c r="A1089" s="26">
        <v>1088.0</v>
      </c>
      <c r="B1089" s="33"/>
      <c r="C1089" s="26" t="s">
        <v>282</v>
      </c>
      <c r="D1089" s="26" t="str">
        <f t="array" ref="D10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25AM089</v>
      </c>
      <c r="E1089" s="32" t="str">
        <f t="array" ref="E10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SANTHARAM S</v>
      </c>
      <c r="F1089" s="26" t="str">
        <f t="array" ref="F10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89" s="26" t="str">
        <f t="array" ref="G10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89" s="26" t="str">
        <f t="array" ref="H1089">IF(
MOD(ROW()-2,6)=0,
INDEX('Form Responses'!I:I,INT((ROW()-2)/6)+2),
"-- NA --"
)</f>
        <v>-- NA --</v>
      </c>
      <c r="I1089" s="32" t="str">
        <f t="array" ref="I1089">IF(
MOD(ROW()-2,6)=0,
INDEX('Form Responses'!J:J,INT((ROW()-2)/6)+2),
"-- NA --"
)</f>
        <v>-- NA --</v>
      </c>
      <c r="J1089" s="33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>
      <c r="A1090" s="26">
        <v>1089.0</v>
      </c>
      <c r="B1090" s="33"/>
      <c r="C1090" s="26" t="s">
        <v>385</v>
      </c>
      <c r="D1090" s="26" t="str">
        <f t="array" ref="D10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25AM066</v>
      </c>
      <c r="E1090" s="32" t="str">
        <f t="array" ref="E10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ZHARIF A M </v>
      </c>
      <c r="F1090" s="26" t="str">
        <f t="array" ref="F10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90" s="26" t="str">
        <f t="array" ref="G10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090" s="26" t="str">
        <f t="array" ref="H1090">IF(
MOD(ROW()-2,6)=0,
INDEX('Form Responses'!I:I,INT((ROW()-2)/6)+2),
"-- NA --"
)</f>
        <v>-- NA --</v>
      </c>
      <c r="I1090" s="32" t="str">
        <f t="array" ref="I1090">IF(
MOD(ROW()-2,6)=0,
INDEX('Form Responses'!J:J,INT((ROW()-2)/6)+2),
"-- NA --"
)</f>
        <v>-- NA --</v>
      </c>
      <c r="J1090" s="33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>
      <c r="A1091" s="26">
        <v>1090.0</v>
      </c>
      <c r="B1091" s="33"/>
      <c r="C1091" s="26" t="s">
        <v>425</v>
      </c>
      <c r="D1091" s="26" t="str">
        <f t="array" ref="D10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25CC017 </v>
      </c>
      <c r="E1091" s="32" t="str">
        <f t="array" ref="E10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JASNA M</v>
      </c>
      <c r="F1091" s="26" t="str">
        <f t="array" ref="F10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91" s="26" t="str">
        <f t="array" ref="G10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091" s="26" t="str">
        <f t="array" ref="H1091">IF(
MOD(ROW()-2,6)=0,
INDEX('Form Responses'!I:I,INT((ROW()-2)/6)+2),
"-- NA --"
)</f>
        <v>-- NA --</v>
      </c>
      <c r="I1091" s="32" t="str">
        <f t="array" ref="I1091">IF(
MOD(ROW()-2,6)=0,
INDEX('Form Responses'!J:J,INT((ROW()-2)/6)+2),
"-- NA --"
)</f>
        <v>-- NA --</v>
      </c>
      <c r="J1091" s="33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>
      <c r="A1092" s="26">
        <v>1091.0</v>
      </c>
      <c r="B1092" s="33"/>
      <c r="C1092" s="26" t="s">
        <v>464</v>
      </c>
      <c r="D1092" s="26" t="str">
        <f t="array" ref="D10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25CC036</v>
      </c>
      <c r="E1092" s="32" t="str">
        <f t="array" ref="E10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OVIYA C</v>
      </c>
      <c r="F1092" s="26" t="str">
        <f t="array" ref="F10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92" s="26" t="str">
        <f t="array" ref="G10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092" s="26" t="str">
        <f t="array" ref="H1092">IF(
MOD(ROW()-2,6)=0,
INDEX('Form Responses'!I:I,INT((ROW()-2)/6)+2),
"-- NA --"
)</f>
        <v>-- NA --</v>
      </c>
      <c r="I1092" s="32" t="str">
        <f t="array" ref="I1092">IF(
MOD(ROW()-2,6)=0,
INDEX('Form Responses'!J:J,INT((ROW()-2)/6)+2),
"-- NA --"
)</f>
        <v>-- NA --</v>
      </c>
      <c r="J1092" s="33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>
      <c r="A1093" s="26">
        <v>1092.0</v>
      </c>
      <c r="B1093" s="6"/>
      <c r="C1093" s="26" t="s">
        <v>500</v>
      </c>
      <c r="D1093" s="26" t="str">
        <f t="array" ref="D10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25CC028</v>
      </c>
      <c r="E1093" s="32" t="str">
        <f t="array" ref="E10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MADESH M</v>
      </c>
      <c r="F1093" s="26" t="str">
        <f t="array" ref="F10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093" s="26" t="str">
        <f t="array" ref="G10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093" s="26" t="str">
        <f t="array" ref="H1093">IF(
MOD(ROW()-2,6)=0,
INDEX('Form Responses'!I:I,INT((ROW()-2)/6)+2),
"-- NA --"
)</f>
        <v>-- NA --</v>
      </c>
      <c r="I1093" s="32" t="str">
        <f t="array" ref="I1093">IF(
MOD(ROW()-2,6)=0,
INDEX('Form Responses'!J:J,INT((ROW()-2)/6)+2),
"-- NA --"
)</f>
        <v>-- NA --</v>
      </c>
      <c r="J1093" s="6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>
      <c r="A1094" s="26">
        <v>1093.0</v>
      </c>
      <c r="B1094" s="29" t="str">
        <f t="array" ref="B1094">INDEX('Form Responses'!$C:$C,INT((ROW()-2)/6)+2)</f>
        <v>TEAM - ZENITH</v>
      </c>
      <c r="C1094" s="31" t="s">
        <v>140</v>
      </c>
      <c r="D1094" s="26" t="str">
        <f t="array" ref="D10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24EC076</v>
      </c>
      <c r="E1094" s="32" t="str">
        <f t="array" ref="E10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KRISHNA KAND S</v>
      </c>
      <c r="F1094" s="26" t="str">
        <f t="array" ref="F10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4" s="26" t="str">
        <f t="array" ref="G10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94" s="26">
        <f t="array" ref="H1094">IF(
MOD(ROW()-2,6)=0,
INDEX('Form Responses'!I:I,INT((ROW()-2)/6)+2),
"-- NA --"
)</f>
        <v>9789603102</v>
      </c>
      <c r="I1094" s="32" t="str">
        <f t="array" ref="I1094">IF(
MOD(ROW()-2,6)=0,
INDEX('Form Responses'!J:J,INT((ROW()-2)/6)+2),
"-- NA --"
)</f>
        <v>krishnakand.s2024ece@sece.ac.in</v>
      </c>
      <c r="J1094" s="29" t="str">
        <f t="array" ref="J1094">INDEX('Form Responses'!$D:$D,INT((ROW()-2)/6)+2)</f>
        <v>Hardware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>
      <c r="A1095" s="26">
        <v>1094.0</v>
      </c>
      <c r="B1095" s="33"/>
      <c r="C1095" s="26" t="s">
        <v>282</v>
      </c>
      <c r="D1095" s="26" t="str">
        <f t="array" ref="D10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24EC137</v>
      </c>
      <c r="E1095" s="32" t="str">
        <f t="array" ref="E10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SANDHIYA A</v>
      </c>
      <c r="F1095" s="26" t="str">
        <f t="array" ref="F10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5" s="26" t="str">
        <f t="array" ref="G10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95" s="26" t="str">
        <f t="array" ref="H1095">IF(
MOD(ROW()-2,6)=0,
INDEX('Form Responses'!I:I,INT((ROW()-2)/6)+2),
"-- NA --"
)</f>
        <v>-- NA --</v>
      </c>
      <c r="I1095" s="32" t="str">
        <f t="array" ref="I1095">IF(
MOD(ROW()-2,6)=0,
INDEX('Form Responses'!J:J,INT((ROW()-2)/6)+2),
"-- NA --"
)</f>
        <v>-- NA --</v>
      </c>
      <c r="J1095" s="33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>
      <c r="A1096" s="26">
        <v>1095.0</v>
      </c>
      <c r="B1096" s="33"/>
      <c r="C1096" s="26" t="s">
        <v>385</v>
      </c>
      <c r="D1096" s="26" t="str">
        <f t="array" ref="D10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24EC062</v>
      </c>
      <c r="E1096" s="32" t="str">
        <f t="array" ref="E10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JEYASRI J</v>
      </c>
      <c r="F1096" s="26" t="str">
        <f t="array" ref="F10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6" s="26" t="str">
        <f t="array" ref="G10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096" s="26" t="str">
        <f t="array" ref="H1096">IF(
MOD(ROW()-2,6)=0,
INDEX('Form Responses'!I:I,INT((ROW()-2)/6)+2),
"-- NA --"
)</f>
        <v>-- NA --</v>
      </c>
      <c r="I1096" s="32" t="str">
        <f t="array" ref="I1096">IF(
MOD(ROW()-2,6)=0,
INDEX('Form Responses'!J:J,INT((ROW()-2)/6)+2),
"-- NA --"
)</f>
        <v>-- NA --</v>
      </c>
      <c r="J1096" s="33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>
      <c r="A1097" s="26">
        <v>1096.0</v>
      </c>
      <c r="B1097" s="33"/>
      <c r="C1097" s="26" t="s">
        <v>425</v>
      </c>
      <c r="D1097" s="26" t="str">
        <f t="array" ref="D10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24AD210</v>
      </c>
      <c r="E1097" s="32" t="str">
        <f t="array" ref="E10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SIVASATHYA S</v>
      </c>
      <c r="F1097" s="26" t="str">
        <f t="array" ref="F10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7" s="26" t="str">
        <f t="array" ref="G10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97" s="26" t="str">
        <f t="array" ref="H1097">IF(
MOD(ROW()-2,6)=0,
INDEX('Form Responses'!I:I,INT((ROW()-2)/6)+2),
"-- NA --"
)</f>
        <v>-- NA --</v>
      </c>
      <c r="I1097" s="32" t="str">
        <f t="array" ref="I1097">IF(
MOD(ROW()-2,6)=0,
INDEX('Form Responses'!J:J,INT((ROW()-2)/6)+2),
"-- NA --"
)</f>
        <v>-- NA --</v>
      </c>
      <c r="J1097" s="33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>
      <c r="A1098" s="26">
        <v>1097.0</v>
      </c>
      <c r="B1098" s="33"/>
      <c r="C1098" s="26" t="s">
        <v>464</v>
      </c>
      <c r="D1098" s="26" t="str">
        <f t="array" ref="D10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24AD073</v>
      </c>
      <c r="E1098" s="32" t="str">
        <f t="array" ref="E10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 AVINASH M J</v>
      </c>
      <c r="F1098" s="26" t="str">
        <f t="array" ref="F10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8" s="26" t="str">
        <f t="array" ref="G10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098" s="26" t="str">
        <f t="array" ref="H1098">IF(
MOD(ROW()-2,6)=0,
INDEX('Form Responses'!I:I,INT((ROW()-2)/6)+2),
"-- NA --"
)</f>
        <v>-- NA --</v>
      </c>
      <c r="I1098" s="32" t="str">
        <f t="array" ref="I1098">IF(
MOD(ROW()-2,6)=0,
INDEX('Form Responses'!J:J,INT((ROW()-2)/6)+2),
"-- NA --"
)</f>
        <v>-- NA --</v>
      </c>
      <c r="J1098" s="33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>
      <c r="A1099" s="26">
        <v>1098.0</v>
      </c>
      <c r="B1099" s="6"/>
      <c r="C1099" s="26" t="s">
        <v>500</v>
      </c>
      <c r="D1099" s="26" t="str">
        <f t="array" ref="D10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24EE021</v>
      </c>
      <c r="E1099" s="32" t="str">
        <f t="array" ref="E10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MADHUMITHA M</v>
      </c>
      <c r="F1099" s="26" t="str">
        <f t="array" ref="F10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099" s="26" t="str">
        <f t="array" ref="G10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099" s="26" t="str">
        <f t="array" ref="H1099">IF(
MOD(ROW()-2,6)=0,
INDEX('Form Responses'!I:I,INT((ROW()-2)/6)+2),
"-- NA --"
)</f>
        <v>-- NA --</v>
      </c>
      <c r="I1099" s="32" t="str">
        <f t="array" ref="I1099">IF(
MOD(ROW()-2,6)=0,
INDEX('Form Responses'!J:J,INT((ROW()-2)/6)+2),
"-- NA --"
)</f>
        <v>-- NA --</v>
      </c>
      <c r="J1099" s="6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>
      <c r="A1100" s="26">
        <v>1099.0</v>
      </c>
      <c r="B1100" s="29" t="str">
        <f t="array" ref="B1100">INDEX('Form Responses'!$C:$C,INT((ROW()-2)/6)+2)</f>
        <v>LAYER ZERO</v>
      </c>
      <c r="C1100" s="31" t="s">
        <v>140</v>
      </c>
      <c r="D1100" s="26" t="str">
        <f t="array" ref="D11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24EE033</v>
      </c>
      <c r="E1100" s="32" t="str">
        <f t="array" ref="E11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NISHANTHNATESH K</v>
      </c>
      <c r="F1100" s="26" t="str">
        <f t="array" ref="F11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0" s="26" t="str">
        <f t="array" ref="G11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00" s="26">
        <f t="array" ref="H1100">IF(
MOD(ROW()-2,6)=0,
INDEX('Form Responses'!I:I,INT((ROW()-2)/6)+2),
"-- NA --"
)</f>
        <v>7339162279</v>
      </c>
      <c r="I1100" s="32" t="str">
        <f t="array" ref="I1100">IF(
MOD(ROW()-2,6)=0,
INDEX('Form Responses'!J:J,INT((ROW()-2)/6)+2),
"-- NA --"
)</f>
        <v>nishanthnatesh.k2024eee@sece.ac.in</v>
      </c>
      <c r="J1100" s="29" t="str">
        <f t="array" ref="J1100">INDEX('Form Responses'!$D:$D,INT((ROW()-2)/6)+2)</f>
        <v>Software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>
      <c r="A1101" s="26">
        <v>1100.0</v>
      </c>
      <c r="B1101" s="33"/>
      <c r="C1101" s="26" t="s">
        <v>282</v>
      </c>
      <c r="D1101" s="26" t="str">
        <f t="array" ref="D11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24EE005</v>
      </c>
      <c r="E1101" s="32" t="str">
        <f t="array" ref="E11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 T</v>
      </c>
      <c r="F1101" s="26" t="str">
        <f t="array" ref="F11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1" s="26" t="str">
        <f t="array" ref="G11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01" s="26" t="str">
        <f t="array" ref="H1101">IF(
MOD(ROW()-2,6)=0,
INDEX('Form Responses'!I:I,INT((ROW()-2)/6)+2),
"-- NA --"
)</f>
        <v>-- NA --</v>
      </c>
      <c r="I1101" s="32" t="str">
        <f t="array" ref="I1101">IF(
MOD(ROW()-2,6)=0,
INDEX('Form Responses'!J:J,INT((ROW()-2)/6)+2),
"-- NA --"
)</f>
        <v>-- NA --</v>
      </c>
      <c r="J1101" s="33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>
      <c r="A1102" s="26">
        <v>1101.0</v>
      </c>
      <c r="B1102" s="33"/>
      <c r="C1102" s="26" t="s">
        <v>385</v>
      </c>
      <c r="D1102" s="26" t="str">
        <f t="array" ref="D11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24AM029</v>
      </c>
      <c r="E1102" s="32" t="str">
        <f t="array" ref="E11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HARIHARAN A</v>
      </c>
      <c r="F1102" s="26" t="str">
        <f t="array" ref="F11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2" s="26" t="str">
        <f t="array" ref="G11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02" s="26" t="str">
        <f t="array" ref="H1102">IF(
MOD(ROW()-2,6)=0,
INDEX('Form Responses'!I:I,INT((ROW()-2)/6)+2),
"-- NA --"
)</f>
        <v>-- NA --</v>
      </c>
      <c r="I1102" s="32" t="str">
        <f t="array" ref="I1102">IF(
MOD(ROW()-2,6)=0,
INDEX('Form Responses'!J:J,INT((ROW()-2)/6)+2),
"-- NA --"
)</f>
        <v>-- NA --</v>
      </c>
      <c r="J1102" s="33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>
      <c r="A1103" s="26">
        <v>1102.0</v>
      </c>
      <c r="B1103" s="33"/>
      <c r="C1103" s="26" t="s">
        <v>425</v>
      </c>
      <c r="D1103" s="26" t="str">
        <f t="array" ref="D11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25EE056</v>
      </c>
      <c r="E1103" s="32" t="str">
        <f t="array" ref="E11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UTHRARAJ K M</v>
      </c>
      <c r="F1103" s="26" t="str">
        <f t="array" ref="F11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03" s="26" t="str">
        <f t="array" ref="G11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03" s="26" t="str">
        <f t="array" ref="H1103">IF(
MOD(ROW()-2,6)=0,
INDEX('Form Responses'!I:I,INT((ROW()-2)/6)+2),
"-- NA --"
)</f>
        <v>-- NA --</v>
      </c>
      <c r="I1103" s="32" t="str">
        <f t="array" ref="I1103">IF(
MOD(ROW()-2,6)=0,
INDEX('Form Responses'!J:J,INT((ROW()-2)/6)+2),
"-- NA --"
)</f>
        <v>-- NA --</v>
      </c>
      <c r="J1103" s="33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>
      <c r="A1104" s="26">
        <v>1103.0</v>
      </c>
      <c r="B1104" s="33"/>
      <c r="C1104" s="26" t="s">
        <v>464</v>
      </c>
      <c r="D1104" s="26" t="str">
        <f t="array" ref="D11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25CC030</v>
      </c>
      <c r="E1104" s="32" t="str">
        <f t="array" ref="E11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MANUSHRI S S</v>
      </c>
      <c r="F1104" s="26" t="str">
        <f t="array" ref="F11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04" s="26" t="str">
        <f t="array" ref="G11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04" s="26" t="str">
        <f t="array" ref="H1104">IF(
MOD(ROW()-2,6)=0,
INDEX('Form Responses'!I:I,INT((ROW()-2)/6)+2),
"-- NA --"
)</f>
        <v>-- NA --</v>
      </c>
      <c r="I1104" s="32" t="str">
        <f t="array" ref="I1104">IF(
MOD(ROW()-2,6)=0,
INDEX('Form Responses'!J:J,INT((ROW()-2)/6)+2),
"-- NA --"
)</f>
        <v>-- NA --</v>
      </c>
      <c r="J1104" s="33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>
      <c r="A1105" s="26">
        <v>1104.0</v>
      </c>
      <c r="B1105" s="6"/>
      <c r="C1105" s="26" t="s">
        <v>500</v>
      </c>
      <c r="D1105" s="26" t="str">
        <f t="array" ref="D11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25CC003</v>
      </c>
      <c r="E1105" s="32" t="str">
        <f t="array" ref="E11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ARTHIKA M S</v>
      </c>
      <c r="F1105" s="26" t="str">
        <f t="array" ref="F11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05" s="26" t="str">
        <f t="array" ref="G11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05" s="26" t="str">
        <f t="array" ref="H1105">IF(
MOD(ROW()-2,6)=0,
INDEX('Form Responses'!I:I,INT((ROW()-2)/6)+2),
"-- NA --"
)</f>
        <v>-- NA --</v>
      </c>
      <c r="I1105" s="32" t="str">
        <f t="array" ref="I1105">IF(
MOD(ROW()-2,6)=0,
INDEX('Form Responses'!J:J,INT((ROW()-2)/6)+2),
"-- NA --"
)</f>
        <v>-- NA --</v>
      </c>
      <c r="J1105" s="6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>
      <c r="A1106" s="26">
        <v>1105.0</v>
      </c>
      <c r="B1106" s="29" t="str">
        <f t="array" ref="B1106">INDEX('Form Responses'!$C:$C,INT((ROW()-2)/6)+2)</f>
        <v>ERROR-429</v>
      </c>
      <c r="C1106" s="31" t="s">
        <v>140</v>
      </c>
      <c r="D1106" s="26" t="str">
        <f t="array" ref="D11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24AM121</v>
      </c>
      <c r="E1106" s="32" t="str">
        <f t="array" ref="E11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Vivek K K</v>
      </c>
      <c r="F1106" s="26" t="str">
        <f t="array" ref="F11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6" s="26" t="str">
        <f t="array" ref="G11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06" s="26">
        <f t="array" ref="H1106">IF(
MOD(ROW()-2,6)=0,
INDEX('Form Responses'!I:I,INT((ROW()-2)/6)+2),
"-- NA --"
)</f>
        <v>8667035123</v>
      </c>
      <c r="I1106" s="32" t="str">
        <f t="array" ref="I1106">IF(
MOD(ROW()-2,6)=0,
INDEX('Form Responses'!J:J,INT((ROW()-2)/6)+2),
"-- NA --"
)</f>
        <v>vivek.kk2024aiml@sece.ac.in</v>
      </c>
      <c r="J1106" s="29" t="str">
        <f t="array" ref="J1106">INDEX('Form Responses'!$D:$D,INT((ROW()-2)/6)+2)</f>
        <v>Software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>
      <c r="A1107" s="26">
        <v>1106.0</v>
      </c>
      <c r="B1107" s="33"/>
      <c r="C1107" s="26" t="s">
        <v>282</v>
      </c>
      <c r="D1107" s="26" t="str">
        <f t="array" ref="D11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24AM096</v>
      </c>
      <c r="E1107" s="32" t="str">
        <f t="array" ref="E11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Shudharshan P</v>
      </c>
      <c r="F1107" s="26" t="str">
        <f t="array" ref="F11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7" s="26" t="str">
        <f t="array" ref="G11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07" s="26" t="str">
        <f t="array" ref="H1107">IF(
MOD(ROW()-2,6)=0,
INDEX('Form Responses'!I:I,INT((ROW()-2)/6)+2),
"-- NA --"
)</f>
        <v>-- NA --</v>
      </c>
      <c r="I1107" s="32" t="str">
        <f t="array" ref="I1107">IF(
MOD(ROW()-2,6)=0,
INDEX('Form Responses'!J:J,INT((ROW()-2)/6)+2),
"-- NA --"
)</f>
        <v>-- NA --</v>
      </c>
      <c r="J1107" s="33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>
      <c r="A1108" s="26">
        <v>1107.0</v>
      </c>
      <c r="B1108" s="33"/>
      <c r="C1108" s="26" t="s">
        <v>385</v>
      </c>
      <c r="D1108" s="26" t="str">
        <f t="array" ref="D11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24AM113</v>
      </c>
      <c r="E1108" s="32" t="str">
        <f t="array" ref="E11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Venkatesh B</v>
      </c>
      <c r="F1108" s="26" t="str">
        <f t="array" ref="F11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8" s="26" t="str">
        <f t="array" ref="G11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08" s="26" t="str">
        <f t="array" ref="H1108">IF(
MOD(ROW()-2,6)=0,
INDEX('Form Responses'!I:I,INT((ROW()-2)/6)+2),
"-- NA --"
)</f>
        <v>-- NA --</v>
      </c>
      <c r="I1108" s="32" t="str">
        <f t="array" ref="I1108">IF(
MOD(ROW()-2,6)=0,
INDEX('Form Responses'!J:J,INT((ROW()-2)/6)+2),
"-- NA --"
)</f>
        <v>-- NA --</v>
      </c>
      <c r="J1108" s="33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>
      <c r="A1109" s="26">
        <v>1108.0</v>
      </c>
      <c r="B1109" s="33"/>
      <c r="C1109" s="26" t="s">
        <v>425</v>
      </c>
      <c r="D1109" s="26" t="str">
        <f t="array" ref="D11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24AM090</v>
      </c>
      <c r="E1109" s="32" t="str">
        <f t="array" ref="E11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Sarvesh D </v>
      </c>
      <c r="F1109" s="26" t="str">
        <f t="array" ref="F11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09" s="26" t="str">
        <f t="array" ref="G11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09" s="26" t="str">
        <f t="array" ref="H1109">IF(
MOD(ROW()-2,6)=0,
INDEX('Form Responses'!I:I,INT((ROW()-2)/6)+2),
"-- NA --"
)</f>
        <v>-- NA --</v>
      </c>
      <c r="I1109" s="32" t="str">
        <f t="array" ref="I1109">IF(
MOD(ROW()-2,6)=0,
INDEX('Form Responses'!J:J,INT((ROW()-2)/6)+2),
"-- NA --"
)</f>
        <v>-- NA --</v>
      </c>
      <c r="J1109" s="33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>
      <c r="A1110" s="26">
        <v>1109.0</v>
      </c>
      <c r="B1110" s="33"/>
      <c r="C1110" s="26" t="s">
        <v>464</v>
      </c>
      <c r="D1110" s="26" t="str">
        <f t="array" ref="D11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24IT007</v>
      </c>
      <c r="E1110" s="32" t="str">
        <f t="array" ref="E11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Anusha S</v>
      </c>
      <c r="F1110" s="26" t="str">
        <f t="array" ref="F11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0" s="26" t="str">
        <f t="array" ref="G11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110" s="26" t="str">
        <f t="array" ref="H1110">IF(
MOD(ROW()-2,6)=0,
INDEX('Form Responses'!I:I,INT((ROW()-2)/6)+2),
"-- NA --"
)</f>
        <v>-- NA --</v>
      </c>
      <c r="I1110" s="32" t="str">
        <f t="array" ref="I1110">IF(
MOD(ROW()-2,6)=0,
INDEX('Form Responses'!J:J,INT((ROW()-2)/6)+2),
"-- NA --"
)</f>
        <v>-- NA --</v>
      </c>
      <c r="J1110" s="33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>
      <c r="A1111" s="26">
        <v>1110.0</v>
      </c>
      <c r="B1111" s="6"/>
      <c r="C1111" s="26" t="s">
        <v>500</v>
      </c>
      <c r="D1111" s="26" t="str">
        <f t="array" ref="D11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24AD113</v>
      </c>
      <c r="E1111" s="32" t="str">
        <f t="array" ref="E11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Lohita B</v>
      </c>
      <c r="F1111" s="26" t="str">
        <f t="array" ref="F11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1" s="26" t="str">
        <f t="array" ref="G11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11" s="26" t="str">
        <f t="array" ref="H1111">IF(
MOD(ROW()-2,6)=0,
INDEX('Form Responses'!I:I,INT((ROW()-2)/6)+2),
"-- NA --"
)</f>
        <v>-- NA --</v>
      </c>
      <c r="I1111" s="32" t="str">
        <f t="array" ref="I1111">IF(
MOD(ROW()-2,6)=0,
INDEX('Form Responses'!J:J,INT((ROW()-2)/6)+2),
"-- NA --"
)</f>
        <v>-- NA --</v>
      </c>
      <c r="J1111" s="6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>
      <c r="A1112" s="26">
        <v>1111.0</v>
      </c>
      <c r="B1112" s="29" t="str">
        <f t="array" ref="B1112">INDEX('Form Responses'!$C:$C,INT((ROW()-2)/6)+2)</f>
        <v>NETHERGRID</v>
      </c>
      <c r="C1112" s="31" t="s">
        <v>140</v>
      </c>
      <c r="D1112" s="26" t="str">
        <f t="array" ref="D11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24EC310</v>
      </c>
      <c r="E1112" s="32" t="str">
        <f t="array" ref="E11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ROHITH SARAVANA S</v>
      </c>
      <c r="F1112" s="26" t="str">
        <f t="array" ref="F11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2" s="26" t="str">
        <f t="array" ref="G11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12" s="26">
        <f t="array" ref="H1112">IF(
MOD(ROW()-2,6)=0,
INDEX('Form Responses'!I:I,INT((ROW()-2)/6)+2),
"-- NA --"
)</f>
        <v>7708840346</v>
      </c>
      <c r="I1112" s="32" t="str">
        <f t="array" ref="I1112">IF(
MOD(ROW()-2,6)=0,
INDEX('Form Responses'!J:J,INT((ROW()-2)/6)+2),
"-- NA --"
)</f>
        <v> rohithsaravanan.s2024lece@sece.ac.in </v>
      </c>
      <c r="J1112" s="29" t="str">
        <f t="array" ref="J1112">INDEX('Form Responses'!$D:$D,INT((ROW()-2)/6)+2)</f>
        <v>Hardware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>
      <c r="A1113" s="26">
        <v>1112.0</v>
      </c>
      <c r="B1113" s="33"/>
      <c r="C1113" s="26" t="s">
        <v>282</v>
      </c>
      <c r="D1113" s="26" t="str">
        <f t="array" ref="D11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24EC184</v>
      </c>
      <c r="E1113" s="32" t="str">
        <f t="array" ref="E11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VIDHURAN C</v>
      </c>
      <c r="F1113" s="26" t="str">
        <f t="array" ref="F11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3" s="26" t="str">
        <f t="array" ref="G11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13" s="26" t="str">
        <f t="array" ref="H1113">IF(
MOD(ROW()-2,6)=0,
INDEX('Form Responses'!I:I,INT((ROW()-2)/6)+2),
"-- NA --"
)</f>
        <v>-- NA --</v>
      </c>
      <c r="I1113" s="32" t="str">
        <f t="array" ref="I1113">IF(
MOD(ROW()-2,6)=0,
INDEX('Form Responses'!J:J,INT((ROW()-2)/6)+2),
"-- NA --"
)</f>
        <v>-- NA --</v>
      </c>
      <c r="J1113" s="33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>
      <c r="A1114" s="26">
        <v>1113.0</v>
      </c>
      <c r="B1114" s="33"/>
      <c r="C1114" s="26" t="s">
        <v>385</v>
      </c>
      <c r="D1114" s="26" t="str">
        <f t="array" ref="D11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24EC127</v>
      </c>
      <c r="E1114" s="32" t="str">
        <f t="array" ref="E11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RAMYA R</v>
      </c>
      <c r="F1114" s="26" t="str">
        <f t="array" ref="F11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4" s="26" t="str">
        <f t="array" ref="G11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14" s="26" t="str">
        <f t="array" ref="H1114">IF(
MOD(ROW()-2,6)=0,
INDEX('Form Responses'!I:I,INT((ROW()-2)/6)+2),
"-- NA --"
)</f>
        <v>-- NA --</v>
      </c>
      <c r="I1114" s="32" t="str">
        <f t="array" ref="I1114">IF(
MOD(ROW()-2,6)=0,
INDEX('Form Responses'!J:J,INT((ROW()-2)/6)+2),
"-- NA --"
)</f>
        <v>-- NA --</v>
      </c>
      <c r="J1114" s="33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>
      <c r="A1115" s="26">
        <v>1114.0</v>
      </c>
      <c r="B1115" s="33"/>
      <c r="C1115" s="26" t="s">
        <v>425</v>
      </c>
      <c r="D1115" s="26" t="str">
        <f t="array" ref="D11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24AM303</v>
      </c>
      <c r="E1115" s="32" t="str">
        <f t="array" ref="E11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RAGUL S</v>
      </c>
      <c r="F1115" s="26" t="str">
        <f t="array" ref="F11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5" s="26" t="str">
        <f t="array" ref="G11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15" s="26" t="str">
        <f t="array" ref="H1115">IF(
MOD(ROW()-2,6)=0,
INDEX('Form Responses'!I:I,INT((ROW()-2)/6)+2),
"-- NA --"
)</f>
        <v>-- NA --</v>
      </c>
      <c r="I1115" s="32" t="str">
        <f t="array" ref="I1115">IF(
MOD(ROW()-2,6)=0,
INDEX('Form Responses'!J:J,INT((ROW()-2)/6)+2),
"-- NA --"
)</f>
        <v>-- NA --</v>
      </c>
      <c r="J1115" s="33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>
      <c r="A1116" s="26">
        <v>1115.0</v>
      </c>
      <c r="B1116" s="33"/>
      <c r="C1116" s="26" t="s">
        <v>464</v>
      </c>
      <c r="D1116" s="26" t="str">
        <f t="array" ref="D11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24EC059</v>
      </c>
      <c r="E1116" s="32" t="str">
        <f t="array" ref="E11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JAYASHRI S</v>
      </c>
      <c r="F1116" s="26" t="str">
        <f t="array" ref="F11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6" s="26" t="str">
        <f t="array" ref="G11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16" s="26" t="str">
        <f t="array" ref="H1116">IF(
MOD(ROW()-2,6)=0,
INDEX('Form Responses'!I:I,INT((ROW()-2)/6)+2),
"-- NA --"
)</f>
        <v>-- NA --</v>
      </c>
      <c r="I1116" s="32" t="str">
        <f t="array" ref="I1116">IF(
MOD(ROW()-2,6)=0,
INDEX('Form Responses'!J:J,INT((ROW()-2)/6)+2),
"-- NA --"
)</f>
        <v>-- NA --</v>
      </c>
      <c r="J1116" s="33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>
      <c r="A1117" s="26">
        <v>1116.0</v>
      </c>
      <c r="B1117" s="6"/>
      <c r="C1117" s="26" t="s">
        <v>500</v>
      </c>
      <c r="D1117" s="26" t="str">
        <f t="array" ref="D11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24AM301</v>
      </c>
      <c r="E1117" s="32" t="str">
        <f t="array" ref="E11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HARISUDHARSHAN N</v>
      </c>
      <c r="F1117" s="26" t="str">
        <f t="array" ref="F11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17" s="26" t="str">
        <f t="array" ref="G11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17" s="26" t="str">
        <f t="array" ref="H1117">IF(
MOD(ROW()-2,6)=0,
INDEX('Form Responses'!I:I,INT((ROW()-2)/6)+2),
"-- NA --"
)</f>
        <v>-- NA --</v>
      </c>
      <c r="I1117" s="32" t="str">
        <f t="array" ref="I1117">IF(
MOD(ROW()-2,6)=0,
INDEX('Form Responses'!J:J,INT((ROW()-2)/6)+2),
"-- NA --"
)</f>
        <v>-- NA --</v>
      </c>
      <c r="J1117" s="6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>
      <c r="A1118" s="26">
        <v>1117.0</v>
      </c>
      <c r="B1118" s="29" t="str">
        <f t="array" ref="B1118">INDEX('Form Responses'!$C:$C,INT((ROW()-2)/6)+2)</f>
        <v>Code Thrusters</v>
      </c>
      <c r="C1118" s="31" t="s">
        <v>140</v>
      </c>
      <c r="D1118" s="26" t="str">
        <f t="array" ref="D11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25CS178</v>
      </c>
      <c r="E1118" s="32" t="str">
        <f t="array" ref="E11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Raagasudhan MJ</v>
      </c>
      <c r="F1118" s="26" t="str">
        <f t="array" ref="F11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18" s="26" t="str">
        <f t="array" ref="G11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18" s="26">
        <f t="array" ref="H1118">IF(
MOD(ROW()-2,6)=0,
INDEX('Form Responses'!I:I,INT((ROW()-2)/6)+2),
"-- NA --"
)</f>
        <v>8248894369</v>
      </c>
      <c r="I1118" s="32" t="str">
        <f t="array" ref="I1118">IF(
MOD(ROW()-2,6)=0,
INDEX('Form Responses'!J:J,INT((ROW()-2)/6)+2),
"-- NA --"
)</f>
        <v>raagasudhan.mj2025cse@sece.ac.in</v>
      </c>
      <c r="J1118" s="29" t="str">
        <f t="array" ref="J1118">INDEX('Form Responses'!$D:$D,INT((ROW()-2)/6)+2)</f>
        <v>Software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>
      <c r="A1119" s="26">
        <v>1118.0</v>
      </c>
      <c r="B1119" s="33"/>
      <c r="C1119" s="26" t="s">
        <v>282</v>
      </c>
      <c r="D1119" s="26" t="str">
        <f t="array" ref="D11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25CS146</v>
      </c>
      <c r="E1119" s="32" t="str">
        <f t="array" ref="E11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Nethra DV</v>
      </c>
      <c r="F1119" s="26" t="str">
        <f t="array" ref="F11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19" s="26" t="str">
        <f t="array" ref="G11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19" s="26" t="str">
        <f t="array" ref="H1119">IF(
MOD(ROW()-2,6)=0,
INDEX('Form Responses'!I:I,INT((ROW()-2)/6)+2),
"-- NA --"
)</f>
        <v>-- NA --</v>
      </c>
      <c r="I1119" s="32" t="str">
        <f t="array" ref="I1119">IF(
MOD(ROW()-2,6)=0,
INDEX('Form Responses'!J:J,INT((ROW()-2)/6)+2),
"-- NA --"
)</f>
        <v>-- NA --</v>
      </c>
      <c r="J1119" s="33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>
      <c r="A1120" s="26">
        <v>1119.0</v>
      </c>
      <c r="B1120" s="33"/>
      <c r="C1120" s="26" t="s">
        <v>385</v>
      </c>
      <c r="D1120" s="26" t="str">
        <f t="array" ref="D11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25CS171</v>
      </c>
      <c r="E1120" s="32" t="str">
        <f t="array" ref="E11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Prajeeth Sairam S</v>
      </c>
      <c r="F1120" s="26" t="str">
        <f t="array" ref="F11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0" s="26" t="str">
        <f t="array" ref="G11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20" s="26" t="str">
        <f t="array" ref="H1120">IF(
MOD(ROW()-2,6)=0,
INDEX('Form Responses'!I:I,INT((ROW()-2)/6)+2),
"-- NA --"
)</f>
        <v>-- NA --</v>
      </c>
      <c r="I1120" s="32" t="str">
        <f t="array" ref="I1120">IF(
MOD(ROW()-2,6)=0,
INDEX('Form Responses'!J:J,INT((ROW()-2)/6)+2),
"-- NA --"
)</f>
        <v>-- NA --</v>
      </c>
      <c r="J1120" s="33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>
      <c r="A1121" s="26">
        <v>1120.0</v>
      </c>
      <c r="B1121" s="33"/>
      <c r="C1121" s="26" t="s">
        <v>425</v>
      </c>
      <c r="D1121" s="26" t="str">
        <f t="array" ref="D11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25EC042</v>
      </c>
      <c r="E1121" s="32" t="str">
        <f t="array" ref="E11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M</v>
      </c>
      <c r="F1121" s="26" t="str">
        <f t="array" ref="F11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1" s="26" t="str">
        <f t="array" ref="G11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21" s="26" t="str">
        <f t="array" ref="H1121">IF(
MOD(ROW()-2,6)=0,
INDEX('Form Responses'!I:I,INT((ROW()-2)/6)+2),
"-- NA --"
)</f>
        <v>-- NA --</v>
      </c>
      <c r="I1121" s="32" t="str">
        <f t="array" ref="I1121">IF(
MOD(ROW()-2,6)=0,
INDEX('Form Responses'!J:J,INT((ROW()-2)/6)+2),
"-- NA --"
)</f>
        <v>-- NA --</v>
      </c>
      <c r="J1121" s="33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>
      <c r="A1122" s="26">
        <v>1121.0</v>
      </c>
      <c r="B1122" s="33"/>
      <c r="C1122" s="26" t="s">
        <v>464</v>
      </c>
      <c r="D1122" s="26" t="str">
        <f t="array" ref="D11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25CB028</v>
      </c>
      <c r="E1122" s="32" t="str">
        <f t="array" ref="E11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Mathesh Karthikeyan M</v>
      </c>
      <c r="F1122" s="26" t="str">
        <f t="array" ref="F11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2" s="26" t="str">
        <f t="array" ref="G11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22" s="26" t="str">
        <f t="array" ref="H1122">IF(
MOD(ROW()-2,6)=0,
INDEX('Form Responses'!I:I,INT((ROW()-2)/6)+2),
"-- NA --"
)</f>
        <v>-- NA --</v>
      </c>
      <c r="I1122" s="32" t="str">
        <f t="array" ref="I1122">IF(
MOD(ROW()-2,6)=0,
INDEX('Form Responses'!J:J,INT((ROW()-2)/6)+2),
"-- NA --"
)</f>
        <v>-- NA --</v>
      </c>
      <c r="J1122" s="33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>
      <c r="A1123" s="26">
        <v>1122.0</v>
      </c>
      <c r="B1123" s="6"/>
      <c r="C1123" s="26" t="s">
        <v>500</v>
      </c>
      <c r="D1123" s="26" t="str">
        <f t="array" ref="D11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25AM051</v>
      </c>
      <c r="E1123" s="32" t="str">
        <f t="array" ref="E11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 </v>
      </c>
      <c r="F1123" s="26" t="str">
        <f t="array" ref="F11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3" s="26" t="str">
        <f t="array" ref="G11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23" s="26" t="str">
        <f t="array" ref="H1123">IF(
MOD(ROW()-2,6)=0,
INDEX('Form Responses'!I:I,INT((ROW()-2)/6)+2),
"-- NA --"
)</f>
        <v>-- NA --</v>
      </c>
      <c r="I1123" s="32" t="str">
        <f t="array" ref="I1123">IF(
MOD(ROW()-2,6)=0,
INDEX('Form Responses'!J:J,INT((ROW()-2)/6)+2),
"-- NA --"
)</f>
        <v>-- NA --</v>
      </c>
      <c r="J1123" s="6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>
      <c r="A1124" s="26">
        <v>1123.0</v>
      </c>
      <c r="B1124" s="29" t="str">
        <f t="array" ref="B1124">INDEX('Form Responses'!$C:$C,INT((ROW()-2)/6)+2)</f>
        <v>BruteX</v>
      </c>
      <c r="C1124" s="31" t="s">
        <v>140</v>
      </c>
      <c r="D1124" s="26" t="str">
        <f t="array" ref="D11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25SY004</v>
      </c>
      <c r="E1124" s="32" t="str">
        <f t="array" ref="E11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 PRAVIN N E</v>
      </c>
      <c r="F1124" s="26" t="str">
        <f t="array" ref="F11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4" s="26" t="str">
        <f t="array" ref="G11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24" s="26">
        <f t="array" ref="H1124">IF(
MOD(ROW()-2,6)=0,
INDEX('Form Responses'!I:I,INT((ROW()-2)/6)+2),
"-- NA --"
)</f>
        <v>9150773538</v>
      </c>
      <c r="I1124" s="32" t="str">
        <f t="array" ref="I1124">IF(
MOD(ROW()-2,6)=0,
INDEX('Form Responses'!J:J,INT((ROW()-2)/6)+2),
"-- NA --"
)</f>
        <v>ajaypravin.ne2025cys@sece.ac.in</v>
      </c>
      <c r="J1124" s="29" t="str">
        <f t="array" ref="J1124">INDEX('Form Responses'!$D:$D,INT((ROW()-2)/6)+2)</f>
        <v>Software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>
      <c r="A1125" s="26">
        <v>1124.0</v>
      </c>
      <c r="B1125" s="33"/>
      <c r="C1125" s="26" t="s">
        <v>282</v>
      </c>
      <c r="D1125" s="26" t="str">
        <f t="array" ref="D11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25SY001</v>
      </c>
      <c r="E1125" s="32" t="str">
        <f t="array" ref="E11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ABHISHEK M</v>
      </c>
      <c r="F1125" s="26" t="str">
        <f t="array" ref="F11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5" s="26" t="str">
        <f t="array" ref="G11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25" s="26" t="str">
        <f t="array" ref="H1125">IF(
MOD(ROW()-2,6)=0,
INDEX('Form Responses'!I:I,INT((ROW()-2)/6)+2),
"-- NA --"
)</f>
        <v>-- NA --</v>
      </c>
      <c r="I1125" s="32" t="str">
        <f t="array" ref="I1125">IF(
MOD(ROW()-2,6)=0,
INDEX('Form Responses'!J:J,INT((ROW()-2)/6)+2),
"-- NA --"
)</f>
        <v>-- NA --</v>
      </c>
      <c r="J1125" s="33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>
      <c r="A1126" s="26">
        <v>1125.0</v>
      </c>
      <c r="B1126" s="33"/>
      <c r="C1126" s="26" t="s">
        <v>385</v>
      </c>
      <c r="D1126" s="26" t="str">
        <f t="array" ref="D11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25SY002</v>
      </c>
      <c r="E1126" s="32" t="str">
        <f t="array" ref="E11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ABINAYA S A</v>
      </c>
      <c r="F1126" s="26" t="str">
        <f t="array" ref="F11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6" s="26" t="str">
        <f t="array" ref="G11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26" s="26" t="str">
        <f t="array" ref="H1126">IF(
MOD(ROW()-2,6)=0,
INDEX('Form Responses'!I:I,INT((ROW()-2)/6)+2),
"-- NA --"
)</f>
        <v>-- NA --</v>
      </c>
      <c r="I1126" s="32" t="str">
        <f t="array" ref="I1126">IF(
MOD(ROW()-2,6)=0,
INDEX('Form Responses'!J:J,INT((ROW()-2)/6)+2),
"-- NA --"
)</f>
        <v>-- NA --</v>
      </c>
      <c r="J1126" s="33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>
      <c r="A1127" s="26">
        <v>1126.0</v>
      </c>
      <c r="B1127" s="33"/>
      <c r="C1127" s="26" t="s">
        <v>425</v>
      </c>
      <c r="D1127" s="26" t="str">
        <f t="array" ref="D11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25SY0012</v>
      </c>
      <c r="E1127" s="32" t="str">
        <f t="array" ref="E11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DHANABALAN R</v>
      </c>
      <c r="F1127" s="26" t="str">
        <f t="array" ref="F11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7" s="26" t="str">
        <f t="array" ref="G11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27" s="26" t="str">
        <f t="array" ref="H1127">IF(
MOD(ROW()-2,6)=0,
INDEX('Form Responses'!I:I,INT((ROW()-2)/6)+2),
"-- NA --"
)</f>
        <v>-- NA --</v>
      </c>
      <c r="I1127" s="32" t="str">
        <f t="array" ref="I1127">IF(
MOD(ROW()-2,6)=0,
INDEX('Form Responses'!J:J,INT((ROW()-2)/6)+2),
"-- NA --"
)</f>
        <v>-- NA --</v>
      </c>
      <c r="J1127" s="33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>
      <c r="A1128" s="26">
        <v>1127.0</v>
      </c>
      <c r="B1128" s="33"/>
      <c r="C1128" s="26" t="s">
        <v>464</v>
      </c>
      <c r="D1128" s="26" t="str">
        <f t="array" ref="D11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25SY020</v>
      </c>
      <c r="E1128" s="32" t="str">
        <f t="array" ref="E11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HARIJITH M</v>
      </c>
      <c r="F1128" s="26" t="str">
        <f t="array" ref="F11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8" s="26" t="str">
        <f t="array" ref="G11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28" s="26" t="str">
        <f t="array" ref="H1128">IF(
MOD(ROW()-2,6)=0,
INDEX('Form Responses'!I:I,INT((ROW()-2)/6)+2),
"-- NA --"
)</f>
        <v>-- NA --</v>
      </c>
      <c r="I1128" s="32" t="str">
        <f t="array" ref="I1128">IF(
MOD(ROW()-2,6)=0,
INDEX('Form Responses'!J:J,INT((ROW()-2)/6)+2),
"-- NA --"
)</f>
        <v>-- NA --</v>
      </c>
      <c r="J1128" s="33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>
      <c r="A1129" s="26">
        <v>1128.0</v>
      </c>
      <c r="B1129" s="6"/>
      <c r="C1129" s="26" t="s">
        <v>500</v>
      </c>
      <c r="D1129" s="26" t="str">
        <f t="array" ref="D11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25IT010</v>
      </c>
      <c r="E1129" s="32" t="str">
        <f t="array" ref="E11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CATHLEIN SHINY A S</v>
      </c>
      <c r="F1129" s="26" t="str">
        <f t="array" ref="F11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29" s="26" t="str">
        <f t="array" ref="G11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129" s="26" t="str">
        <f t="array" ref="H1129">IF(
MOD(ROW()-2,6)=0,
INDEX('Form Responses'!I:I,INT((ROW()-2)/6)+2),
"-- NA --"
)</f>
        <v>-- NA --</v>
      </c>
      <c r="I1129" s="32" t="str">
        <f t="array" ref="I1129">IF(
MOD(ROW()-2,6)=0,
INDEX('Form Responses'!J:J,INT((ROW()-2)/6)+2),
"-- NA --"
)</f>
        <v>-- NA --</v>
      </c>
      <c r="J1129" s="6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>
      <c r="A1130" s="26">
        <v>1129.0</v>
      </c>
      <c r="B1130" s="29" t="str">
        <f t="array" ref="B1130">INDEX('Form Responses'!$C:$C,INT((ROW()-2)/6)+2)</f>
        <v>ALGOS</v>
      </c>
      <c r="C1130" s="31" t="s">
        <v>140</v>
      </c>
      <c r="D1130" s="26" t="str">
        <f t="array" ref="D11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25AM119</v>
      </c>
      <c r="E1130" s="32" t="str">
        <f t="array" ref="E11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D</v>
      </c>
      <c r="F1130" s="26" t="str">
        <f t="array" ref="F11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0" s="26" t="str">
        <f t="array" ref="G11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30" s="26">
        <f t="array" ref="H1130">IF(
MOD(ROW()-2,6)=0,
INDEX('Form Responses'!I:I,INT((ROW()-2)/6)+2),
"-- NA --"
)</f>
        <v>9003467159</v>
      </c>
      <c r="I1130" s="32" t="str">
        <f t="array" ref="I1130">IF(
MOD(ROW()-2,6)=0,
INDEX('Form Responses'!J:J,INT((ROW()-2)/6)+2),
"-- NA --"
)</f>
        <v>vishnu.d2025aiml@sece.ac.in</v>
      </c>
      <c r="J1130" s="29" t="str">
        <f t="array" ref="J1130">INDEX('Form Responses'!$D:$D,INT((ROW()-2)/6)+2)</f>
        <v>Hardware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>
      <c r="A1131" s="26">
        <v>1130.0</v>
      </c>
      <c r="B1131" s="33"/>
      <c r="C1131" s="26" t="s">
        <v>282</v>
      </c>
      <c r="D1131" s="26" t="str">
        <f t="array" ref="D11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25AM073</v>
      </c>
      <c r="E1131" s="32" t="str">
        <f t="array" ref="E11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 THINAKARAN V</v>
      </c>
      <c r="F1131" s="26" t="str">
        <f t="array" ref="F11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1" s="26" t="str">
        <f t="array" ref="G11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31" s="26" t="str">
        <f t="array" ref="H1131">IF(
MOD(ROW()-2,6)=0,
INDEX('Form Responses'!I:I,INT((ROW()-2)/6)+2),
"-- NA --"
)</f>
        <v>-- NA --</v>
      </c>
      <c r="I1131" s="32" t="str">
        <f t="array" ref="I1131">IF(
MOD(ROW()-2,6)=0,
INDEX('Form Responses'!J:J,INT((ROW()-2)/6)+2),
"-- NA --"
)</f>
        <v>-- NA --</v>
      </c>
      <c r="J1131" s="33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>
      <c r="A1132" s="26">
        <v>1131.0</v>
      </c>
      <c r="B1132" s="33"/>
      <c r="C1132" s="26" t="s">
        <v>385</v>
      </c>
      <c r="D1132" s="26" t="str">
        <f t="array" ref="D11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25AM125</v>
      </c>
      <c r="E1132" s="32" t="str">
        <f t="array" ref="E11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YUVARAJ C</v>
      </c>
      <c r="F1132" s="26" t="str">
        <f t="array" ref="F11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2" s="26" t="str">
        <f t="array" ref="G11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32" s="26" t="str">
        <f t="array" ref="H1132">IF(
MOD(ROW()-2,6)=0,
INDEX('Form Responses'!I:I,INT((ROW()-2)/6)+2),
"-- NA --"
)</f>
        <v>-- NA --</v>
      </c>
      <c r="I1132" s="32" t="str">
        <f t="array" ref="I1132">IF(
MOD(ROW()-2,6)=0,
INDEX('Form Responses'!J:J,INT((ROW()-2)/6)+2),
"-- NA --"
)</f>
        <v>-- NA --</v>
      </c>
      <c r="J1132" s="33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>
      <c r="A1133" s="26">
        <v>1132.0</v>
      </c>
      <c r="B1133" s="33"/>
      <c r="C1133" s="26" t="s">
        <v>425</v>
      </c>
      <c r="D1133" s="26" t="str">
        <f t="array" ref="D11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25AM079</v>
      </c>
      <c r="E1133" s="32" t="str">
        <f t="array" ref="E11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RIYA R</v>
      </c>
      <c r="F1133" s="26" t="str">
        <f t="array" ref="F11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3" s="26" t="str">
        <f t="array" ref="G11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33" s="26" t="str">
        <f t="array" ref="H1133">IF(
MOD(ROW()-2,6)=0,
INDEX('Form Responses'!I:I,INT((ROW()-2)/6)+2),
"-- NA --"
)</f>
        <v>-- NA --</v>
      </c>
      <c r="I1133" s="32" t="str">
        <f t="array" ref="I1133">IF(
MOD(ROW()-2,6)=0,
INDEX('Form Responses'!J:J,INT((ROW()-2)/6)+2),
"-- NA --"
)</f>
        <v>-- NA --</v>
      </c>
      <c r="J1133" s="33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>
      <c r="A1134" s="26">
        <v>1133.0</v>
      </c>
      <c r="B1134" s="33"/>
      <c r="C1134" s="26" t="s">
        <v>464</v>
      </c>
      <c r="D1134" s="26" t="str">
        <f t="array" ref="D11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25EE057</v>
      </c>
      <c r="E1134" s="32" t="str">
        <f t="array" ref="E11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VAISHNAVI M</v>
      </c>
      <c r="F1134" s="26" t="str">
        <f t="array" ref="F11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4" s="26" t="str">
        <f t="array" ref="G11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34" s="26" t="str">
        <f t="array" ref="H1134">IF(
MOD(ROW()-2,6)=0,
INDEX('Form Responses'!I:I,INT((ROW()-2)/6)+2),
"-- NA --"
)</f>
        <v>-- NA --</v>
      </c>
      <c r="I1134" s="32" t="str">
        <f t="array" ref="I1134">IF(
MOD(ROW()-2,6)=0,
INDEX('Form Responses'!J:J,INT((ROW()-2)/6)+2),
"-- NA --"
)</f>
        <v>-- NA --</v>
      </c>
      <c r="J1134" s="33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>
      <c r="A1135" s="26">
        <v>1134.0</v>
      </c>
      <c r="B1135" s="6"/>
      <c r="C1135" s="26" t="s">
        <v>500</v>
      </c>
      <c r="D1135" s="26" t="str">
        <f t="array" ref="D11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25EE018</v>
      </c>
      <c r="E1135" s="32" t="str">
        <f t="array" ref="E11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 R</v>
      </c>
      <c r="F1135" s="26" t="str">
        <f t="array" ref="F11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5" s="26" t="str">
        <f t="array" ref="G11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35" s="26" t="str">
        <f t="array" ref="H1135">IF(
MOD(ROW()-2,6)=0,
INDEX('Form Responses'!I:I,INT((ROW()-2)/6)+2),
"-- NA --"
)</f>
        <v>-- NA --</v>
      </c>
      <c r="I1135" s="32" t="str">
        <f t="array" ref="I1135">IF(
MOD(ROW()-2,6)=0,
INDEX('Form Responses'!J:J,INT((ROW()-2)/6)+2),
"-- NA --"
)</f>
        <v>-- NA --</v>
      </c>
      <c r="J1135" s="6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>
      <c r="A1136" s="26">
        <v>1135.0</v>
      </c>
      <c r="B1136" s="29" t="str">
        <f t="array" ref="B1136">INDEX('Form Responses'!$C:$C,INT((ROW()-2)/6)+2)</f>
        <v>TEAM BLUE MATRIX </v>
      </c>
      <c r="C1136" s="31" t="s">
        <v>140</v>
      </c>
      <c r="D1136" s="26" t="str">
        <f t="array" ref="D11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25CS223</v>
      </c>
      <c r="E1136" s="32" t="str">
        <f t="array" ref="E11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PRANESH S</v>
      </c>
      <c r="F1136" s="26" t="str">
        <f t="array" ref="F11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6" s="26" t="str">
        <f t="array" ref="G11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36" s="26">
        <f t="array" ref="H1136">IF(
MOD(ROW()-2,6)=0,
INDEX('Form Responses'!I:I,INT((ROW()-2)/6)+2),
"-- NA --"
)</f>
        <v>8220816500</v>
      </c>
      <c r="I1136" s="32" t="str">
        <f t="array" ref="I1136">IF(
MOD(ROW()-2,6)=0,
INDEX('Form Responses'!J:J,INT((ROW()-2)/6)+2),
"-- NA --"
)</f>
        <v>subramanipranesh.2025cse@sece.ac.in</v>
      </c>
      <c r="J1136" s="29" t="str">
        <f t="array" ref="J1136">INDEX('Form Responses'!$D:$D,INT((ROW()-2)/6)+2)</f>
        <v>Hardware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>
      <c r="A1137" s="26">
        <v>1136.0</v>
      </c>
      <c r="B1137" s="33"/>
      <c r="C1137" s="26" t="s">
        <v>282</v>
      </c>
      <c r="D1137" s="26" t="str">
        <f t="array" ref="D11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25CS152</v>
      </c>
      <c r="E1137" s="32" t="str">
        <f t="array" ref="E11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 R</v>
      </c>
      <c r="F1137" s="26" t="str">
        <f t="array" ref="F11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7" s="26" t="str">
        <f t="array" ref="G11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37" s="26" t="str">
        <f t="array" ref="H1137">IF(
MOD(ROW()-2,6)=0,
INDEX('Form Responses'!I:I,INT((ROW()-2)/6)+2),
"-- NA --"
)</f>
        <v>-- NA --</v>
      </c>
      <c r="I1137" s="32" t="str">
        <f t="array" ref="I1137">IF(
MOD(ROW()-2,6)=0,
INDEX('Form Responses'!J:J,INT((ROW()-2)/6)+2),
"-- NA --"
)</f>
        <v>-- NA --</v>
      </c>
      <c r="J1137" s="33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>
      <c r="A1138" s="26">
        <v>1137.0</v>
      </c>
      <c r="B1138" s="33"/>
      <c r="C1138" s="26" t="s">
        <v>385</v>
      </c>
      <c r="D1138" s="26" t="str">
        <f t="array" ref="D11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25CS151</v>
      </c>
      <c r="E1138" s="32" t="str">
        <f t="array" ref="E11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 A</v>
      </c>
      <c r="F1138" s="26" t="str">
        <f t="array" ref="F11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8" s="26" t="str">
        <f t="array" ref="G11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38" s="26" t="str">
        <f t="array" ref="H1138">IF(
MOD(ROW()-2,6)=0,
INDEX('Form Responses'!I:I,INT((ROW()-2)/6)+2),
"-- NA --"
)</f>
        <v>-- NA --</v>
      </c>
      <c r="I1138" s="32" t="str">
        <f t="array" ref="I1138">IF(
MOD(ROW()-2,6)=0,
INDEX('Form Responses'!J:J,INT((ROW()-2)/6)+2),
"-- NA --"
)</f>
        <v>-- NA --</v>
      </c>
      <c r="J1138" s="33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>
      <c r="A1139" s="26">
        <v>1138.0</v>
      </c>
      <c r="B1139" s="33"/>
      <c r="C1139" s="26" t="s">
        <v>425</v>
      </c>
      <c r="D1139" s="26" t="str">
        <f t="array" ref="D11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25CS63</v>
      </c>
      <c r="E1139" s="32" t="str">
        <f t="array" ref="E11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PABITHASRI T</v>
      </c>
      <c r="F1139" s="26" t="str">
        <f t="array" ref="F11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39" s="26" t="str">
        <f t="array" ref="G11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39" s="26" t="str">
        <f t="array" ref="H1139">IF(
MOD(ROW()-2,6)=0,
INDEX('Form Responses'!I:I,INT((ROW()-2)/6)+2),
"-- NA --"
)</f>
        <v>-- NA --</v>
      </c>
      <c r="I1139" s="32" t="str">
        <f t="array" ref="I1139">IF(
MOD(ROW()-2,6)=0,
INDEX('Form Responses'!J:J,INT((ROW()-2)/6)+2),
"-- NA --"
)</f>
        <v>-- NA --</v>
      </c>
      <c r="J1139" s="33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>
      <c r="A1140" s="26">
        <v>1139.0</v>
      </c>
      <c r="B1140" s="33"/>
      <c r="C1140" s="26" t="s">
        <v>464</v>
      </c>
      <c r="D1140" s="26" t="str">
        <f t="array" ref="D11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IC26BTecL0050</v>
      </c>
      <c r="E1140" s="32" t="str">
        <f t="array" ref="E11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AISHVARYA C</v>
      </c>
      <c r="F1140" s="26" t="str">
        <f t="array" ref="F11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40" s="26" t="str">
        <f t="array" ref="G11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40" s="26" t="str">
        <f t="array" ref="H1140">IF(
MOD(ROW()-2,6)=0,
INDEX('Form Responses'!I:I,INT((ROW()-2)/6)+2),
"-- NA --"
)</f>
        <v>-- NA --</v>
      </c>
      <c r="I1140" s="32" t="str">
        <f t="array" ref="I1140">IF(
MOD(ROW()-2,6)=0,
INDEX('Form Responses'!J:J,INT((ROW()-2)/6)+2),
"-- NA --"
)</f>
        <v>-- NA --</v>
      </c>
      <c r="J1140" s="33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>
      <c r="A1141" s="26">
        <v>1140.0</v>
      </c>
      <c r="B1141" s="6"/>
      <c r="C1141" s="26" t="s">
        <v>500</v>
      </c>
      <c r="D1141" s="26" t="str">
        <f t="array" ref="D11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25CS169</v>
      </c>
      <c r="E1141" s="32" t="str">
        <f t="array" ref="E11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PRABAKARAN R</v>
      </c>
      <c r="F1141" s="26" t="str">
        <f t="array" ref="F11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41" s="26" t="str">
        <f t="array" ref="G11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41" s="26" t="str">
        <f t="array" ref="H1141">IF(
MOD(ROW()-2,6)=0,
INDEX('Form Responses'!I:I,INT((ROW()-2)/6)+2),
"-- NA --"
)</f>
        <v>-- NA --</v>
      </c>
      <c r="I1141" s="32" t="str">
        <f t="array" ref="I1141">IF(
MOD(ROW()-2,6)=0,
INDEX('Form Responses'!J:J,INT((ROW()-2)/6)+2),
"-- NA --"
)</f>
        <v>-- NA --</v>
      </c>
      <c r="J1141" s="6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>
      <c r="A1142" s="26">
        <v>1141.0</v>
      </c>
      <c r="B1142" s="29" t="str">
        <f t="array" ref="B1142">INDEX('Form Responses'!$C:$C,INT((ROW()-2)/6)+2)</f>
        <v>LOCKED &amp; LOADED</v>
      </c>
      <c r="C1142" s="31" t="s">
        <v>140</v>
      </c>
      <c r="D1142" s="26" t="str">
        <f t="array" ref="D11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24CC025</v>
      </c>
      <c r="E1142" s="32" t="str">
        <f t="array" ref="E11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KAVINILAVU R</v>
      </c>
      <c r="F1142" s="26" t="str">
        <f t="array" ref="F11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2" s="26" t="str">
        <f t="array" ref="G11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42" s="26">
        <f t="array" ref="H1142">IF(
MOD(ROW()-2,6)=0,
INDEX('Form Responses'!I:I,INT((ROW()-2)/6)+2),
"-- NA --"
)</f>
        <v>9363622164</v>
      </c>
      <c r="I1142" s="32" t="str">
        <f t="array" ref="I1142">IF(
MOD(ROW()-2,6)=0,
INDEX('Form Responses'!J:J,INT((ROW()-2)/6)+2),
"-- NA --"
)</f>
        <v>kavinilavu.r2024cce@sece.ac.in</v>
      </c>
      <c r="J1142" s="29" t="str">
        <f t="array" ref="J1142">INDEX('Form Responses'!$D:$D,INT((ROW()-2)/6)+2)</f>
        <v>Software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>
      <c r="A1143" s="26">
        <v>1142.0</v>
      </c>
      <c r="B1143" s="33"/>
      <c r="C1143" s="26" t="s">
        <v>282</v>
      </c>
      <c r="D1143" s="26" t="str">
        <f t="array" ref="D11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24CC048</v>
      </c>
      <c r="E1143" s="32" t="str">
        <f t="array" ref="E11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SARATHI B</v>
      </c>
      <c r="F1143" s="26" t="str">
        <f t="array" ref="F11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3" s="26" t="str">
        <f t="array" ref="G11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43" s="26" t="str">
        <f t="array" ref="H1143">IF(
MOD(ROW()-2,6)=0,
INDEX('Form Responses'!I:I,INT((ROW()-2)/6)+2),
"-- NA --"
)</f>
        <v>-- NA --</v>
      </c>
      <c r="I1143" s="32" t="str">
        <f t="array" ref="I1143">IF(
MOD(ROW()-2,6)=0,
INDEX('Form Responses'!J:J,INT((ROW()-2)/6)+2),
"-- NA --"
)</f>
        <v>-- NA --</v>
      </c>
      <c r="J1143" s="33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>
      <c r="A1144" s="26">
        <v>1143.0</v>
      </c>
      <c r="B1144" s="33"/>
      <c r="C1144" s="26" t="s">
        <v>385</v>
      </c>
      <c r="D1144" s="26" t="str">
        <f t="array" ref="D11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24AM045</v>
      </c>
      <c r="E1144" s="32" t="str">
        <f t="array" ref="E11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KARTHIKBALAJI S V</v>
      </c>
      <c r="F1144" s="26" t="str">
        <f t="array" ref="F11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4" s="26" t="str">
        <f t="array" ref="G11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44" s="26" t="str">
        <f t="array" ref="H1144">IF(
MOD(ROW()-2,6)=0,
INDEX('Form Responses'!I:I,INT((ROW()-2)/6)+2),
"-- NA --"
)</f>
        <v>-- NA --</v>
      </c>
      <c r="I1144" s="32" t="str">
        <f t="array" ref="I1144">IF(
MOD(ROW()-2,6)=0,
INDEX('Form Responses'!J:J,INT((ROW()-2)/6)+2),
"-- NA --"
)</f>
        <v>-- NA --</v>
      </c>
      <c r="J1144" s="33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>
      <c r="A1145" s="26">
        <v>1144.0</v>
      </c>
      <c r="B1145" s="33"/>
      <c r="C1145" s="26" t="s">
        <v>425</v>
      </c>
      <c r="D1145" s="26" t="str">
        <f t="array" ref="D11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24AD219</v>
      </c>
      <c r="E1145" s="32" t="str">
        <f t="array" ref="E11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SRIVATHSA M</v>
      </c>
      <c r="F1145" s="26" t="str">
        <f t="array" ref="F11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5" s="26" t="str">
        <f t="array" ref="G11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45" s="26" t="str">
        <f t="array" ref="H1145">IF(
MOD(ROW()-2,6)=0,
INDEX('Form Responses'!I:I,INT((ROW()-2)/6)+2),
"-- NA --"
)</f>
        <v>-- NA --</v>
      </c>
      <c r="I1145" s="32" t="str">
        <f t="array" ref="I1145">IF(
MOD(ROW()-2,6)=0,
INDEX('Form Responses'!J:J,INT((ROW()-2)/6)+2),
"-- NA --"
)</f>
        <v>-- NA --</v>
      </c>
      <c r="J1145" s="33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>
      <c r="A1146" s="26">
        <v>1145.0</v>
      </c>
      <c r="B1146" s="33"/>
      <c r="C1146" s="26" t="s">
        <v>464</v>
      </c>
      <c r="D1146" s="26" t="str">
        <f t="array" ref="D11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24AD310</v>
      </c>
      <c r="E1146" s="32" t="str">
        <f t="array" ref="E11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S M</v>
      </c>
      <c r="F1146" s="26" t="str">
        <f t="array" ref="F11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6" s="26" t="str">
        <f t="array" ref="G11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46" s="26" t="str">
        <f t="array" ref="H1146">IF(
MOD(ROW()-2,6)=0,
INDEX('Form Responses'!I:I,INT((ROW()-2)/6)+2),
"-- NA --"
)</f>
        <v>-- NA --</v>
      </c>
      <c r="I1146" s="32" t="str">
        <f t="array" ref="I1146">IF(
MOD(ROW()-2,6)=0,
INDEX('Form Responses'!J:J,INT((ROW()-2)/6)+2),
"-- NA --"
)</f>
        <v>-- NA --</v>
      </c>
      <c r="J1146" s="33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>
      <c r="A1147" s="26">
        <v>1146.0</v>
      </c>
      <c r="B1147" s="6"/>
      <c r="C1147" s="26" t="s">
        <v>500</v>
      </c>
      <c r="D1147" s="26" t="str">
        <f t="array" ref="D11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24AD228</v>
      </c>
      <c r="E1147" s="32" t="str">
        <f t="array" ref="E11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SURESH KUMAR M</v>
      </c>
      <c r="F1147" s="26" t="str">
        <f t="array" ref="F11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7" s="26" t="str">
        <f t="array" ref="G11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47" s="26" t="str">
        <f t="array" ref="H1147">IF(
MOD(ROW()-2,6)=0,
INDEX('Form Responses'!I:I,INT((ROW()-2)/6)+2),
"-- NA --"
)</f>
        <v>-- NA --</v>
      </c>
      <c r="I1147" s="32" t="str">
        <f t="array" ref="I1147">IF(
MOD(ROW()-2,6)=0,
INDEX('Form Responses'!J:J,INT((ROW()-2)/6)+2),
"-- NA --"
)</f>
        <v>-- NA --</v>
      </c>
      <c r="J1147" s="6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>
      <c r="A1148" s="26">
        <v>1147.0</v>
      </c>
      <c r="B1148" s="29" t="str">
        <f t="array" ref="B1148">INDEX('Form Responses'!$C:$C,INT((ROW()-2)/6)+2)</f>
        <v>Tech Dares</v>
      </c>
      <c r="C1148" s="31" t="s">
        <v>140</v>
      </c>
      <c r="D1148" s="26" t="str">
        <f t="array" ref="D11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24CC006</v>
      </c>
      <c r="E1148" s="32" t="str">
        <f t="array" ref="E11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Ashwathkrishnaa PV</v>
      </c>
      <c r="F1148" s="26" t="str">
        <f t="array" ref="F11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8" s="26" t="str">
        <f t="array" ref="G11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48" s="26">
        <f t="array" ref="H1148">IF(
MOD(ROW()-2,6)=0,
INDEX('Form Responses'!I:I,INT((ROW()-2)/6)+2),
"-- NA --"
)</f>
        <v>9360645466</v>
      </c>
      <c r="I1148" s="32" t="str">
        <f t="array" ref="I1148">IF(
MOD(ROW()-2,6)=0,
INDEX('Form Responses'!J:J,INT((ROW()-2)/6)+2),
"-- NA --"
)</f>
        <v>ashwathkrishnaa.pv2024cce@sece.ac.in</v>
      </c>
      <c r="J1148" s="29" t="str">
        <f t="array" ref="J1148">INDEX('Form Responses'!$D:$D,INT((ROW()-2)/6)+2)</f>
        <v>Software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>
      <c r="A1149" s="26">
        <v>1148.0</v>
      </c>
      <c r="B1149" s="33"/>
      <c r="C1149" s="26" t="s">
        <v>282</v>
      </c>
      <c r="D1149" s="26" t="str">
        <f t="array" ref="D11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24CC026</v>
      </c>
      <c r="E1149" s="32" t="str">
        <f t="array" ref="E11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Kingstan J</v>
      </c>
      <c r="F1149" s="26" t="str">
        <f t="array" ref="F11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49" s="26" t="str">
        <f t="array" ref="G11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49" s="26" t="str">
        <f t="array" ref="H1149">IF(
MOD(ROW()-2,6)=0,
INDEX('Form Responses'!I:I,INT((ROW()-2)/6)+2),
"-- NA --"
)</f>
        <v>-- NA --</v>
      </c>
      <c r="I1149" s="32" t="str">
        <f t="array" ref="I1149">IF(
MOD(ROW()-2,6)=0,
INDEX('Form Responses'!J:J,INT((ROW()-2)/6)+2),
"-- NA --"
)</f>
        <v>-- NA --</v>
      </c>
      <c r="J1149" s="33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>
      <c r="A1150" s="26">
        <v>1149.0</v>
      </c>
      <c r="B1150" s="33"/>
      <c r="C1150" s="26" t="s">
        <v>385</v>
      </c>
      <c r="D1150" s="26" t="str">
        <f t="array" ref="D11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24CS257</v>
      </c>
      <c r="E1150" s="32" t="str">
        <f t="array" ref="E11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Ubendiran L</v>
      </c>
      <c r="F1150" s="26" t="str">
        <f t="array" ref="F11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50" s="26" t="str">
        <f t="array" ref="G11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50" s="26" t="str">
        <f t="array" ref="H1150">IF(
MOD(ROW()-2,6)=0,
INDEX('Form Responses'!I:I,INT((ROW()-2)/6)+2),
"-- NA --"
)</f>
        <v>-- NA --</v>
      </c>
      <c r="I1150" s="32" t="str">
        <f t="array" ref="I1150">IF(
MOD(ROW()-2,6)=0,
INDEX('Form Responses'!J:J,INT((ROW()-2)/6)+2),
"-- NA --"
)</f>
        <v>-- NA --</v>
      </c>
      <c r="J1150" s="33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>
      <c r="A1151" s="26">
        <v>1150.0</v>
      </c>
      <c r="B1151" s="33"/>
      <c r="C1151" s="26" t="s">
        <v>425</v>
      </c>
      <c r="D1151" s="26" t="str">
        <f t="array" ref="D11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24CB019</v>
      </c>
      <c r="E1151" s="32" t="str">
        <f t="array" ref="E11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Jaswin D L</v>
      </c>
      <c r="F1151" s="26" t="str">
        <f t="array" ref="F11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51" s="26" t="str">
        <f t="array" ref="G11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151" s="26" t="str">
        <f t="array" ref="H1151">IF(
MOD(ROW()-2,6)=0,
INDEX('Form Responses'!I:I,INT((ROW()-2)/6)+2),
"-- NA --"
)</f>
        <v>-- NA --</v>
      </c>
      <c r="I1151" s="32" t="str">
        <f t="array" ref="I1151">IF(
MOD(ROW()-2,6)=0,
INDEX('Form Responses'!J:J,INT((ROW()-2)/6)+2),
"-- NA --"
)</f>
        <v>-- NA --</v>
      </c>
      <c r="J1151" s="33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>
      <c r="A1152" s="26">
        <v>1151.0</v>
      </c>
      <c r="B1152" s="33"/>
      <c r="C1152" s="26" t="s">
        <v>464</v>
      </c>
      <c r="D1152" s="26" t="str">
        <f t="array" ref="D11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24CS251</v>
      </c>
      <c r="E1152" s="32" t="str">
        <f t="array" ref="E11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Thamilselvan P</v>
      </c>
      <c r="F1152" s="26" t="str">
        <f t="array" ref="F11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52" s="26" t="str">
        <f t="array" ref="G11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52" s="26" t="str">
        <f t="array" ref="H1152">IF(
MOD(ROW()-2,6)=0,
INDEX('Form Responses'!I:I,INT((ROW()-2)/6)+2),
"-- NA --"
)</f>
        <v>-- NA --</v>
      </c>
      <c r="I1152" s="32" t="str">
        <f t="array" ref="I1152">IF(
MOD(ROW()-2,6)=0,
INDEX('Form Responses'!J:J,INT((ROW()-2)/6)+2),
"-- NA --"
)</f>
        <v>-- NA --</v>
      </c>
      <c r="J1152" s="33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>
      <c r="A1153" s="26">
        <v>1152.0</v>
      </c>
      <c r="B1153" s="6"/>
      <c r="C1153" s="26" t="s">
        <v>500</v>
      </c>
      <c r="D1153" s="26" t="str">
        <f t="array" ref="D11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24CC053</v>
      </c>
      <c r="E1153" s="32" t="str">
        <f t="array" ref="E11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S S</v>
      </c>
      <c r="F1153" s="26" t="str">
        <f t="array" ref="F11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53" s="26" t="str">
        <f t="array" ref="G11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53" s="26" t="str">
        <f t="array" ref="H1153">IF(
MOD(ROW()-2,6)=0,
INDEX('Form Responses'!I:I,INT((ROW()-2)/6)+2),
"-- NA --"
)</f>
        <v>-- NA --</v>
      </c>
      <c r="I1153" s="32" t="str">
        <f t="array" ref="I1153">IF(
MOD(ROW()-2,6)=0,
INDEX('Form Responses'!J:J,INT((ROW()-2)/6)+2),
"-- NA --"
)</f>
        <v>-- NA --</v>
      </c>
      <c r="J1153" s="6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>
      <c r="A1154" s="26">
        <v>1153.0</v>
      </c>
      <c r="B1154" s="29" t="str">
        <f t="array" ref="B1154">INDEX('Form Responses'!$C:$C,INT((ROW()-2)/6)+2)</f>
        <v>CodePulse</v>
      </c>
      <c r="C1154" s="31" t="s">
        <v>140</v>
      </c>
      <c r="D1154" s="26" t="str">
        <f t="array" ref="D11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25SY023</v>
      </c>
      <c r="E1154" s="32" t="str">
        <f t="array" ref="E11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Jeevadharani M</v>
      </c>
      <c r="F1154" s="26" t="str">
        <f t="array" ref="F11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4" s="26" t="str">
        <f t="array" ref="G11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54" s="26">
        <f t="array" ref="H1154">IF(
MOD(ROW()-2,6)=0,
INDEX('Form Responses'!I:I,INT((ROW()-2)/6)+2),
"-- NA --"
)</f>
        <v>9600443377</v>
      </c>
      <c r="I1154" s="32" t="str">
        <f t="array" ref="I1154">IF(
MOD(ROW()-2,6)=0,
INDEX('Form Responses'!J:J,INT((ROW()-2)/6)+2),
"-- NA --"
)</f>
        <v>Jeevadharani.m2025cys@sece.ac.in</v>
      </c>
      <c r="J1154" s="29" t="str">
        <f t="array" ref="J1154">INDEX('Form Responses'!$D:$D,INT((ROW()-2)/6)+2)</f>
        <v>Software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>
      <c r="A1155" s="26">
        <v>1154.0</v>
      </c>
      <c r="B1155" s="33"/>
      <c r="C1155" s="26" t="s">
        <v>282</v>
      </c>
      <c r="D1155" s="26" t="str">
        <f t="array" ref="D11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25SY060</v>
      </c>
      <c r="E1155" s="32" t="str">
        <f t="array" ref="E11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TISHA TAZMEEN A</v>
      </c>
      <c r="F1155" s="26" t="str">
        <f t="array" ref="F11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5" s="26" t="str">
        <f t="array" ref="G11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55" s="26" t="str">
        <f t="array" ref="H1155">IF(
MOD(ROW()-2,6)=0,
INDEX('Form Responses'!I:I,INT((ROW()-2)/6)+2),
"-- NA --"
)</f>
        <v>-- NA --</v>
      </c>
      <c r="I1155" s="32" t="str">
        <f t="array" ref="I1155">IF(
MOD(ROW()-2,6)=0,
INDEX('Form Responses'!J:J,INT((ROW()-2)/6)+2),
"-- NA --"
)</f>
        <v>-- NA --</v>
      </c>
      <c r="J1155" s="33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>
      <c r="A1156" s="26">
        <v>1155.0</v>
      </c>
      <c r="B1156" s="33"/>
      <c r="C1156" s="26" t="s">
        <v>385</v>
      </c>
      <c r="D1156" s="26" t="str">
        <f t="array" ref="D11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25SY064</v>
      </c>
      <c r="E1156" s="32" t="str">
        <f t="array" ref="E11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KARUNYA S</v>
      </c>
      <c r="F1156" s="26" t="str">
        <f t="array" ref="F11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6" s="26" t="str">
        <f t="array" ref="G11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56" s="26" t="str">
        <f t="array" ref="H1156">IF(
MOD(ROW()-2,6)=0,
INDEX('Form Responses'!I:I,INT((ROW()-2)/6)+2),
"-- NA --"
)</f>
        <v>-- NA --</v>
      </c>
      <c r="I1156" s="32" t="str">
        <f t="array" ref="I1156">IF(
MOD(ROW()-2,6)=0,
INDEX('Form Responses'!J:J,INT((ROW()-2)/6)+2),
"-- NA --"
)</f>
        <v>-- NA --</v>
      </c>
      <c r="J1156" s="33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>
      <c r="A1157" s="26">
        <v>1156.0</v>
      </c>
      <c r="B1157" s="33"/>
      <c r="C1157" s="26" t="s">
        <v>425</v>
      </c>
      <c r="D1157" s="26" t="str">
        <f t="array" ref="D11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25SY037</v>
      </c>
      <c r="E1157" s="32" t="str">
        <f t="array" ref="E11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MADHU MITHA M</v>
      </c>
      <c r="F1157" s="26" t="str">
        <f t="array" ref="F11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7" s="26" t="str">
        <f t="array" ref="G11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57" s="26" t="str">
        <f t="array" ref="H1157">IF(
MOD(ROW()-2,6)=0,
INDEX('Form Responses'!I:I,INT((ROW()-2)/6)+2),
"-- NA --"
)</f>
        <v>-- NA --</v>
      </c>
      <c r="I1157" s="32" t="str">
        <f t="array" ref="I1157">IF(
MOD(ROW()-2,6)=0,
INDEX('Form Responses'!J:J,INT((ROW()-2)/6)+2),
"-- NA --"
)</f>
        <v>-- NA --</v>
      </c>
      <c r="J1157" s="33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>
      <c r="A1158" s="26">
        <v>1157.0</v>
      </c>
      <c r="B1158" s="33"/>
      <c r="C1158" s="26" t="s">
        <v>464</v>
      </c>
      <c r="D1158" s="26" t="str">
        <f t="array" ref="D11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25CS149</v>
      </c>
      <c r="E1158" s="32" t="str">
        <f t="array" ref="E11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NIRANJAN R</v>
      </c>
      <c r="F1158" s="26" t="str">
        <f t="array" ref="F11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8" s="26" t="str">
        <f t="array" ref="G11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58" s="26" t="str">
        <f t="array" ref="H1158">IF(
MOD(ROW()-2,6)=0,
INDEX('Form Responses'!I:I,INT((ROW()-2)/6)+2),
"-- NA --"
)</f>
        <v>-- NA --</v>
      </c>
      <c r="I1158" s="32" t="str">
        <f t="array" ref="I1158">IF(
MOD(ROW()-2,6)=0,
INDEX('Form Responses'!J:J,INT((ROW()-2)/6)+2),
"-- NA --"
)</f>
        <v>-- NA --</v>
      </c>
      <c r="J1158" s="33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>
      <c r="A1159" s="26">
        <v>1158.0</v>
      </c>
      <c r="B1159" s="6"/>
      <c r="C1159" s="26" t="s">
        <v>500</v>
      </c>
      <c r="D1159" s="26" t="str">
        <f t="array" ref="D11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25EC126</v>
      </c>
      <c r="E1159" s="32" t="str">
        <f t="array" ref="E11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PAVIN P</v>
      </c>
      <c r="F1159" s="26" t="str">
        <f t="array" ref="F11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59" s="26" t="str">
        <f t="array" ref="G11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59" s="26" t="str">
        <f t="array" ref="H1159">IF(
MOD(ROW()-2,6)=0,
INDEX('Form Responses'!I:I,INT((ROW()-2)/6)+2),
"-- NA --"
)</f>
        <v>-- NA --</v>
      </c>
      <c r="I1159" s="32" t="str">
        <f t="array" ref="I1159">IF(
MOD(ROW()-2,6)=0,
INDEX('Form Responses'!J:J,INT((ROW()-2)/6)+2),
"-- NA --"
)</f>
        <v>-- NA --</v>
      </c>
      <c r="J1159" s="6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>
      <c r="A1160" s="26">
        <v>1159.0</v>
      </c>
      <c r="B1160" s="29" t="str">
        <f t="array" ref="B1160">INDEX('Form Responses'!$C:$C,INT((ROW()-2)/6)+2)</f>
        <v>Why not us</v>
      </c>
      <c r="C1160" s="31" t="s">
        <v>140</v>
      </c>
      <c r="D1160" s="26" t="str">
        <f t="array" ref="D11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24CS151</v>
      </c>
      <c r="E1160" s="32" t="str">
        <f t="array" ref="E11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NAVEENKUMAR P</v>
      </c>
      <c r="F1160" s="26" t="str">
        <f t="array" ref="F11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0" s="26" t="str">
        <f t="array" ref="G11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60" s="26">
        <f t="array" ref="H1160">IF(
MOD(ROW()-2,6)=0,
INDEX('Form Responses'!I:I,INT((ROW()-2)/6)+2),
"-- NA --"
)</f>
        <v>8677002836</v>
      </c>
      <c r="I1160" s="32" t="str">
        <f t="array" ref="I1160">IF(
MOD(ROW()-2,6)=0,
INDEX('Form Responses'!J:J,INT((ROW()-2)/6)+2),
"-- NA --"
)</f>
        <v>naveenkumar.p2024cse@sece.ac.in</v>
      </c>
      <c r="J1160" s="29" t="str">
        <f t="array" ref="J1160">INDEX('Form Responses'!$D:$D,INT((ROW()-2)/6)+2)</f>
        <v>Software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>
      <c r="A1161" s="26">
        <v>1160.0</v>
      </c>
      <c r="B1161" s="33"/>
      <c r="C1161" s="26" t="s">
        <v>282</v>
      </c>
      <c r="D1161" s="26" t="str">
        <f t="array" ref="D11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24CS310</v>
      </c>
      <c r="E1161" s="32" t="str">
        <f t="array" ref="E11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MAHENDIRAPRASATH K</v>
      </c>
      <c r="F1161" s="26" t="str">
        <f t="array" ref="F11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1" s="26" t="str">
        <f t="array" ref="G11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61" s="26" t="str">
        <f t="array" ref="H1161">IF(
MOD(ROW()-2,6)=0,
INDEX('Form Responses'!I:I,INT((ROW()-2)/6)+2),
"-- NA --"
)</f>
        <v>-- NA --</v>
      </c>
      <c r="I1161" s="32" t="str">
        <f t="array" ref="I1161">IF(
MOD(ROW()-2,6)=0,
INDEX('Form Responses'!J:J,INT((ROW()-2)/6)+2),
"-- NA --"
)</f>
        <v>-- NA --</v>
      </c>
      <c r="J1161" s="33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>
      <c r="A1162" s="26">
        <v>1161.0</v>
      </c>
      <c r="B1162" s="33"/>
      <c r="C1162" s="26" t="s">
        <v>385</v>
      </c>
      <c r="D1162" s="26" t="str">
        <f t="array" ref="D11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24CS318</v>
      </c>
      <c r="E1162" s="32" t="str">
        <f t="array" ref="E11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VIDHYA VIKASH S</v>
      </c>
      <c r="F1162" s="26" t="str">
        <f t="array" ref="F11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2" s="26" t="str">
        <f t="array" ref="G11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62" s="26" t="str">
        <f t="array" ref="H1162">IF(
MOD(ROW()-2,6)=0,
INDEX('Form Responses'!I:I,INT((ROW()-2)/6)+2),
"-- NA --"
)</f>
        <v>-- NA --</v>
      </c>
      <c r="I1162" s="32" t="str">
        <f t="array" ref="I1162">IF(
MOD(ROW()-2,6)=0,
INDEX('Form Responses'!J:J,INT((ROW()-2)/6)+2),
"-- NA --"
)</f>
        <v>-- NA --</v>
      </c>
      <c r="J1162" s="33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>
      <c r="A1163" s="26">
        <v>1162.0</v>
      </c>
      <c r="B1163" s="33"/>
      <c r="C1163" s="26" t="s">
        <v>425</v>
      </c>
      <c r="D1163" s="26" t="str">
        <f t="array" ref="D11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24CS313</v>
      </c>
      <c r="E1163" s="32" t="str">
        <f t="array" ref="E11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SHAMIR S</v>
      </c>
      <c r="F1163" s="26" t="str">
        <f t="array" ref="F11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3" s="26" t="str">
        <f t="array" ref="G11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63" s="26" t="str">
        <f t="array" ref="H1163">IF(
MOD(ROW()-2,6)=0,
INDEX('Form Responses'!I:I,INT((ROW()-2)/6)+2),
"-- NA --"
)</f>
        <v>-- NA --</v>
      </c>
      <c r="I1163" s="32" t="str">
        <f t="array" ref="I1163">IF(
MOD(ROW()-2,6)=0,
INDEX('Form Responses'!J:J,INT((ROW()-2)/6)+2),
"-- NA --"
)</f>
        <v>-- NA --</v>
      </c>
      <c r="J1163" s="33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>
      <c r="A1164" s="26">
        <v>1163.0</v>
      </c>
      <c r="B1164" s="33"/>
      <c r="C1164" s="26" t="s">
        <v>464</v>
      </c>
      <c r="D1164" s="26" t="str">
        <f t="array" ref="D11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24CC047</v>
      </c>
      <c r="E1164" s="32" t="str">
        <f t="array" ref="E11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SAMVARTHINI T</v>
      </c>
      <c r="F1164" s="26" t="str">
        <f t="array" ref="F11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4" s="26" t="str">
        <f t="array" ref="G11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64" s="26" t="str">
        <f t="array" ref="H1164">IF(
MOD(ROW()-2,6)=0,
INDEX('Form Responses'!I:I,INT((ROW()-2)/6)+2),
"-- NA --"
)</f>
        <v>-- NA --</v>
      </c>
      <c r="I1164" s="32" t="str">
        <f t="array" ref="I1164">IF(
MOD(ROW()-2,6)=0,
INDEX('Form Responses'!J:J,INT((ROW()-2)/6)+2),
"-- NA --"
)</f>
        <v>-- NA --</v>
      </c>
      <c r="J1164" s="33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>
      <c r="A1165" s="26">
        <v>1164.0</v>
      </c>
      <c r="B1165" s="6"/>
      <c r="C1165" s="26" t="s">
        <v>500</v>
      </c>
      <c r="D1165" s="26" t="str">
        <f t="array" ref="D11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24CC021</v>
      </c>
      <c r="E1165" s="32" t="str">
        <f t="array" ref="E11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HARSHITHA V</v>
      </c>
      <c r="F1165" s="26" t="str">
        <f t="array" ref="F11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5" s="26" t="str">
        <f t="array" ref="G11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65" s="26" t="str">
        <f t="array" ref="H1165">IF(
MOD(ROW()-2,6)=0,
INDEX('Form Responses'!I:I,INT((ROW()-2)/6)+2),
"-- NA --"
)</f>
        <v>-- NA --</v>
      </c>
      <c r="I1165" s="32" t="str">
        <f t="array" ref="I1165">IF(
MOD(ROW()-2,6)=0,
INDEX('Form Responses'!J:J,INT((ROW()-2)/6)+2),
"-- NA --"
)</f>
        <v>-- NA --</v>
      </c>
      <c r="J1165" s="6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>
      <c r="A1166" s="26">
        <v>1165.0</v>
      </c>
      <c r="B1166" s="29" t="str">
        <f t="array" ref="B1166">INDEX('Form Responses'!$C:$C,INT((ROW()-2)/6)+2)</f>
        <v>VISION WEAVERS</v>
      </c>
      <c r="C1166" s="31" t="s">
        <v>140</v>
      </c>
      <c r="D1166" s="26" t="str">
        <f t="array" ref="D11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24AM083</v>
      </c>
      <c r="E1166" s="32" t="str">
        <f t="array" ref="E11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 LAKSHMI L V</v>
      </c>
      <c r="F1166" s="26" t="str">
        <f t="array" ref="F11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6" s="26" t="str">
        <f t="array" ref="G11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66" s="26">
        <f t="array" ref="H1166">IF(
MOD(ROW()-2,6)=0,
INDEX('Form Responses'!I:I,INT((ROW()-2)/6)+2),
"-- NA --"
)</f>
        <v>7010405790</v>
      </c>
      <c r="I1166" s="32" t="str">
        <f t="array" ref="I1166">IF(
MOD(ROW()-2,6)=0,
INDEX('Form Responses'!J:J,INT((ROW()-2)/6)+2),
"-- NA --"
)</f>
        <v>sakthilakshmi.lv2024aiml@sece.ac.in</v>
      </c>
      <c r="J1166" s="29" t="str">
        <f t="array" ref="J1166">INDEX('Form Responses'!$D:$D,INT((ROW()-2)/6)+2)</f>
        <v>Software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>
      <c r="A1167" s="26">
        <v>1166.0</v>
      </c>
      <c r="B1167" s="33"/>
      <c r="C1167" s="26" t="s">
        <v>282</v>
      </c>
      <c r="D1167" s="26" t="str">
        <f t="array" ref="D11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24AM085</v>
      </c>
      <c r="E1167" s="32" t="str">
        <f t="array" ref="E11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SANGHAMITHRA P </v>
      </c>
      <c r="F1167" s="26" t="str">
        <f t="array" ref="F11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7" s="26" t="str">
        <f t="array" ref="G11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67" s="26" t="str">
        <f t="array" ref="H1167">IF(
MOD(ROW()-2,6)=0,
INDEX('Form Responses'!I:I,INT((ROW()-2)/6)+2),
"-- NA --"
)</f>
        <v>-- NA --</v>
      </c>
      <c r="I1167" s="32" t="str">
        <f t="array" ref="I1167">IF(
MOD(ROW()-2,6)=0,
INDEX('Form Responses'!J:J,INT((ROW()-2)/6)+2),
"-- NA --"
)</f>
        <v>-- NA --</v>
      </c>
      <c r="J1167" s="33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>
      <c r="A1168" s="26">
        <v>1167.0</v>
      </c>
      <c r="B1168" s="33"/>
      <c r="C1168" s="26" t="s">
        <v>385</v>
      </c>
      <c r="D1168" s="26" t="str">
        <f t="array" ref="D11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24AM093</v>
      </c>
      <c r="E1168" s="32" t="str">
        <f t="array" ref="E11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SHANMUGAPRIYA S</v>
      </c>
      <c r="F1168" s="26" t="str">
        <f t="array" ref="F11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8" s="26" t="str">
        <f t="array" ref="G11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68" s="26" t="str">
        <f t="array" ref="H1168">IF(
MOD(ROW()-2,6)=0,
INDEX('Form Responses'!I:I,INT((ROW()-2)/6)+2),
"-- NA --"
)</f>
        <v>-- NA --</v>
      </c>
      <c r="I1168" s="32" t="str">
        <f t="array" ref="I1168">IF(
MOD(ROW()-2,6)=0,
INDEX('Form Responses'!J:J,INT((ROW()-2)/6)+2),
"-- NA --"
)</f>
        <v>-- NA --</v>
      </c>
      <c r="J1168" s="33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>
      <c r="A1169" s="26">
        <v>1168.0</v>
      </c>
      <c r="B1169" s="33"/>
      <c r="C1169" s="26" t="s">
        <v>425</v>
      </c>
      <c r="D1169" s="26" t="str">
        <f t="array" ref="D11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24AM095</v>
      </c>
      <c r="E1169" s="32" t="str">
        <f t="array" ref="E11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SHUBHAHARINI S</v>
      </c>
      <c r="F1169" s="26" t="str">
        <f t="array" ref="F11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69" s="26" t="str">
        <f t="array" ref="G11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69" s="26" t="str">
        <f t="array" ref="H1169">IF(
MOD(ROW()-2,6)=0,
INDEX('Form Responses'!I:I,INT((ROW()-2)/6)+2),
"-- NA --"
)</f>
        <v>-- NA --</v>
      </c>
      <c r="I1169" s="32" t="str">
        <f t="array" ref="I1169">IF(
MOD(ROW()-2,6)=0,
INDEX('Form Responses'!J:J,INT((ROW()-2)/6)+2),
"-- NA --"
)</f>
        <v>-- NA --</v>
      </c>
      <c r="J1169" s="33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>
      <c r="A1170" s="26">
        <v>1169.0</v>
      </c>
      <c r="B1170" s="33"/>
      <c r="C1170" s="26" t="s">
        <v>464</v>
      </c>
      <c r="D1170" s="26" t="str">
        <f t="array" ref="D11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24EE006</v>
      </c>
      <c r="E1170" s="32" t="str">
        <f t="array" ref="E11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AKSHAYA M</v>
      </c>
      <c r="F1170" s="26" t="str">
        <f t="array" ref="F11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0" s="26" t="str">
        <f t="array" ref="G11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170" s="26" t="str">
        <f t="array" ref="H1170">IF(
MOD(ROW()-2,6)=0,
INDEX('Form Responses'!I:I,INT((ROW()-2)/6)+2),
"-- NA --"
)</f>
        <v>-- NA --</v>
      </c>
      <c r="I1170" s="32" t="str">
        <f t="array" ref="I1170">IF(
MOD(ROW()-2,6)=0,
INDEX('Form Responses'!J:J,INT((ROW()-2)/6)+2),
"-- NA --"
)</f>
        <v>-- NA --</v>
      </c>
      <c r="J1170" s="33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>
      <c r="A1171" s="26">
        <v>1170.0</v>
      </c>
      <c r="B1171" s="6"/>
      <c r="C1171" s="26" t="s">
        <v>500</v>
      </c>
      <c r="D1171" s="26" t="str">
        <f t="array" ref="D11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24EC030</v>
      </c>
      <c r="E1171" s="32" t="str">
        <f t="array" ref="E11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DARSHNA K</v>
      </c>
      <c r="F1171" s="26" t="str">
        <f t="array" ref="F11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1" s="26" t="str">
        <f t="array" ref="G11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71" s="26" t="str">
        <f t="array" ref="H1171">IF(
MOD(ROW()-2,6)=0,
INDEX('Form Responses'!I:I,INT((ROW()-2)/6)+2),
"-- NA --"
)</f>
        <v>-- NA --</v>
      </c>
      <c r="I1171" s="32" t="str">
        <f t="array" ref="I1171">IF(
MOD(ROW()-2,6)=0,
INDEX('Form Responses'!J:J,INT((ROW()-2)/6)+2),
"-- NA --"
)</f>
        <v>-- NA --</v>
      </c>
      <c r="J1171" s="6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>
      <c r="A1172" s="26">
        <v>1171.0</v>
      </c>
      <c r="B1172" s="29" t="str">
        <f t="array" ref="B1172">INDEX('Form Responses'!$C:$C,INT((ROW()-2)/6)+2)</f>
        <v>THANVIKA B</v>
      </c>
      <c r="C1172" s="31" t="s">
        <v>140</v>
      </c>
      <c r="D1172" s="26" t="str">
        <f t="array" ref="D11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24AM109</v>
      </c>
      <c r="E1172" s="32" t="str">
        <f t="array" ref="E11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THANVIKA B</v>
      </c>
      <c r="F1172" s="26" t="str">
        <f t="array" ref="F11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2" s="26" t="str">
        <f t="array" ref="G11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72" s="26">
        <f t="array" ref="H1172">IF(
MOD(ROW()-2,6)=0,
INDEX('Form Responses'!I:I,INT((ROW()-2)/6)+2),
"-- NA --"
)</f>
        <v>6382417620</v>
      </c>
      <c r="I1172" s="32" t="str">
        <f t="array" ref="I1172">IF(
MOD(ROW()-2,6)=0,
INDEX('Form Responses'!J:J,INT((ROW()-2)/6)+2),
"-- NA --"
)</f>
        <v>thanvika.b2024aiml@sece.ac.in</v>
      </c>
      <c r="J1172" s="29" t="str">
        <f t="array" ref="J1172">INDEX('Form Responses'!$D:$D,INT((ROW()-2)/6)+2)</f>
        <v>Hardware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>
      <c r="A1173" s="26">
        <v>1172.0</v>
      </c>
      <c r="B1173" s="33"/>
      <c r="C1173" s="26" t="s">
        <v>282</v>
      </c>
      <c r="D1173" s="26" t="str">
        <f t="array" ref="D11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24AM091</v>
      </c>
      <c r="E1173" s="32" t="str">
        <f t="array" ref="E11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SHABHARIVAASUN K R</v>
      </c>
      <c r="F1173" s="26" t="str">
        <f t="array" ref="F11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3" s="26" t="str">
        <f t="array" ref="G11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73" s="26" t="str">
        <f t="array" ref="H1173">IF(
MOD(ROW()-2,6)=0,
INDEX('Form Responses'!I:I,INT((ROW()-2)/6)+2),
"-- NA --"
)</f>
        <v>-- NA --</v>
      </c>
      <c r="I1173" s="32" t="str">
        <f t="array" ref="I1173">IF(
MOD(ROW()-2,6)=0,
INDEX('Form Responses'!J:J,INT((ROW()-2)/6)+2),
"-- NA --"
)</f>
        <v>-- NA --</v>
      </c>
      <c r="J1173" s="33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>
      <c r="A1174" s="26">
        <v>1173.0</v>
      </c>
      <c r="B1174" s="33"/>
      <c r="C1174" s="26" t="s">
        <v>385</v>
      </c>
      <c r="D1174" s="26" t="str">
        <f t="array" ref="D11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24AM092</v>
      </c>
      <c r="E1174" s="32" t="str">
        <f t="array" ref="E11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SHAMITHA S</v>
      </c>
      <c r="F1174" s="26" t="str">
        <f t="array" ref="F11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4" s="26" t="str">
        <f t="array" ref="G11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74" s="26" t="str">
        <f t="array" ref="H1174">IF(
MOD(ROW()-2,6)=0,
INDEX('Form Responses'!I:I,INT((ROW()-2)/6)+2),
"-- NA --"
)</f>
        <v>-- NA --</v>
      </c>
      <c r="I1174" s="32" t="str">
        <f t="array" ref="I1174">IF(
MOD(ROW()-2,6)=0,
INDEX('Form Responses'!J:J,INT((ROW()-2)/6)+2),
"-- NA --"
)</f>
        <v>-- NA --</v>
      </c>
      <c r="J1174" s="33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>
      <c r="A1175" s="26">
        <v>1174.0</v>
      </c>
      <c r="B1175" s="33"/>
      <c r="C1175" s="26" t="s">
        <v>425</v>
      </c>
      <c r="D1175" s="26" t="str">
        <f t="array" ref="D11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24AM089</v>
      </c>
      <c r="E1175" s="32" t="str">
        <f t="array" ref="E11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SANTHU MOHAMMED M</v>
      </c>
      <c r="F1175" s="26" t="str">
        <f t="array" ref="F11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5" s="26" t="str">
        <f t="array" ref="G11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75" s="26" t="str">
        <f t="array" ref="H1175">IF(
MOD(ROW()-2,6)=0,
INDEX('Form Responses'!I:I,INT((ROW()-2)/6)+2),
"-- NA --"
)</f>
        <v>-- NA --</v>
      </c>
      <c r="I1175" s="32" t="str">
        <f t="array" ref="I1175">IF(
MOD(ROW()-2,6)=0,
INDEX('Form Responses'!J:J,INT((ROW()-2)/6)+2),
"-- NA --"
)</f>
        <v>-- NA --</v>
      </c>
      <c r="J1175" s="33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>
      <c r="A1176" s="26">
        <v>1175.0</v>
      </c>
      <c r="B1176" s="33"/>
      <c r="C1176" s="26" t="s">
        <v>464</v>
      </c>
      <c r="D1176" s="26" t="str">
        <f t="array" ref="D11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24CC062</v>
      </c>
      <c r="E1176" s="32" t="str">
        <f t="array" ref="E11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VISWESH BALAJI V S</v>
      </c>
      <c r="F1176" s="26" t="str">
        <f t="array" ref="F11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6" s="26" t="str">
        <f t="array" ref="G11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176" s="26" t="str">
        <f t="array" ref="H1176">IF(
MOD(ROW()-2,6)=0,
INDEX('Form Responses'!I:I,INT((ROW()-2)/6)+2),
"-- NA --"
)</f>
        <v>-- NA --</v>
      </c>
      <c r="I1176" s="32" t="str">
        <f t="array" ref="I1176">IF(
MOD(ROW()-2,6)=0,
INDEX('Form Responses'!J:J,INT((ROW()-2)/6)+2),
"-- NA --"
)</f>
        <v>-- NA --</v>
      </c>
      <c r="J1176" s="33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>
      <c r="A1177" s="26">
        <v>1176.0</v>
      </c>
      <c r="B1177" s="6"/>
      <c r="C1177" s="26" t="s">
        <v>500</v>
      </c>
      <c r="D1177" s="26" t="str">
        <f t="array" ref="D11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24EC125</v>
      </c>
      <c r="E1177" s="32" t="str">
        <f t="array" ref="E11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RAJASREE M</v>
      </c>
      <c r="F1177" s="26" t="str">
        <f t="array" ref="F11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7" s="26" t="str">
        <f t="array" ref="G11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77" s="26" t="str">
        <f t="array" ref="H1177">IF(
MOD(ROW()-2,6)=0,
INDEX('Form Responses'!I:I,INT((ROW()-2)/6)+2),
"-- NA --"
)</f>
        <v>-- NA --</v>
      </c>
      <c r="I1177" s="32" t="str">
        <f t="array" ref="I1177">IF(
MOD(ROW()-2,6)=0,
INDEX('Form Responses'!J:J,INT((ROW()-2)/6)+2),
"-- NA --"
)</f>
        <v>-- NA --</v>
      </c>
      <c r="J1177" s="6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>
      <c r="A1178" s="26">
        <v>1177.0</v>
      </c>
      <c r="B1178" s="29" t="str">
        <f t="array" ref="B1178">INDEX('Form Responses'!$C:$C,INT((ROW()-2)/6)+2)</f>
        <v>Code Hackers</v>
      </c>
      <c r="C1178" s="31" t="s">
        <v>140</v>
      </c>
      <c r="D1178" s="26" t="str">
        <f t="array" ref="D11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24SY061</v>
      </c>
      <c r="E1178" s="32" t="str">
        <f t="array" ref="E11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VENISHA S</v>
      </c>
      <c r="F1178" s="26" t="str">
        <f t="array" ref="F11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8" s="26" t="str">
        <f t="array" ref="G11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78" s="26">
        <f t="array" ref="H1178">IF(
MOD(ROW()-2,6)=0,
INDEX('Form Responses'!I:I,INT((ROW()-2)/6)+2),
"-- NA --"
)</f>
        <v>6379831587</v>
      </c>
      <c r="I1178" s="32" t="str">
        <f t="array" ref="I1178">IF(
MOD(ROW()-2,6)=0,
INDEX('Form Responses'!J:J,INT((ROW()-2)/6)+2),
"-- NA --"
)</f>
        <v>venisha.s2024csecs@sece.ac.in</v>
      </c>
      <c r="J1178" s="29" t="str">
        <f t="array" ref="J1178">INDEX('Form Responses'!$D:$D,INT((ROW()-2)/6)+2)</f>
        <v>Software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>
      <c r="A1179" s="26">
        <v>1178.0</v>
      </c>
      <c r="B1179" s="33"/>
      <c r="C1179" s="26" t="s">
        <v>282</v>
      </c>
      <c r="D1179" s="26" t="str">
        <f t="array" ref="D11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24CS304</v>
      </c>
      <c r="E1179" s="32" t="str">
        <f t="array" ref="E11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BHARANIDHARAN A</v>
      </c>
      <c r="F1179" s="26" t="str">
        <f t="array" ref="F11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79" s="26" t="str">
        <f t="array" ref="G11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79" s="26" t="str">
        <f t="array" ref="H1179">IF(
MOD(ROW()-2,6)=0,
INDEX('Form Responses'!I:I,INT((ROW()-2)/6)+2),
"-- NA --"
)</f>
        <v>-- NA --</v>
      </c>
      <c r="I1179" s="32" t="str">
        <f t="array" ref="I1179">IF(
MOD(ROW()-2,6)=0,
INDEX('Form Responses'!J:J,INT((ROW()-2)/6)+2),
"-- NA --"
)</f>
        <v>-- NA --</v>
      </c>
      <c r="J1179" s="33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>
      <c r="A1180" s="26">
        <v>1179.0</v>
      </c>
      <c r="B1180" s="33"/>
      <c r="C1180" s="26" t="s">
        <v>385</v>
      </c>
      <c r="D1180" s="26" t="str">
        <f t="array" ref="D11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24SY010</v>
      </c>
      <c r="E1180" s="32" t="str">
        <f t="array" ref="E11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DHARANI M</v>
      </c>
      <c r="F1180" s="26" t="str">
        <f t="array" ref="F11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0" s="26" t="str">
        <f t="array" ref="G11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80" s="26" t="str">
        <f t="array" ref="H1180">IF(
MOD(ROW()-2,6)=0,
INDEX('Form Responses'!I:I,INT((ROW()-2)/6)+2),
"-- NA --"
)</f>
        <v>-- NA --</v>
      </c>
      <c r="I1180" s="32" t="str">
        <f t="array" ref="I1180">IF(
MOD(ROW()-2,6)=0,
INDEX('Form Responses'!J:J,INT((ROW()-2)/6)+2),
"-- NA --"
)</f>
        <v>-- NA --</v>
      </c>
      <c r="J1180" s="33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>
      <c r="A1181" s="26">
        <v>1180.0</v>
      </c>
      <c r="B1181" s="33"/>
      <c r="C1181" s="26" t="s">
        <v>425</v>
      </c>
      <c r="D1181" s="26" t="str">
        <f t="array" ref="D11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24SY041</v>
      </c>
      <c r="E1181" s="32" t="str">
        <f t="array" ref="E11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RAKSHEEDHA V K</v>
      </c>
      <c r="F1181" s="26" t="str">
        <f t="array" ref="F11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1" s="26" t="str">
        <f t="array" ref="G11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81" s="26" t="str">
        <f t="array" ref="H1181">IF(
MOD(ROW()-2,6)=0,
INDEX('Form Responses'!I:I,INT((ROW()-2)/6)+2),
"-- NA --"
)</f>
        <v>-- NA --</v>
      </c>
      <c r="I1181" s="32" t="str">
        <f t="array" ref="I1181">IF(
MOD(ROW()-2,6)=0,
INDEX('Form Responses'!J:J,INT((ROW()-2)/6)+2),
"-- NA --"
)</f>
        <v>-- NA --</v>
      </c>
      <c r="J1181" s="33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>
      <c r="A1182" s="26">
        <v>1181.0</v>
      </c>
      <c r="B1182" s="33"/>
      <c r="C1182" s="26" t="s">
        <v>464</v>
      </c>
      <c r="D1182" s="26" t="str">
        <f t="array" ref="D11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24SY043</v>
      </c>
      <c r="E1182" s="32" t="str">
        <f t="array" ref="E11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RUBIKA M</v>
      </c>
      <c r="F1182" s="26" t="str">
        <f t="array" ref="F11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2" s="26" t="str">
        <f t="array" ref="G11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182" s="26" t="str">
        <f t="array" ref="H1182">IF(
MOD(ROW()-2,6)=0,
INDEX('Form Responses'!I:I,INT((ROW()-2)/6)+2),
"-- NA --"
)</f>
        <v>-- NA --</v>
      </c>
      <c r="I1182" s="32" t="str">
        <f t="array" ref="I1182">IF(
MOD(ROW()-2,6)=0,
INDEX('Form Responses'!J:J,INT((ROW()-2)/6)+2),
"-- NA --"
)</f>
        <v>-- NA --</v>
      </c>
      <c r="J1182" s="33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>
      <c r="A1183" s="26">
        <v>1182.0</v>
      </c>
      <c r="B1183" s="6"/>
      <c r="C1183" s="26" t="s">
        <v>500</v>
      </c>
      <c r="D1183" s="26" t="str">
        <f t="array" ref="D11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25EC501</v>
      </c>
      <c r="E1183" s="32" t="str">
        <f t="array" ref="E11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SURYA P S</v>
      </c>
      <c r="F1183" s="26" t="str">
        <f t="array" ref="F11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83" s="26" t="str">
        <f t="array" ref="G11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183" s="26" t="str">
        <f t="array" ref="H1183">IF(
MOD(ROW()-2,6)=0,
INDEX('Form Responses'!I:I,INT((ROW()-2)/6)+2),
"-- NA --"
)</f>
        <v>-- NA --</v>
      </c>
      <c r="I1183" s="32" t="str">
        <f t="array" ref="I1183">IF(
MOD(ROW()-2,6)=0,
INDEX('Form Responses'!J:J,INT((ROW()-2)/6)+2),
"-- NA --"
)</f>
        <v>-- NA --</v>
      </c>
      <c r="J1183" s="6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>
      <c r="A1184" s="26">
        <v>1183.0</v>
      </c>
      <c r="B1184" s="29" t="str">
        <f t="array" ref="B1184">INDEX('Form Responses'!$C:$C,INT((ROW()-2)/6)+2)</f>
        <v>Vector Minds</v>
      </c>
      <c r="C1184" s="31" t="s">
        <v>140</v>
      </c>
      <c r="D1184" s="26" t="str">
        <f t="array" ref="D11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24AD229</v>
      </c>
      <c r="E1184" s="32" t="str">
        <f t="array" ref="E11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Suriyaprakash RM</v>
      </c>
      <c r="F1184" s="26" t="str">
        <f t="array" ref="F11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4" s="26" t="str">
        <f t="array" ref="G11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84" s="26">
        <f t="array" ref="H1184">IF(
MOD(ROW()-2,6)=0,
INDEX('Form Responses'!I:I,INT((ROW()-2)/6)+2),
"-- NA --"
)</f>
        <v>6383191041</v>
      </c>
      <c r="I1184" s="32" t="str">
        <f t="array" ref="I1184">IF(
MOD(ROW()-2,6)=0,
INDEX('Form Responses'!J:J,INT((ROW()-2)/6)+2),
"-- NA --"
)</f>
        <v>suriyaprakash.rm2024aids@sece.ac.in</v>
      </c>
      <c r="J1184" s="29" t="str">
        <f t="array" ref="J1184">INDEX('Form Responses'!$D:$D,INT((ROW()-2)/6)+2)</f>
        <v>Software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>
      <c r="A1185" s="26">
        <v>1184.0</v>
      </c>
      <c r="B1185" s="33"/>
      <c r="C1185" s="26" t="s">
        <v>282</v>
      </c>
      <c r="D1185" s="26" t="str">
        <f t="array" ref="D11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24AD240</v>
      </c>
      <c r="E1185" s="32" t="str">
        <f t="array" ref="E11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THARUN VARSHAN S</v>
      </c>
      <c r="F1185" s="26" t="str">
        <f t="array" ref="F11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5" s="26" t="str">
        <f t="array" ref="G11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85" s="26" t="str">
        <f t="array" ref="H1185">IF(
MOD(ROW()-2,6)=0,
INDEX('Form Responses'!I:I,INT((ROW()-2)/6)+2),
"-- NA --"
)</f>
        <v>-- NA --</v>
      </c>
      <c r="I1185" s="32" t="str">
        <f t="array" ref="I1185">IF(
MOD(ROW()-2,6)=0,
INDEX('Form Responses'!J:J,INT((ROW()-2)/6)+2),
"-- NA --"
)</f>
        <v>-- NA --</v>
      </c>
      <c r="J1185" s="33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>
      <c r="A1186" s="26">
        <v>1185.0</v>
      </c>
      <c r="B1186" s="33"/>
      <c r="C1186" s="26" t="s">
        <v>385</v>
      </c>
      <c r="D1186" s="26" t="str">
        <f t="array" ref="D11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24CS303</v>
      </c>
      <c r="E1186" s="32" t="str">
        <f t="array" ref="E11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ARTHI V</v>
      </c>
      <c r="F1186" s="26" t="str">
        <f t="array" ref="F11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6" s="26" t="str">
        <f t="array" ref="G11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86" s="26" t="str">
        <f t="array" ref="H1186">IF(
MOD(ROW()-2,6)=0,
INDEX('Form Responses'!I:I,INT((ROW()-2)/6)+2),
"-- NA --"
)</f>
        <v>-- NA --</v>
      </c>
      <c r="I1186" s="32" t="str">
        <f t="array" ref="I1186">IF(
MOD(ROW()-2,6)=0,
INDEX('Form Responses'!J:J,INT((ROW()-2)/6)+2),
"-- NA --"
)</f>
        <v>-- NA --</v>
      </c>
      <c r="J1186" s="33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>
      <c r="A1187" s="26">
        <v>1186.0</v>
      </c>
      <c r="B1187" s="33"/>
      <c r="C1187" s="26" t="s">
        <v>425</v>
      </c>
      <c r="D1187" s="26" t="str">
        <f t="array" ref="D11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24AD247</v>
      </c>
      <c r="E1187" s="32" t="str">
        <f t="array" ref="E11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VIJAYSRIMARI S</v>
      </c>
      <c r="F1187" s="26" t="str">
        <f t="array" ref="F11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7" s="26" t="str">
        <f t="array" ref="G11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87" s="26" t="str">
        <f t="array" ref="H1187">IF(
MOD(ROW()-2,6)=0,
INDEX('Form Responses'!I:I,INT((ROW()-2)/6)+2),
"-- NA --"
)</f>
        <v>-- NA --</v>
      </c>
      <c r="I1187" s="32" t="str">
        <f t="array" ref="I1187">IF(
MOD(ROW()-2,6)=0,
INDEX('Form Responses'!J:J,INT((ROW()-2)/6)+2),
"-- NA --"
)</f>
        <v>-- NA --</v>
      </c>
      <c r="J1187" s="33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>
      <c r="A1188" s="26">
        <v>1187.0</v>
      </c>
      <c r="B1188" s="33"/>
      <c r="C1188" s="26" t="s">
        <v>464</v>
      </c>
      <c r="D1188" s="26" t="str">
        <f t="array" ref="D11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24AD202</v>
      </c>
      <c r="E1188" s="32" t="str">
        <f t="array" ref="E11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 SRIDHAR M</v>
      </c>
      <c r="F1188" s="26" t="str">
        <f t="array" ref="F11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8" s="26" t="str">
        <f t="array" ref="G11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88" s="26" t="str">
        <f t="array" ref="H1188">IF(
MOD(ROW()-2,6)=0,
INDEX('Form Responses'!I:I,INT((ROW()-2)/6)+2),
"-- NA --"
)</f>
        <v>-- NA --</v>
      </c>
      <c r="I1188" s="32" t="str">
        <f t="array" ref="I1188">IF(
MOD(ROW()-2,6)=0,
INDEX('Form Responses'!J:J,INT((ROW()-2)/6)+2),
"-- NA --"
)</f>
        <v>-- NA --</v>
      </c>
      <c r="J1188" s="33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>
      <c r="A1189" s="26">
        <v>1188.0</v>
      </c>
      <c r="B1189" s="6"/>
      <c r="C1189" s="26" t="s">
        <v>500</v>
      </c>
      <c r="D1189" s="26" t="str">
        <f t="array" ref="D11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24AD213</v>
      </c>
      <c r="E1189" s="32" t="str">
        <f t="array" ref="E11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PON RAMA S</v>
      </c>
      <c r="F1189" s="26" t="str">
        <f t="array" ref="F11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89" s="26" t="str">
        <f t="array" ref="G11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89" s="26" t="str">
        <f t="array" ref="H1189">IF(
MOD(ROW()-2,6)=0,
INDEX('Form Responses'!I:I,INT((ROW()-2)/6)+2),
"-- NA --"
)</f>
        <v>-- NA --</v>
      </c>
      <c r="I1189" s="32" t="str">
        <f t="array" ref="I1189">IF(
MOD(ROW()-2,6)=0,
INDEX('Form Responses'!J:J,INT((ROW()-2)/6)+2),
"-- NA --"
)</f>
        <v>-- NA --</v>
      </c>
      <c r="J1189" s="6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>
      <c r="A1190" s="26">
        <v>1189.0</v>
      </c>
      <c r="B1190" s="29" t="str">
        <f t="array" ref="B1190">INDEX('Form Responses'!$C:$C,INT((ROW()-2)/6)+2)</f>
        <v>SYNTAX SQUAD 2</v>
      </c>
      <c r="C1190" s="31" t="s">
        <v>140</v>
      </c>
      <c r="D1190" s="26" t="str">
        <f t="array" ref="D11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24AD303</v>
      </c>
      <c r="E1190" s="32" t="str">
        <f t="array" ref="E11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DARSHAN S</v>
      </c>
      <c r="F1190" s="26" t="str">
        <f t="array" ref="F11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0" s="26" t="str">
        <f t="array" ref="G11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90" s="26">
        <f t="array" ref="H1190">IF(
MOD(ROW()-2,6)=0,
INDEX('Form Responses'!I:I,INT((ROW()-2)/6)+2),
"-- NA --"
)</f>
        <v>9080049006</v>
      </c>
      <c r="I1190" s="32" t="str">
        <f t="array" ref="I1190">IF(
MOD(ROW()-2,6)=0,
INDEX('Form Responses'!J:J,INT((ROW()-2)/6)+2),
"-- NA --"
)</f>
        <v>darshan.s2024laids@sece.ac.in</v>
      </c>
      <c r="J1190" s="29" t="str">
        <f t="array" ref="J1190">INDEX('Form Responses'!$D:$D,INT((ROW()-2)/6)+2)</f>
        <v>Software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>
      <c r="A1191" s="26">
        <v>1190.0</v>
      </c>
      <c r="B1191" s="33"/>
      <c r="C1191" s="26" t="s">
        <v>282</v>
      </c>
      <c r="D1191" s="26" t="str">
        <f t="array" ref="D11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24AD092</v>
      </c>
      <c r="E1191" s="32" t="str">
        <f t="array" ref="E11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KARTHICK T</v>
      </c>
      <c r="F1191" s="26" t="str">
        <f t="array" ref="F11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1" s="26" t="str">
        <f t="array" ref="G11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91" s="26" t="str">
        <f t="array" ref="H1191">IF(
MOD(ROW()-2,6)=0,
INDEX('Form Responses'!I:I,INT((ROW()-2)/6)+2),
"-- NA --"
)</f>
        <v>-- NA --</v>
      </c>
      <c r="I1191" s="32" t="str">
        <f t="array" ref="I1191">IF(
MOD(ROW()-2,6)=0,
INDEX('Form Responses'!J:J,INT((ROW()-2)/6)+2),
"-- NA --"
)</f>
        <v>-- NA --</v>
      </c>
      <c r="J1191" s="33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>
      <c r="A1192" s="26">
        <v>1191.0</v>
      </c>
      <c r="B1192" s="33"/>
      <c r="C1192" s="26" t="s">
        <v>385</v>
      </c>
      <c r="D1192" s="26" t="str">
        <f t="array" ref="D11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24AD309</v>
      </c>
      <c r="E1192" s="32" t="str">
        <f t="array" ref="E11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RETHANESH S</v>
      </c>
      <c r="F1192" s="26" t="str">
        <f t="array" ref="F11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2" s="26" t="str">
        <f t="array" ref="G11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92" s="26" t="str">
        <f t="array" ref="H1192">IF(
MOD(ROW()-2,6)=0,
INDEX('Form Responses'!I:I,INT((ROW()-2)/6)+2),
"-- NA --"
)</f>
        <v>-- NA --</v>
      </c>
      <c r="I1192" s="32" t="str">
        <f t="array" ref="I1192">IF(
MOD(ROW()-2,6)=0,
INDEX('Form Responses'!J:J,INT((ROW()-2)/6)+2),
"-- NA --"
)</f>
        <v>-- NA --</v>
      </c>
      <c r="J1192" s="33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>
      <c r="A1193" s="26">
        <v>1192.0</v>
      </c>
      <c r="B1193" s="33"/>
      <c r="C1193" s="26" t="s">
        <v>425</v>
      </c>
      <c r="D1193" s="26" t="str">
        <f t="array" ref="D11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24AD313</v>
      </c>
      <c r="E1193" s="32" t="str">
        <f t="array" ref="E11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K</v>
      </c>
      <c r="F1193" s="26" t="str">
        <f t="array" ref="F11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3" s="26" t="str">
        <f t="array" ref="G11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193" s="26" t="str">
        <f t="array" ref="H1193">IF(
MOD(ROW()-2,6)=0,
INDEX('Form Responses'!I:I,INT((ROW()-2)/6)+2),
"-- NA --"
)</f>
        <v>-- NA --</v>
      </c>
      <c r="I1193" s="32" t="str">
        <f t="array" ref="I1193">IF(
MOD(ROW()-2,6)=0,
INDEX('Form Responses'!J:J,INT((ROW()-2)/6)+2),
"-- NA --"
)</f>
        <v>-- NA --</v>
      </c>
      <c r="J1193" s="33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>
      <c r="A1194" s="26">
        <v>1193.0</v>
      </c>
      <c r="B1194" s="33"/>
      <c r="C1194" s="26" t="s">
        <v>464</v>
      </c>
      <c r="D1194" s="26" t="str">
        <f t="array" ref="D11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24CS319</v>
      </c>
      <c r="E1194" s="32" t="str">
        <f t="array" ref="E11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KRISHNAN S</v>
      </c>
      <c r="F1194" s="26" t="str">
        <f t="array" ref="F11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4" s="26" t="str">
        <f t="array" ref="G11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94" s="26" t="str">
        <f t="array" ref="H1194">IF(
MOD(ROW()-2,6)=0,
INDEX('Form Responses'!I:I,INT((ROW()-2)/6)+2),
"-- NA --"
)</f>
        <v>-- NA --</v>
      </c>
      <c r="I1194" s="32" t="str">
        <f t="array" ref="I1194">IF(
MOD(ROW()-2,6)=0,
INDEX('Form Responses'!J:J,INT((ROW()-2)/6)+2),
"-- NA --"
)</f>
        <v>-- NA --</v>
      </c>
      <c r="J1194" s="33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>
      <c r="A1195" s="26">
        <v>1194.0</v>
      </c>
      <c r="B1195" s="6"/>
      <c r="C1195" s="26" t="s">
        <v>500</v>
      </c>
      <c r="D1195" s="26" t="str">
        <f t="array" ref="D11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25CS089</v>
      </c>
      <c r="E1195" s="32" t="str">
        <f t="array" ref="E11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JOVITA B</v>
      </c>
      <c r="F1195" s="26" t="str">
        <f t="array" ref="F11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195" s="26" t="str">
        <f t="array" ref="G11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95" s="26" t="str">
        <f t="array" ref="H1195">IF(
MOD(ROW()-2,6)=0,
INDEX('Form Responses'!I:I,INT((ROW()-2)/6)+2),
"-- NA --"
)</f>
        <v>-- NA --</v>
      </c>
      <c r="I1195" s="32" t="str">
        <f t="array" ref="I1195">IF(
MOD(ROW()-2,6)=0,
INDEX('Form Responses'!J:J,INT((ROW()-2)/6)+2),
"-- NA --"
)</f>
        <v>-- NA --</v>
      </c>
      <c r="J1195" s="6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>
      <c r="A1196" s="26">
        <v>1195.0</v>
      </c>
      <c r="B1196" s="29" t="str">
        <f t="array" ref="B1196">INDEX('Form Responses'!$C:$C,INT((ROW()-2)/6)+2)</f>
        <v>TECHBLOOMS</v>
      </c>
      <c r="C1196" s="31" t="s">
        <v>140</v>
      </c>
      <c r="D1196" s="26" t="str">
        <f t="array" ref="D11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24CS168</v>
      </c>
      <c r="E1196" s="32" t="str">
        <f t="array" ref="E11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M</v>
      </c>
      <c r="F1196" s="26" t="str">
        <f t="array" ref="F11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6" s="26" t="str">
        <f t="array" ref="G11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96" s="26">
        <f t="array" ref="H1196">IF(
MOD(ROW()-2,6)=0,
INDEX('Form Responses'!I:I,INT((ROW()-2)/6)+2),
"-- NA --"
)</f>
        <v>9677558590</v>
      </c>
      <c r="I1196" s="32" t="str">
        <f t="array" ref="I1196">IF(
MOD(ROW()-2,6)=0,
INDEX('Form Responses'!J:J,INT((ROW()-2)/6)+2),
"-- NA --"
)</f>
        <v>pavithra.m2024cse@sece.ac.in</v>
      </c>
      <c r="J1196" s="29" t="str">
        <f t="array" ref="J1196">INDEX('Form Responses'!$D:$D,INT((ROW()-2)/6)+2)</f>
        <v>Software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>
      <c r="A1197" s="26">
        <v>1196.0</v>
      </c>
      <c r="B1197" s="33"/>
      <c r="C1197" s="26" t="s">
        <v>282</v>
      </c>
      <c r="D1197" s="26" t="str">
        <f t="array" ref="D11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24CS174</v>
      </c>
      <c r="E1197" s="32" t="str">
        <f t="array" ref="E11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PRABHU D</v>
      </c>
      <c r="F1197" s="26" t="str">
        <f t="array" ref="F11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7" s="26" t="str">
        <f t="array" ref="G11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197" s="26" t="str">
        <f t="array" ref="H1197">IF(
MOD(ROW()-2,6)=0,
INDEX('Form Responses'!I:I,INT((ROW()-2)/6)+2),
"-- NA --"
)</f>
        <v>-- NA --</v>
      </c>
      <c r="I1197" s="32" t="str">
        <f t="array" ref="I1197">IF(
MOD(ROW()-2,6)=0,
INDEX('Form Responses'!J:J,INT((ROW()-2)/6)+2),
"-- NA --"
)</f>
        <v>-- NA --</v>
      </c>
      <c r="J1197" s="33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>
      <c r="A1198" s="26">
        <v>1197.0</v>
      </c>
      <c r="B1198" s="33"/>
      <c r="C1198" s="26" t="s">
        <v>385</v>
      </c>
      <c r="D1198" s="26" t="str">
        <f t="array" ref="D11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24AM114</v>
      </c>
      <c r="E1198" s="32" t="str">
        <f t="array" ref="E11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Vinish Raghav K E</v>
      </c>
      <c r="F1198" s="26" t="str">
        <f t="array" ref="F11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8" s="26" t="str">
        <f t="array" ref="G11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98" s="26" t="str">
        <f t="array" ref="H1198">IF(
MOD(ROW()-2,6)=0,
INDEX('Form Responses'!I:I,INT((ROW()-2)/6)+2),
"-- NA --"
)</f>
        <v>-- NA --</v>
      </c>
      <c r="I1198" s="32" t="str">
        <f t="array" ref="I1198">IF(
MOD(ROW()-2,6)=0,
INDEX('Form Responses'!J:J,INT((ROW()-2)/6)+2),
"-- NA --"
)</f>
        <v>-- NA --</v>
      </c>
      <c r="J1198" s="33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>
      <c r="A1199" s="26">
        <v>1198.0</v>
      </c>
      <c r="B1199" s="33"/>
      <c r="C1199" s="26" t="s">
        <v>425</v>
      </c>
      <c r="D1199" s="26" t="str">
        <f t="array" ref="D11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24AM106</v>
      </c>
      <c r="E1199" s="32" t="str">
        <f t="array" ref="E11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R</v>
      </c>
      <c r="F1199" s="26" t="str">
        <f t="array" ref="F11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199" s="26" t="str">
        <f t="array" ref="G11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199" s="26" t="str">
        <f t="array" ref="H1199">IF(
MOD(ROW()-2,6)=0,
INDEX('Form Responses'!I:I,INT((ROW()-2)/6)+2),
"-- NA --"
)</f>
        <v>-- NA --</v>
      </c>
      <c r="I1199" s="32" t="str">
        <f t="array" ref="I1199">IF(
MOD(ROW()-2,6)=0,
INDEX('Form Responses'!J:J,INT((ROW()-2)/6)+2),
"-- NA --"
)</f>
        <v>-- NA --</v>
      </c>
      <c r="J1199" s="33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>
      <c r="A1200" s="26">
        <v>1199.0</v>
      </c>
      <c r="B1200" s="33"/>
      <c r="C1200" s="26" t="s">
        <v>464</v>
      </c>
      <c r="D1200" s="26" t="str">
        <f t="array" ref="D12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24AM112</v>
      </c>
      <c r="E1200" s="32" t="str">
        <f t="array" ref="E12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VARUN PRASANTH M</v>
      </c>
      <c r="F1200" s="26" t="str">
        <f t="array" ref="F12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0" s="26" t="str">
        <f t="array" ref="G12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00" s="26" t="str">
        <f t="array" ref="H1200">IF(
MOD(ROW()-2,6)=0,
INDEX('Form Responses'!I:I,INT((ROW()-2)/6)+2),
"-- NA --"
)</f>
        <v>-- NA --</v>
      </c>
      <c r="I1200" s="32" t="str">
        <f t="array" ref="I1200">IF(
MOD(ROW()-2,6)=0,
INDEX('Form Responses'!J:J,INT((ROW()-2)/6)+2),
"-- NA --"
)</f>
        <v>-- NA --</v>
      </c>
      <c r="J1200" s="33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>
      <c r="A1201" s="26">
        <v>1200.0</v>
      </c>
      <c r="B1201" s="6"/>
      <c r="C1201" s="26" t="s">
        <v>500</v>
      </c>
      <c r="D1201" s="26" t="str">
        <f t="array" ref="D12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24AD216</v>
      </c>
      <c r="E1201" s="32" t="str">
        <f t="array" ref="E12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SRIMATHI N</v>
      </c>
      <c r="F1201" s="26" t="str">
        <f t="array" ref="F12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1" s="26" t="str">
        <f t="array" ref="G12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01" s="26" t="str">
        <f t="array" ref="H1201">IF(
MOD(ROW()-2,6)=0,
INDEX('Form Responses'!I:I,INT((ROW()-2)/6)+2),
"-- NA --"
)</f>
        <v>-- NA --</v>
      </c>
      <c r="I1201" s="32" t="str">
        <f t="array" ref="I1201">IF(
MOD(ROW()-2,6)=0,
INDEX('Form Responses'!J:J,INT((ROW()-2)/6)+2),
"-- NA --"
)</f>
        <v>-- NA --</v>
      </c>
      <c r="J1201" s="6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>
      <c r="A1202" s="26">
        <v>1201.0</v>
      </c>
      <c r="B1202" s="29" t="str">
        <f t="array" ref="B1202">INDEX('Form Responses'!$C:$C,INT((ROW()-2)/6)+2)</f>
        <v>Quantum Hackers</v>
      </c>
      <c r="C1202" s="31" t="s">
        <v>140</v>
      </c>
      <c r="D1202" s="26" t="str">
        <f t="array" ref="D12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24AM074</v>
      </c>
      <c r="E1202" s="32" t="str">
        <f t="array" ref="E12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 R</v>
      </c>
      <c r="F1202" s="26" t="str">
        <f t="array" ref="F12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2" s="26" t="str">
        <f t="array" ref="G12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02" s="26">
        <f t="array" ref="H1202">IF(
MOD(ROW()-2,6)=0,
INDEX('Form Responses'!I:I,INT((ROW()-2)/6)+2),
"-- NA --"
)</f>
        <v>9566932710</v>
      </c>
      <c r="I1202" s="32" t="str">
        <f t="array" ref="I1202">IF(
MOD(ROW()-2,6)=0,
INDEX('Form Responses'!J:J,INT((ROW()-2)/6)+2),
"-- NA --"
)</f>
        <v>raja.r2024aiml@sece.ac.in</v>
      </c>
      <c r="J1202" s="29" t="str">
        <f t="array" ref="J1202">INDEX('Form Responses'!$D:$D,INT((ROW()-2)/6)+2)</f>
        <v>Software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>
      <c r="A1203" s="26">
        <v>1202.0</v>
      </c>
      <c r="B1203" s="33"/>
      <c r="C1203" s="26" t="s">
        <v>282</v>
      </c>
      <c r="D1203" s="26" t="str">
        <f t="array" ref="D12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24AM115</v>
      </c>
      <c r="E1203" s="32" t="str">
        <f t="array" ref="E12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VINITH KUMAR D</v>
      </c>
      <c r="F1203" s="26" t="str">
        <f t="array" ref="F12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3" s="26" t="str">
        <f t="array" ref="G12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03" s="26" t="str">
        <f t="array" ref="H1203">IF(
MOD(ROW()-2,6)=0,
INDEX('Form Responses'!I:I,INT((ROW()-2)/6)+2),
"-- NA --"
)</f>
        <v>-- NA --</v>
      </c>
      <c r="I1203" s="32" t="str">
        <f t="array" ref="I1203">IF(
MOD(ROW()-2,6)=0,
INDEX('Form Responses'!J:J,INT((ROW()-2)/6)+2),
"-- NA --"
)</f>
        <v>-- NA --</v>
      </c>
      <c r="J1203" s="33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>
      <c r="A1204" s="26">
        <v>1203.0</v>
      </c>
      <c r="B1204" s="33"/>
      <c r="C1204" s="26" t="s">
        <v>385</v>
      </c>
      <c r="D1204" s="26" t="str">
        <f t="array" ref="D12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24AM094</v>
      </c>
      <c r="E1204" s="32" t="str">
        <f t="array" ref="E12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SHRI ASHWANTH A </v>
      </c>
      <c r="F1204" s="26" t="str">
        <f t="array" ref="F12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4" s="26" t="str">
        <f t="array" ref="G12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04" s="26" t="str">
        <f t="array" ref="H1204">IF(
MOD(ROW()-2,6)=0,
INDEX('Form Responses'!I:I,INT((ROW()-2)/6)+2),
"-- NA --"
)</f>
        <v>-- NA --</v>
      </c>
      <c r="I1204" s="32" t="str">
        <f t="array" ref="I1204">IF(
MOD(ROW()-2,6)=0,
INDEX('Form Responses'!J:J,INT((ROW()-2)/6)+2),
"-- NA --"
)</f>
        <v>-- NA --</v>
      </c>
      <c r="J1204" s="33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>
      <c r="A1205" s="26">
        <v>1204.0</v>
      </c>
      <c r="B1205" s="33"/>
      <c r="C1205" s="26" t="s">
        <v>425</v>
      </c>
      <c r="D1205" s="26" t="str">
        <f t="array" ref="D12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24AM053</v>
      </c>
      <c r="E1205" s="32" t="str">
        <f t="array" ref="E12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LIDIYA SHAINY A</v>
      </c>
      <c r="F1205" s="26" t="str">
        <f t="array" ref="F12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5" s="26" t="str">
        <f t="array" ref="G12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05" s="26" t="str">
        <f t="array" ref="H1205">IF(
MOD(ROW()-2,6)=0,
INDEX('Form Responses'!I:I,INT((ROW()-2)/6)+2),
"-- NA --"
)</f>
        <v>-- NA --</v>
      </c>
      <c r="I1205" s="32" t="str">
        <f t="array" ref="I1205">IF(
MOD(ROW()-2,6)=0,
INDEX('Form Responses'!J:J,INT((ROW()-2)/6)+2),
"-- NA --"
)</f>
        <v>-- NA --</v>
      </c>
      <c r="J1205" s="33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>
      <c r="A1206" s="26">
        <v>1205.0</v>
      </c>
      <c r="B1206" s="33"/>
      <c r="C1206" s="26" t="s">
        <v>464</v>
      </c>
      <c r="D1206" s="26" t="str">
        <f t="array" ref="D12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24CC057</v>
      </c>
      <c r="E1206" s="32" t="str">
        <f t="array" ref="E12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SWATHI B K</v>
      </c>
      <c r="F1206" s="26" t="str">
        <f t="array" ref="F12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6" s="26" t="str">
        <f t="array" ref="G12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206" s="26" t="str">
        <f t="array" ref="H1206">IF(
MOD(ROW()-2,6)=0,
INDEX('Form Responses'!I:I,INT((ROW()-2)/6)+2),
"-- NA --"
)</f>
        <v>-- NA --</v>
      </c>
      <c r="I1206" s="32" t="str">
        <f t="array" ref="I1206">IF(
MOD(ROW()-2,6)=0,
INDEX('Form Responses'!J:J,INT((ROW()-2)/6)+2),
"-- NA --"
)</f>
        <v>-- NA --</v>
      </c>
      <c r="J1206" s="33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>
      <c r="A1207" s="26">
        <v>1206.0</v>
      </c>
      <c r="B1207" s="6"/>
      <c r="C1207" s="26" t="s">
        <v>500</v>
      </c>
      <c r="D1207" s="26" t="str">
        <f t="array" ref="D12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24AD306</v>
      </c>
      <c r="E1207" s="32" t="str">
        <f t="array" ref="E12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NASHHATH NOWFHIL JS</v>
      </c>
      <c r="F1207" s="26" t="str">
        <f t="array" ref="F12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07" s="26" t="str">
        <f t="array" ref="G12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07" s="26" t="str">
        <f t="array" ref="H1207">IF(
MOD(ROW()-2,6)=0,
INDEX('Form Responses'!I:I,INT((ROW()-2)/6)+2),
"-- NA --"
)</f>
        <v>-- NA --</v>
      </c>
      <c r="I1207" s="32" t="str">
        <f t="array" ref="I1207">IF(
MOD(ROW()-2,6)=0,
INDEX('Form Responses'!J:J,INT((ROW()-2)/6)+2),
"-- NA --"
)</f>
        <v>-- NA --</v>
      </c>
      <c r="J1207" s="6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>
      <c r="A1208" s="26">
        <v>1207.0</v>
      </c>
      <c r="B1208" s="29" t="str">
        <f t="array" ref="B1208">INDEX('Form Responses'!$C:$C,INT((ROW()-2)/6)+2)</f>
        <v>NOVA LEGION</v>
      </c>
      <c r="C1208" s="31" t="s">
        <v>140</v>
      </c>
      <c r="D1208" s="26" t="str">
        <f t="array" ref="D12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25AD087</v>
      </c>
      <c r="E1208" s="32" t="str">
        <f t="array" ref="E12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KAMALESH KUMAR R </v>
      </c>
      <c r="F1208" s="26" t="str">
        <f t="array" ref="F12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08" s="26" t="str">
        <f t="array" ref="G12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08" s="26">
        <f t="array" ref="H1208">IF(
MOD(ROW()-2,6)=0,
INDEX('Form Responses'!I:I,INT((ROW()-2)/6)+2),
"-- NA --"
)</f>
        <v>6383525774</v>
      </c>
      <c r="I1208" s="32" t="str">
        <f t="array" ref="I1208">IF(
MOD(ROW()-2,6)=0,
INDEX('Form Responses'!J:J,INT((ROW()-2)/6)+2),
"-- NA --"
)</f>
        <v>kamaleshkumar.r2025aids@sece.ac.in</v>
      </c>
      <c r="J1208" s="29" t="str">
        <f t="array" ref="J1208">INDEX('Form Responses'!$D:$D,INT((ROW()-2)/6)+2)</f>
        <v>Software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>
      <c r="A1209" s="26">
        <v>1208.0</v>
      </c>
      <c r="B1209" s="33"/>
      <c r="C1209" s="26" t="s">
        <v>282</v>
      </c>
      <c r="D1209" s="26" t="str">
        <f t="array" ref="D12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25AD074</v>
      </c>
      <c r="E1209" s="32" t="str">
        <f t="array" ref="E12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ISHWA U</v>
      </c>
      <c r="F1209" s="26" t="str">
        <f t="array" ref="F12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09" s="26" t="str">
        <f t="array" ref="G12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09" s="26" t="str">
        <f t="array" ref="H1209">IF(
MOD(ROW()-2,6)=0,
INDEX('Form Responses'!I:I,INT((ROW()-2)/6)+2),
"-- NA --"
)</f>
        <v>-- NA --</v>
      </c>
      <c r="I1209" s="32" t="str">
        <f t="array" ref="I1209">IF(
MOD(ROW()-2,6)=0,
INDEX('Form Responses'!J:J,INT((ROW()-2)/6)+2),
"-- NA --"
)</f>
        <v>-- NA --</v>
      </c>
      <c r="J1209" s="33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>
      <c r="A1210" s="26">
        <v>1209.0</v>
      </c>
      <c r="B1210" s="33"/>
      <c r="C1210" s="26" t="s">
        <v>385</v>
      </c>
      <c r="D1210" s="26" t="str">
        <f t="array" ref="D12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25AD098</v>
      </c>
      <c r="E1210" s="32" t="str">
        <f t="array" ref="E12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KAVIYA P</v>
      </c>
      <c r="F1210" s="26" t="str">
        <f t="array" ref="F12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10" s="26" t="str">
        <f t="array" ref="G12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0" s="26" t="str">
        <f t="array" ref="H1210">IF(
MOD(ROW()-2,6)=0,
INDEX('Form Responses'!I:I,INT((ROW()-2)/6)+2),
"-- NA --"
)</f>
        <v>-- NA --</v>
      </c>
      <c r="I1210" s="32" t="str">
        <f t="array" ref="I1210">IF(
MOD(ROW()-2,6)=0,
INDEX('Form Responses'!J:J,INT((ROW()-2)/6)+2),
"-- NA --"
)</f>
        <v>-- NA --</v>
      </c>
      <c r="J1210" s="33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>
      <c r="A1211" s="26">
        <v>1210.0</v>
      </c>
      <c r="B1211" s="33"/>
      <c r="C1211" s="26" t="s">
        <v>425</v>
      </c>
      <c r="D1211" s="26" t="str">
        <f t="array" ref="D12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25AD121</v>
      </c>
      <c r="E1211" s="32" t="str">
        <f t="array" ref="E12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MOHAN A</v>
      </c>
      <c r="F1211" s="26" t="str">
        <f t="array" ref="F12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11" s="26" t="str">
        <f t="array" ref="G12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1" s="26" t="str">
        <f t="array" ref="H1211">IF(
MOD(ROW()-2,6)=0,
INDEX('Form Responses'!I:I,INT((ROW()-2)/6)+2),
"-- NA --"
)</f>
        <v>-- NA --</v>
      </c>
      <c r="I1211" s="32" t="str">
        <f t="array" ref="I1211">IF(
MOD(ROW()-2,6)=0,
INDEX('Form Responses'!J:J,INT((ROW()-2)/6)+2),
"-- NA --"
)</f>
        <v>-- NA --</v>
      </c>
      <c r="J1211" s="33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>
      <c r="A1212" s="26">
        <v>1211.0</v>
      </c>
      <c r="B1212" s="33"/>
      <c r="C1212" s="26" t="s">
        <v>464</v>
      </c>
      <c r="D1212" s="26" t="str">
        <f t="array" ref="D12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25CS224</v>
      </c>
      <c r="E1212" s="32" t="str">
        <f t="array" ref="E12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SUDESH S</v>
      </c>
      <c r="F1212" s="26" t="str">
        <f t="array" ref="F12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12" s="26" t="str">
        <f t="array" ref="G12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12" s="26" t="str">
        <f t="array" ref="H1212">IF(
MOD(ROW()-2,6)=0,
INDEX('Form Responses'!I:I,INT((ROW()-2)/6)+2),
"-- NA --"
)</f>
        <v>-- NA --</v>
      </c>
      <c r="I1212" s="32" t="str">
        <f t="array" ref="I1212">IF(
MOD(ROW()-2,6)=0,
INDEX('Form Responses'!J:J,INT((ROW()-2)/6)+2),
"-- NA --"
)</f>
        <v>-- NA --</v>
      </c>
      <c r="J1212" s="33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>
      <c r="A1213" s="26">
        <v>1212.0</v>
      </c>
      <c r="B1213" s="6"/>
      <c r="C1213" s="26" t="s">
        <v>500</v>
      </c>
      <c r="D1213" s="26" t="str">
        <f t="array" ref="D12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25IT303</v>
      </c>
      <c r="E1213" s="32" t="str">
        <f t="array" ref="E12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MEERA A</v>
      </c>
      <c r="F1213" s="26" t="str">
        <f t="array" ref="F12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13" s="26" t="str">
        <f t="array" ref="G12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13" s="26" t="str">
        <f t="array" ref="H1213">IF(
MOD(ROW()-2,6)=0,
INDEX('Form Responses'!I:I,INT((ROW()-2)/6)+2),
"-- NA --"
)</f>
        <v>-- NA --</v>
      </c>
      <c r="I1213" s="32" t="str">
        <f t="array" ref="I1213">IF(
MOD(ROW()-2,6)=0,
INDEX('Form Responses'!J:J,INT((ROW()-2)/6)+2),
"-- NA --"
)</f>
        <v>-- NA --</v>
      </c>
      <c r="J1213" s="6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>
      <c r="A1214" s="26">
        <v>1213.0</v>
      </c>
      <c r="B1214" s="29" t="str">
        <f t="array" ref="B1214">INDEX('Form Responses'!$C:$C,INT((ROW()-2)/6)+2)</f>
        <v>Genesis</v>
      </c>
      <c r="C1214" s="31" t="s">
        <v>140</v>
      </c>
      <c r="D1214" s="26" t="str">
        <f t="array" ref="D12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24AD025</v>
      </c>
      <c r="E1214" s="32" t="str">
        <f t="array" ref="E12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ASWIN NS</v>
      </c>
      <c r="F1214" s="26" t="str">
        <f t="array" ref="F12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4" s="26" t="str">
        <f t="array" ref="G12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4" s="26">
        <f t="array" ref="H1214">IF(
MOD(ROW()-2,6)=0,
INDEX('Form Responses'!I:I,INT((ROW()-2)/6)+2),
"-- NA --"
)</f>
        <v>6381077598</v>
      </c>
      <c r="I1214" s="32" t="str">
        <f t="array" ref="I1214">IF(
MOD(ROW()-2,6)=0,
INDEX('Form Responses'!J:J,INT((ROW()-2)/6)+2),
"-- NA --"
)</f>
        <v>aswin.ns2024aids@sece.ac.in</v>
      </c>
      <c r="J1214" s="29" t="str">
        <f t="array" ref="J1214">INDEX('Form Responses'!$D:$D,INT((ROW()-2)/6)+2)</f>
        <v>Software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>
      <c r="A1215" s="26">
        <v>1214.0</v>
      </c>
      <c r="B1215" s="33"/>
      <c r="C1215" s="26" t="s">
        <v>282</v>
      </c>
      <c r="D1215" s="26" t="str">
        <f t="array" ref="D12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24AD001</v>
      </c>
      <c r="E1215" s="32" t="str">
        <f t="array" ref="E12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AADHIITHYA BALU S</v>
      </c>
      <c r="F1215" s="26" t="str">
        <f t="array" ref="F12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5" s="26" t="str">
        <f t="array" ref="G12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5" s="26" t="str">
        <f t="array" ref="H1215">IF(
MOD(ROW()-2,6)=0,
INDEX('Form Responses'!I:I,INT((ROW()-2)/6)+2),
"-- NA --"
)</f>
        <v>-- NA --</v>
      </c>
      <c r="I1215" s="32" t="str">
        <f t="array" ref="I1215">IF(
MOD(ROW()-2,6)=0,
INDEX('Form Responses'!J:J,INT((ROW()-2)/6)+2),
"-- NA --"
)</f>
        <v>-- NA --</v>
      </c>
      <c r="J1215" s="33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>
      <c r="A1216" s="26">
        <v>1215.0</v>
      </c>
      <c r="B1216" s="33"/>
      <c r="C1216" s="26" t="s">
        <v>385</v>
      </c>
      <c r="D1216" s="26" t="str">
        <f t="array" ref="D12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24AD017</v>
      </c>
      <c r="E1216" s="32" t="str">
        <f t="array" ref="E12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ALMAS M</v>
      </c>
      <c r="F1216" s="26" t="str">
        <f t="array" ref="F12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6" s="26" t="str">
        <f t="array" ref="G12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6" s="26" t="str">
        <f t="array" ref="H1216">IF(
MOD(ROW()-2,6)=0,
INDEX('Form Responses'!I:I,INT((ROW()-2)/6)+2),
"-- NA --"
)</f>
        <v>-- NA --</v>
      </c>
      <c r="I1216" s="32" t="str">
        <f t="array" ref="I1216">IF(
MOD(ROW()-2,6)=0,
INDEX('Form Responses'!J:J,INT((ROW()-2)/6)+2),
"-- NA --"
)</f>
        <v>-- NA --</v>
      </c>
      <c r="J1216" s="33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>
      <c r="A1217" s="26">
        <v>1216.0</v>
      </c>
      <c r="B1217" s="33"/>
      <c r="C1217" s="26" t="s">
        <v>425</v>
      </c>
      <c r="D1217" s="26" t="str">
        <f t="array" ref="D12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24AD056</v>
      </c>
      <c r="E1217" s="32" t="str">
        <f t="array" ref="E12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GIRIDHARAN P</v>
      </c>
      <c r="F1217" s="26" t="str">
        <f t="array" ref="F12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7" s="26" t="str">
        <f t="array" ref="G12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7" s="26" t="str">
        <f t="array" ref="H1217">IF(
MOD(ROW()-2,6)=0,
INDEX('Form Responses'!I:I,INT((ROW()-2)/6)+2),
"-- NA --"
)</f>
        <v>-- NA --</v>
      </c>
      <c r="I1217" s="32" t="str">
        <f t="array" ref="I1217">IF(
MOD(ROW()-2,6)=0,
INDEX('Form Responses'!J:J,INT((ROW()-2)/6)+2),
"-- NA --"
)</f>
        <v>-- NA --</v>
      </c>
      <c r="J1217" s="33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>
      <c r="A1218" s="26">
        <v>1217.0</v>
      </c>
      <c r="B1218" s="33"/>
      <c r="C1218" s="26" t="s">
        <v>464</v>
      </c>
      <c r="D1218" s="26" t="str">
        <f t="array" ref="D12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24AD023</v>
      </c>
      <c r="E1218" s="32" t="str">
        <f t="array" ref="E12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ASHWIN S</v>
      </c>
      <c r="F1218" s="26" t="str">
        <f t="array" ref="F12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8" s="26" t="str">
        <f t="array" ref="G12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18" s="26" t="str">
        <f t="array" ref="H1218">IF(
MOD(ROW()-2,6)=0,
INDEX('Form Responses'!I:I,INT((ROW()-2)/6)+2),
"-- NA --"
)</f>
        <v>-- NA --</v>
      </c>
      <c r="I1218" s="32" t="str">
        <f t="array" ref="I1218">IF(
MOD(ROW()-2,6)=0,
INDEX('Form Responses'!J:J,INT((ROW()-2)/6)+2),
"-- NA --"
)</f>
        <v>-- NA --</v>
      </c>
      <c r="J1218" s="33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>
      <c r="A1219" s="26">
        <v>1218.0</v>
      </c>
      <c r="B1219" s="6"/>
      <c r="C1219" s="26" t="s">
        <v>500</v>
      </c>
      <c r="D1219" s="26" t="str">
        <f t="array" ref="D12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24CS266</v>
      </c>
      <c r="E1219" s="32" t="str">
        <f t="array" ref="E12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VISALINI KJ</v>
      </c>
      <c r="F1219" s="26" t="str">
        <f t="array" ref="F12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19" s="26" t="str">
        <f t="array" ref="G12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19" s="26" t="str">
        <f t="array" ref="H1219">IF(
MOD(ROW()-2,6)=0,
INDEX('Form Responses'!I:I,INT((ROW()-2)/6)+2),
"-- NA --"
)</f>
        <v>-- NA --</v>
      </c>
      <c r="I1219" s="32" t="str">
        <f t="array" ref="I1219">IF(
MOD(ROW()-2,6)=0,
INDEX('Form Responses'!J:J,INT((ROW()-2)/6)+2),
"-- NA --"
)</f>
        <v>-- NA --</v>
      </c>
      <c r="J1219" s="6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>
      <c r="A1220" s="26">
        <v>1219.0</v>
      </c>
      <c r="B1220" s="29" t="str">
        <f t="array" ref="B1220">INDEX('Form Responses'!$C:$C,INT((ROW()-2)/6)+2)</f>
        <v>TECH ETHICS</v>
      </c>
      <c r="C1220" s="31" t="s">
        <v>140</v>
      </c>
      <c r="D1220" s="26" t="str">
        <f t="array" ref="D12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24AD215</v>
      </c>
      <c r="E1220" s="32" t="str">
        <f t="array" ref="E12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VIJAYADHARSHINI A</v>
      </c>
      <c r="F1220" s="26" t="str">
        <f t="array" ref="F12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0" s="26" t="str">
        <f t="array" ref="G12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20" s="26">
        <f t="array" ref="H1220">IF(
MOD(ROW()-2,6)=0,
INDEX('Form Responses'!I:I,INT((ROW()-2)/6)+2),
"-- NA --"
)</f>
        <v>9597297256</v>
      </c>
      <c r="I1220" s="32" t="str">
        <f t="array" ref="I1220">IF(
MOD(ROW()-2,6)=0,
INDEX('Form Responses'!J:J,INT((ROW()-2)/6)+2),
"-- NA --"
)</f>
        <v>srivijayadharshini.2024aids@sece.ac.in</v>
      </c>
      <c r="J1220" s="29" t="str">
        <f t="array" ref="J1220">INDEX('Form Responses'!$D:$D,INT((ROW()-2)/6)+2)</f>
        <v>Hardware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>
      <c r="A1221" s="26">
        <v>1220.0</v>
      </c>
      <c r="B1221" s="33"/>
      <c r="C1221" s="26" t="s">
        <v>282</v>
      </c>
      <c r="D1221" s="26" t="str">
        <f t="array" ref="D12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24AD236</v>
      </c>
      <c r="E1221" s="32" t="str">
        <f t="array" ref="E12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TARIKA P</v>
      </c>
      <c r="F1221" s="26" t="str">
        <f t="array" ref="F12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1" s="26" t="str">
        <f t="array" ref="G12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21" s="26" t="str">
        <f t="array" ref="H1221">IF(
MOD(ROW()-2,6)=0,
INDEX('Form Responses'!I:I,INT((ROW()-2)/6)+2),
"-- NA --"
)</f>
        <v>-- NA --</v>
      </c>
      <c r="I1221" s="32" t="str">
        <f t="array" ref="I1221">IF(
MOD(ROW()-2,6)=0,
INDEX('Form Responses'!J:J,INT((ROW()-2)/6)+2),
"-- NA --"
)</f>
        <v>-- NA --</v>
      </c>
      <c r="J1221" s="33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>
      <c r="A1222" s="26">
        <v>1221.0</v>
      </c>
      <c r="B1222" s="33"/>
      <c r="C1222" s="26" t="s">
        <v>385</v>
      </c>
      <c r="D1222" s="26" t="str">
        <f t="array" ref="D12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24AD217</v>
      </c>
      <c r="E1222" s="32" t="str">
        <f t="array" ref="E12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K</v>
      </c>
      <c r="F1222" s="26" t="str">
        <f t="array" ref="F12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2" s="26" t="str">
        <f t="array" ref="G12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22" s="26" t="str">
        <f t="array" ref="H1222">IF(
MOD(ROW()-2,6)=0,
INDEX('Form Responses'!I:I,INT((ROW()-2)/6)+2),
"-- NA --"
)</f>
        <v>-- NA --</v>
      </c>
      <c r="I1222" s="32" t="str">
        <f t="array" ref="I1222">IF(
MOD(ROW()-2,6)=0,
INDEX('Form Responses'!J:J,INT((ROW()-2)/6)+2),
"-- NA --"
)</f>
        <v>-- NA --</v>
      </c>
      <c r="J1222" s="33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>
      <c r="A1223" s="26">
        <v>1222.0</v>
      </c>
      <c r="B1223" s="33"/>
      <c r="C1223" s="26" t="s">
        <v>425</v>
      </c>
      <c r="D1223" s="26" t="str">
        <f t="array" ref="D12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24AD201</v>
      </c>
      <c r="E1223" s="32" t="str">
        <f t="array" ref="E12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SHARMISHTHAA R</v>
      </c>
      <c r="F1223" s="26" t="str">
        <f t="array" ref="F12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3" s="26" t="str">
        <f t="array" ref="G12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23" s="26" t="str">
        <f t="array" ref="H1223">IF(
MOD(ROW()-2,6)=0,
INDEX('Form Responses'!I:I,INT((ROW()-2)/6)+2),
"-- NA --"
)</f>
        <v>-- NA --</v>
      </c>
      <c r="I1223" s="32" t="str">
        <f t="array" ref="I1223">IF(
MOD(ROW()-2,6)=0,
INDEX('Form Responses'!J:J,INT((ROW()-2)/6)+2),
"-- NA --"
)</f>
        <v>-- NA --</v>
      </c>
      <c r="J1223" s="33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>
      <c r="A1224" s="26">
        <v>1223.0</v>
      </c>
      <c r="B1224" s="33"/>
      <c r="C1224" s="26" t="s">
        <v>464</v>
      </c>
      <c r="D1224" s="26" t="str">
        <f t="array" ref="D12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24EC145</v>
      </c>
      <c r="E1224" s="32" t="str">
        <f t="array" ref="E12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SARMITHAA A</v>
      </c>
      <c r="F1224" s="26" t="str">
        <f t="array" ref="F12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4" s="26" t="str">
        <f t="array" ref="G12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4" s="26" t="str">
        <f t="array" ref="H1224">IF(
MOD(ROW()-2,6)=0,
INDEX('Form Responses'!I:I,INT((ROW()-2)/6)+2),
"-- NA --"
)</f>
        <v>-- NA --</v>
      </c>
      <c r="I1224" s="32" t="str">
        <f t="array" ref="I1224">IF(
MOD(ROW()-2,6)=0,
INDEX('Form Responses'!J:J,INT((ROW()-2)/6)+2),
"-- NA --"
)</f>
        <v>-- NA --</v>
      </c>
      <c r="J1224" s="33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>
      <c r="A1225" s="26">
        <v>1224.0</v>
      </c>
      <c r="B1225" s="6"/>
      <c r="C1225" s="26" t="s">
        <v>500</v>
      </c>
      <c r="D1225" s="26" t="str">
        <f t="array" ref="D12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24EC179</v>
      </c>
      <c r="E1225" s="32" t="str">
        <f t="array" ref="E12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VARSHINI M</v>
      </c>
      <c r="F1225" s="26" t="str">
        <f t="array" ref="F12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5" s="26" t="str">
        <f t="array" ref="G12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5" s="26" t="str">
        <f t="array" ref="H1225">IF(
MOD(ROW()-2,6)=0,
INDEX('Form Responses'!I:I,INT((ROW()-2)/6)+2),
"-- NA --"
)</f>
        <v>-- NA --</v>
      </c>
      <c r="I1225" s="32" t="str">
        <f t="array" ref="I1225">IF(
MOD(ROW()-2,6)=0,
INDEX('Form Responses'!J:J,INT((ROW()-2)/6)+2),
"-- NA --"
)</f>
        <v>-- NA --</v>
      </c>
      <c r="J1225" s="6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>
      <c r="A1226" s="26">
        <v>1225.0</v>
      </c>
      <c r="B1226" s="29" t="str">
        <f t="array" ref="B1226">INDEX('Form Responses'!$C:$C,INT((ROW()-2)/6)+2)</f>
        <v>TEAM TECH X</v>
      </c>
      <c r="C1226" s="31" t="s">
        <v>140</v>
      </c>
      <c r="D1226" s="26" t="str">
        <f t="array" ref="D12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24EC003</v>
      </c>
      <c r="E1226" s="32" t="str">
        <f t="array" ref="E12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 KUMAR R</v>
      </c>
      <c r="F1226" s="26" t="str">
        <f t="array" ref="F12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6" s="26" t="str">
        <f t="array" ref="G12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6" s="26">
        <f t="array" ref="H1226">IF(
MOD(ROW()-2,6)=0,
INDEX('Form Responses'!I:I,INT((ROW()-2)/6)+2),
"-- NA --"
)</f>
        <v>9345646034</v>
      </c>
      <c r="I1226" s="32" t="str">
        <f t="array" ref="I1226">IF(
MOD(ROW()-2,6)=0,
INDEX('Form Responses'!J:J,INT((ROW()-2)/6)+2),
"-- NA --"
)</f>
        <v>ajaykumar.r2024ece@sece.ac.in</v>
      </c>
      <c r="J1226" s="29" t="str">
        <f t="array" ref="J1226">INDEX('Form Responses'!$D:$D,INT((ROW()-2)/6)+2)</f>
        <v>Software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>
      <c r="A1227" s="26">
        <v>1226.0</v>
      </c>
      <c r="B1227" s="33"/>
      <c r="C1227" s="26" t="s">
        <v>282</v>
      </c>
      <c r="D1227" s="26" t="str">
        <f t="array" ref="D12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24EC057</v>
      </c>
      <c r="E1227" s="32" t="str">
        <f t="array" ref="E12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JAI VISAK S</v>
      </c>
      <c r="F1227" s="26" t="str">
        <f t="array" ref="F12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7" s="26" t="str">
        <f t="array" ref="G12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7" s="26" t="str">
        <f t="array" ref="H1227">IF(
MOD(ROW()-2,6)=0,
INDEX('Form Responses'!I:I,INT((ROW()-2)/6)+2),
"-- NA --"
)</f>
        <v>-- NA --</v>
      </c>
      <c r="I1227" s="32" t="str">
        <f t="array" ref="I1227">IF(
MOD(ROW()-2,6)=0,
INDEX('Form Responses'!J:J,INT((ROW()-2)/6)+2),
"-- NA --"
)</f>
        <v>-- NA --</v>
      </c>
      <c r="J1227" s="33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>
      <c r="A1228" s="26">
        <v>1227.0</v>
      </c>
      <c r="B1228" s="33"/>
      <c r="C1228" s="26" t="s">
        <v>385</v>
      </c>
      <c r="D1228" s="26" t="str">
        <f t="array" ref="D12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24EC041</v>
      </c>
      <c r="E1228" s="32" t="str">
        <f t="array" ref="E12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 RAJA M</v>
      </c>
      <c r="F1228" s="26" t="str">
        <f t="array" ref="F12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8" s="26" t="str">
        <f t="array" ref="G12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8" s="26" t="str">
        <f t="array" ref="H1228">IF(
MOD(ROW()-2,6)=0,
INDEX('Form Responses'!I:I,INT((ROW()-2)/6)+2),
"-- NA --"
)</f>
        <v>-- NA --</v>
      </c>
      <c r="I1228" s="32" t="str">
        <f t="array" ref="I1228">IF(
MOD(ROW()-2,6)=0,
INDEX('Form Responses'!J:J,INT((ROW()-2)/6)+2),
"-- NA --"
)</f>
        <v>-- NA --</v>
      </c>
      <c r="J1228" s="33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>
      <c r="A1229" s="26">
        <v>1228.0</v>
      </c>
      <c r="B1229" s="33"/>
      <c r="C1229" s="26" t="s">
        <v>425</v>
      </c>
      <c r="D1229" s="26" t="str">
        <f t="array" ref="D12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24EC011</v>
      </c>
      <c r="E1229" s="32" t="str">
        <f t="array" ref="E12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ANUJA T</v>
      </c>
      <c r="F1229" s="26" t="str">
        <f t="array" ref="F12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29" s="26" t="str">
        <f t="array" ref="G12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29" s="26" t="str">
        <f t="array" ref="H1229">IF(
MOD(ROW()-2,6)=0,
INDEX('Form Responses'!I:I,INT((ROW()-2)/6)+2),
"-- NA --"
)</f>
        <v>-- NA --</v>
      </c>
      <c r="I1229" s="32" t="str">
        <f t="array" ref="I1229">IF(
MOD(ROW()-2,6)=0,
INDEX('Form Responses'!J:J,INT((ROW()-2)/6)+2),
"-- NA --"
)</f>
        <v>-- NA --</v>
      </c>
      <c r="J1229" s="33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>
      <c r="A1230" s="26">
        <v>1229.0</v>
      </c>
      <c r="B1230" s="33"/>
      <c r="C1230" s="26" t="s">
        <v>464</v>
      </c>
      <c r="D1230" s="26" t="str">
        <f t="array" ref="D12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24EC035</v>
      </c>
      <c r="E1230" s="32" t="str">
        <f t="array" ref="E12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D</v>
      </c>
      <c r="F1230" s="26" t="str">
        <f t="array" ref="F12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0" s="26" t="str">
        <f t="array" ref="G12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30" s="26" t="str">
        <f t="array" ref="H1230">IF(
MOD(ROW()-2,6)=0,
INDEX('Form Responses'!I:I,INT((ROW()-2)/6)+2),
"-- NA --"
)</f>
        <v>-- NA --</v>
      </c>
      <c r="I1230" s="32" t="str">
        <f t="array" ref="I1230">IF(
MOD(ROW()-2,6)=0,
INDEX('Form Responses'!J:J,INT((ROW()-2)/6)+2),
"-- NA --"
)</f>
        <v>-- NA --</v>
      </c>
      <c r="J1230" s="33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>
      <c r="A1231" s="26">
        <v>1230.0</v>
      </c>
      <c r="B1231" s="6"/>
      <c r="C1231" s="26" t="s">
        <v>500</v>
      </c>
      <c r="D1231" s="26" t="str">
        <f t="array" ref="D12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24AD165</v>
      </c>
      <c r="E1231" s="32" t="str">
        <f t="array" ref="E12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PRIYADHARSHINI KS</v>
      </c>
      <c r="F1231" s="26" t="str">
        <f t="array" ref="F12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1" s="26" t="str">
        <f t="array" ref="G12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1" s="26" t="str">
        <f t="array" ref="H1231">IF(
MOD(ROW()-2,6)=0,
INDEX('Form Responses'!I:I,INT((ROW()-2)/6)+2),
"-- NA --"
)</f>
        <v>-- NA --</v>
      </c>
      <c r="I1231" s="32" t="str">
        <f t="array" ref="I1231">IF(
MOD(ROW()-2,6)=0,
INDEX('Form Responses'!J:J,INT((ROW()-2)/6)+2),
"-- NA --"
)</f>
        <v>-- NA --</v>
      </c>
      <c r="J1231" s="6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>
      <c r="A1232" s="26">
        <v>1231.0</v>
      </c>
      <c r="B1232" s="29" t="str">
        <f t="array" ref="B1232">INDEX('Form Responses'!$C:$C,INT((ROW()-2)/6)+2)</f>
        <v>Team GodLike</v>
      </c>
      <c r="C1232" s="31" t="s">
        <v>140</v>
      </c>
      <c r="D1232" s="26" t="str">
        <f t="array" ref="D12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24AD003</v>
      </c>
      <c r="E1232" s="32" t="str">
        <f t="array" ref="E12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ABHINAV K</v>
      </c>
      <c r="F1232" s="26" t="str">
        <f t="array" ref="F12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2" s="26" t="str">
        <f t="array" ref="G12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2" s="26">
        <f t="array" ref="H1232">IF(
MOD(ROW()-2,6)=0,
INDEX('Form Responses'!I:I,INT((ROW()-2)/6)+2),
"-- NA --"
)</f>
        <v>9080420607</v>
      </c>
      <c r="I1232" s="32" t="str">
        <f t="array" ref="I1232">IF(
MOD(ROW()-2,6)=0,
INDEX('Form Responses'!J:J,INT((ROW()-2)/6)+2),
"-- NA --"
)</f>
        <v>abhinav.k2024aids@sece.ac.in</v>
      </c>
      <c r="J1232" s="29" t="str">
        <f t="array" ref="J1232">INDEX('Form Responses'!$D:$D,INT((ROW()-2)/6)+2)</f>
        <v>Software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>
      <c r="A1233" s="26">
        <v>1232.0</v>
      </c>
      <c r="B1233" s="33"/>
      <c r="C1233" s="26" t="s">
        <v>282</v>
      </c>
      <c r="D1233" s="26" t="str">
        <f t="array" ref="D12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24AD033</v>
      </c>
      <c r="E1233" s="32" t="str">
        <f t="array" ref="E12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BHUVANESH S</v>
      </c>
      <c r="F1233" s="26" t="str">
        <f t="array" ref="F12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3" s="26" t="str">
        <f t="array" ref="G12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3" s="26" t="str">
        <f t="array" ref="H1233">IF(
MOD(ROW()-2,6)=0,
INDEX('Form Responses'!I:I,INT((ROW()-2)/6)+2),
"-- NA --"
)</f>
        <v>-- NA --</v>
      </c>
      <c r="I1233" s="32" t="str">
        <f t="array" ref="I1233">IF(
MOD(ROW()-2,6)=0,
INDEX('Form Responses'!J:J,INT((ROW()-2)/6)+2),
"-- NA --"
)</f>
        <v>-- NA --</v>
      </c>
      <c r="J1233" s="33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>
      <c r="A1234" s="26">
        <v>1233.0</v>
      </c>
      <c r="B1234" s="33"/>
      <c r="C1234" s="26" t="s">
        <v>385</v>
      </c>
      <c r="D1234" s="26" t="str">
        <f t="array" ref="D12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24AD004</v>
      </c>
      <c r="E1234" s="32" t="str">
        <f t="array" ref="E12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ABHINAV PRAVEEN</v>
      </c>
      <c r="F1234" s="26" t="str">
        <f t="array" ref="F12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4" s="26" t="str">
        <f t="array" ref="G12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4" s="26" t="str">
        <f t="array" ref="H1234">IF(
MOD(ROW()-2,6)=0,
INDEX('Form Responses'!I:I,INT((ROW()-2)/6)+2),
"-- NA --"
)</f>
        <v>-- NA --</v>
      </c>
      <c r="I1234" s="32" t="str">
        <f t="array" ref="I1234">IF(
MOD(ROW()-2,6)=0,
INDEX('Form Responses'!J:J,INT((ROW()-2)/6)+2),
"-- NA --"
)</f>
        <v>-- NA --</v>
      </c>
      <c r="J1234" s="33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>
      <c r="A1235" s="26">
        <v>1234.0</v>
      </c>
      <c r="B1235" s="33"/>
      <c r="C1235" s="26" t="s">
        <v>425</v>
      </c>
      <c r="D1235" s="26" t="str">
        <f t="array" ref="D12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24AD036</v>
      </c>
      <c r="E1235" s="32" t="str">
        <f t="array" ref="E12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DARSHAN S</v>
      </c>
      <c r="F1235" s="26" t="str">
        <f t="array" ref="F12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5" s="26" t="str">
        <f t="array" ref="G12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5" s="26" t="str">
        <f t="array" ref="H1235">IF(
MOD(ROW()-2,6)=0,
INDEX('Form Responses'!I:I,INT((ROW()-2)/6)+2),
"-- NA --"
)</f>
        <v>-- NA --</v>
      </c>
      <c r="I1235" s="32" t="str">
        <f t="array" ref="I1235">IF(
MOD(ROW()-2,6)=0,
INDEX('Form Responses'!J:J,INT((ROW()-2)/6)+2),
"-- NA --"
)</f>
        <v>-- NA --</v>
      </c>
      <c r="J1235" s="33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>
      <c r="A1236" s="26">
        <v>1235.0</v>
      </c>
      <c r="B1236" s="33"/>
      <c r="C1236" s="26" t="s">
        <v>464</v>
      </c>
      <c r="D1236" s="26" t="str">
        <f t="array" ref="D12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24AD053</v>
      </c>
      <c r="E1236" s="32" t="str">
        <f t="array" ref="E12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DWARKESH R M</v>
      </c>
      <c r="F1236" s="26" t="str">
        <f t="array" ref="F12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6" s="26" t="str">
        <f t="array" ref="G12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6" s="26" t="str">
        <f t="array" ref="H1236">IF(
MOD(ROW()-2,6)=0,
INDEX('Form Responses'!I:I,INT((ROW()-2)/6)+2),
"-- NA --"
)</f>
        <v>-- NA --</v>
      </c>
      <c r="I1236" s="32" t="str">
        <f t="array" ref="I1236">IF(
MOD(ROW()-2,6)=0,
INDEX('Form Responses'!J:J,INT((ROW()-2)/6)+2),
"-- NA --"
)</f>
        <v>-- NA --</v>
      </c>
      <c r="J1236" s="33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>
      <c r="A1237" s="26">
        <v>1236.0</v>
      </c>
      <c r="B1237" s="6"/>
      <c r="C1237" s="26" t="s">
        <v>500</v>
      </c>
      <c r="D1237" s="26" t="str">
        <f t="array" ref="D12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24CC043</v>
      </c>
      <c r="E1237" s="32" t="str">
        <f t="array" ref="E12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RITHANYA K</v>
      </c>
      <c r="F1237" s="26" t="str">
        <f t="array" ref="F12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7" s="26" t="str">
        <f t="array" ref="G12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237" s="26" t="str">
        <f t="array" ref="H1237">IF(
MOD(ROW()-2,6)=0,
INDEX('Form Responses'!I:I,INT((ROW()-2)/6)+2),
"-- NA --"
)</f>
        <v>-- NA --</v>
      </c>
      <c r="I1237" s="32" t="str">
        <f t="array" ref="I1237">IF(
MOD(ROW()-2,6)=0,
INDEX('Form Responses'!J:J,INT((ROW()-2)/6)+2),
"-- NA --"
)</f>
        <v>-- NA --</v>
      </c>
      <c r="J1237" s="6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>
      <c r="A1238" s="26">
        <v>1237.0</v>
      </c>
      <c r="B1238" s="29" t="str">
        <f t="array" ref="B1238">INDEX('Form Responses'!$C:$C,INT((ROW()-2)/6)+2)</f>
        <v>HEXA VISION</v>
      </c>
      <c r="C1238" s="31" t="s">
        <v>140</v>
      </c>
      <c r="D1238" s="26" t="str">
        <f t="array" ref="D12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24AD059 </v>
      </c>
      <c r="E1238" s="32" t="str">
        <f t="array" ref="E12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GOKULANATHAN M</v>
      </c>
      <c r="F1238" s="26" t="str">
        <f t="array" ref="F12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8" s="26" t="str">
        <f t="array" ref="G12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8" s="26">
        <f t="array" ref="H1238">IF(
MOD(ROW()-2,6)=0,
INDEX('Form Responses'!I:I,INT((ROW()-2)/6)+2),
"-- NA --"
)</f>
        <v>6384940977</v>
      </c>
      <c r="I1238" s="32" t="str">
        <f t="array" ref="I1238">IF(
MOD(ROW()-2,6)=0,
INDEX('Form Responses'!J:J,INT((ROW()-2)/6)+2),
"-- NA --"
)</f>
        <v>gokulanathan.m2024aids@sece.ac.in</v>
      </c>
      <c r="J1238" s="29" t="str">
        <f t="array" ref="J1238">INDEX('Form Responses'!$D:$D,INT((ROW()-2)/6)+2)</f>
        <v>Software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>
      <c r="A1239" s="26">
        <v>1238.0</v>
      </c>
      <c r="B1239" s="33"/>
      <c r="C1239" s="26" t="s">
        <v>282</v>
      </c>
      <c r="D1239" s="26" t="str">
        <f t="array" ref="D12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24AD016</v>
      </c>
      <c r="E1239" s="32" t="str">
        <f t="array" ref="E12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ALLIMUTHU S</v>
      </c>
      <c r="F1239" s="26" t="str">
        <f t="array" ref="F12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39" s="26" t="str">
        <f t="array" ref="G12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39" s="26" t="str">
        <f t="array" ref="H1239">IF(
MOD(ROW()-2,6)=0,
INDEX('Form Responses'!I:I,INT((ROW()-2)/6)+2),
"-- NA --"
)</f>
        <v>-- NA --</v>
      </c>
      <c r="I1239" s="32" t="str">
        <f t="array" ref="I1239">IF(
MOD(ROW()-2,6)=0,
INDEX('Form Responses'!J:J,INT((ROW()-2)/6)+2),
"-- NA --"
)</f>
        <v>-- NA --</v>
      </c>
      <c r="J1239" s="33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>
      <c r="A1240" s="26">
        <v>1239.0</v>
      </c>
      <c r="B1240" s="33"/>
      <c r="C1240" s="26" t="s">
        <v>385</v>
      </c>
      <c r="D1240" s="26" t="str">
        <f t="array" ref="D12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24AD046</v>
      </c>
      <c r="E1240" s="32" t="str">
        <f t="array" ref="E12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 KUMAR K</v>
      </c>
      <c r="F1240" s="26" t="str">
        <f t="array" ref="F12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0" s="26" t="str">
        <f t="array" ref="G12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0" s="26" t="str">
        <f t="array" ref="H1240">IF(
MOD(ROW()-2,6)=0,
INDEX('Form Responses'!I:I,INT((ROW()-2)/6)+2),
"-- NA --"
)</f>
        <v>-- NA --</v>
      </c>
      <c r="I1240" s="32" t="str">
        <f t="array" ref="I1240">IF(
MOD(ROW()-2,6)=0,
INDEX('Form Responses'!J:J,INT((ROW()-2)/6)+2),
"-- NA --"
)</f>
        <v>-- NA --</v>
      </c>
      <c r="J1240" s="33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>
      <c r="A1241" s="26">
        <v>1240.0</v>
      </c>
      <c r="B1241" s="33"/>
      <c r="C1241" s="26" t="s">
        <v>425</v>
      </c>
      <c r="D1241" s="26" t="str">
        <f t="array" ref="D12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24AD009</v>
      </c>
      <c r="E1241" s="32" t="str">
        <f t="array" ref="E12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ADHIPAN P</v>
      </c>
      <c r="F1241" s="26" t="str">
        <f t="array" ref="F12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1" s="26" t="str">
        <f t="array" ref="G12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1" s="26" t="str">
        <f t="array" ref="H1241">IF(
MOD(ROW()-2,6)=0,
INDEX('Form Responses'!I:I,INT((ROW()-2)/6)+2),
"-- NA --"
)</f>
        <v>-- NA --</v>
      </c>
      <c r="I1241" s="32" t="str">
        <f t="array" ref="I1241">IF(
MOD(ROW()-2,6)=0,
INDEX('Form Responses'!J:J,INT((ROW()-2)/6)+2),
"-- NA --"
)</f>
        <v>-- NA --</v>
      </c>
      <c r="J1241" s="33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>
      <c r="A1242" s="26">
        <v>1241.0</v>
      </c>
      <c r="B1242" s="33"/>
      <c r="C1242" s="26" t="s">
        <v>464</v>
      </c>
      <c r="D1242" s="26" t="str">
        <f t="array" ref="D12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24AD242</v>
      </c>
      <c r="E1242" s="32" t="str">
        <f t="array" ref="E12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VARSHINI C R</v>
      </c>
      <c r="F1242" s="26" t="str">
        <f t="array" ref="F12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2" s="26" t="str">
        <f t="array" ref="G12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2" s="26" t="str">
        <f t="array" ref="H1242">IF(
MOD(ROW()-2,6)=0,
INDEX('Form Responses'!I:I,INT((ROW()-2)/6)+2),
"-- NA --"
)</f>
        <v>-- NA --</v>
      </c>
      <c r="I1242" s="32" t="str">
        <f t="array" ref="I1242">IF(
MOD(ROW()-2,6)=0,
INDEX('Form Responses'!J:J,INT((ROW()-2)/6)+2),
"-- NA --"
)</f>
        <v>-- NA --</v>
      </c>
      <c r="J1242" s="33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>
      <c r="A1243" s="26">
        <v>1242.0</v>
      </c>
      <c r="B1243" s="6"/>
      <c r="C1243" s="26" t="s">
        <v>500</v>
      </c>
      <c r="D1243" s="26" t="str">
        <f t="array" ref="D12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24AM099</v>
      </c>
      <c r="E1243" s="32" t="str">
        <f t="array" ref="E12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SOWMIGHA K A</v>
      </c>
      <c r="F1243" s="26" t="str">
        <f t="array" ref="F12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3" s="26" t="str">
        <f t="array" ref="G12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43" s="26" t="str">
        <f t="array" ref="H1243">IF(
MOD(ROW()-2,6)=0,
INDEX('Form Responses'!I:I,INT((ROW()-2)/6)+2),
"-- NA --"
)</f>
        <v>-- NA --</v>
      </c>
      <c r="I1243" s="32" t="str">
        <f t="array" ref="I1243">IF(
MOD(ROW()-2,6)=0,
INDEX('Form Responses'!J:J,INT((ROW()-2)/6)+2),
"-- NA --"
)</f>
        <v>-- NA --</v>
      </c>
      <c r="J1243" s="6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>
      <c r="A1244" s="26">
        <v>1243.0</v>
      </c>
      <c r="B1244" s="29" t="str">
        <f t="array" ref="B1244">INDEX('Form Responses'!$C:$C,INT((ROW()-2)/6)+2)</f>
        <v>SPARK SPECTRUM</v>
      </c>
      <c r="C1244" s="31" t="s">
        <v>140</v>
      </c>
      <c r="D1244" s="26" t="str">
        <f t="array" ref="D12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24AD150</v>
      </c>
      <c r="E1244" s="32" t="str">
        <f t="array" ref="E12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OVIYA R</v>
      </c>
      <c r="F1244" s="26" t="str">
        <f t="array" ref="F12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4" s="26" t="str">
        <f t="array" ref="G12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4" s="26">
        <f t="array" ref="H1244">IF(
MOD(ROW()-2,6)=0,
INDEX('Form Responses'!I:I,INT((ROW()-2)/6)+2),
"-- NA --"
)</f>
        <v>9042001540</v>
      </c>
      <c r="I1244" s="32" t="str">
        <f t="array" ref="I1244">IF(
MOD(ROW()-2,6)=0,
INDEX('Form Responses'!J:J,INT((ROW()-2)/6)+2),
"-- NA --"
)</f>
        <v>oviya.r2024aids@sece.ac.in </v>
      </c>
      <c r="J1244" s="29" t="str">
        <f t="array" ref="J1244">INDEX('Form Responses'!$D:$D,INT((ROW()-2)/6)+2)</f>
        <v>Hardware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>
      <c r="A1245" s="26">
        <v>1244.0</v>
      </c>
      <c r="B1245" s="33"/>
      <c r="C1245" s="26" t="s">
        <v>282</v>
      </c>
      <c r="D1245" s="26" t="str">
        <f t="array" ref="D12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24AD153 </v>
      </c>
      <c r="E1245" s="32" t="str">
        <f t="array" ref="E12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PRADEEPA C</v>
      </c>
      <c r="F1245" s="26" t="str">
        <f t="array" ref="F12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5" s="26" t="str">
        <f t="array" ref="G12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5" s="26" t="str">
        <f t="array" ref="H1245">IF(
MOD(ROW()-2,6)=0,
INDEX('Form Responses'!I:I,INT((ROW()-2)/6)+2),
"-- NA --"
)</f>
        <v>-- NA --</v>
      </c>
      <c r="I1245" s="32" t="str">
        <f t="array" ref="I1245">IF(
MOD(ROW()-2,6)=0,
INDEX('Form Responses'!J:J,INT((ROW()-2)/6)+2),
"-- NA --"
)</f>
        <v>-- NA --</v>
      </c>
      <c r="J1245" s="33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>
      <c r="A1246" s="26">
        <v>1245.0</v>
      </c>
      <c r="B1246" s="33"/>
      <c r="C1246" s="26" t="s">
        <v>385</v>
      </c>
      <c r="D1246" s="26" t="str">
        <f t="array" ref="D12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24AD183</v>
      </c>
      <c r="E1246" s="32" t="str">
        <f t="array" ref="E12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SAMEERA T</v>
      </c>
      <c r="F1246" s="26" t="str">
        <f t="array" ref="F12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6" s="26" t="str">
        <f t="array" ref="G12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6" s="26" t="str">
        <f t="array" ref="H1246">IF(
MOD(ROW()-2,6)=0,
INDEX('Form Responses'!I:I,INT((ROW()-2)/6)+2),
"-- NA --"
)</f>
        <v>-- NA --</v>
      </c>
      <c r="I1246" s="32" t="str">
        <f t="array" ref="I1246">IF(
MOD(ROW()-2,6)=0,
INDEX('Form Responses'!J:J,INT((ROW()-2)/6)+2),
"-- NA --"
)</f>
        <v>-- NA --</v>
      </c>
      <c r="J1246" s="33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>
      <c r="A1247" s="26">
        <v>1246.0</v>
      </c>
      <c r="B1247" s="33"/>
      <c r="C1247" s="26" t="s">
        <v>425</v>
      </c>
      <c r="D1247" s="26" t="str">
        <f t="array" ref="D12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24AD157</v>
      </c>
      <c r="E1247" s="32" t="str">
        <f t="array" ref="E12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PRANAVI S</v>
      </c>
      <c r="F1247" s="26" t="str">
        <f t="array" ref="F12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7" s="26" t="str">
        <f t="array" ref="G12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47" s="26" t="str">
        <f t="array" ref="H1247">IF(
MOD(ROW()-2,6)=0,
INDEX('Form Responses'!I:I,INT((ROW()-2)/6)+2),
"-- NA --"
)</f>
        <v>-- NA --</v>
      </c>
      <c r="I1247" s="32" t="str">
        <f t="array" ref="I1247">IF(
MOD(ROW()-2,6)=0,
INDEX('Form Responses'!J:J,INT((ROW()-2)/6)+2),
"-- NA --"
)</f>
        <v>-- NA --</v>
      </c>
      <c r="J1247" s="33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>
      <c r="A1248" s="26">
        <v>1247.0</v>
      </c>
      <c r="B1248" s="33"/>
      <c r="C1248" s="26" t="s">
        <v>464</v>
      </c>
      <c r="D1248" s="26" t="str">
        <f t="array" ref="D12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24EE020</v>
      </c>
      <c r="E1248" s="32" t="str">
        <f t="array" ref="E12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KISHORE C</v>
      </c>
      <c r="F1248" s="26" t="str">
        <f t="array" ref="F12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8" s="26" t="str">
        <f t="array" ref="G12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48" s="26" t="str">
        <f t="array" ref="H1248">IF(
MOD(ROW()-2,6)=0,
INDEX('Form Responses'!I:I,INT((ROW()-2)/6)+2),
"-- NA --"
)</f>
        <v>-- NA --</v>
      </c>
      <c r="I1248" s="32" t="str">
        <f t="array" ref="I1248">IF(
MOD(ROW()-2,6)=0,
INDEX('Form Responses'!J:J,INT((ROW()-2)/6)+2),
"-- NA --"
)</f>
        <v>-- NA --</v>
      </c>
      <c r="J1248" s="33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>
      <c r="A1249" s="26">
        <v>1248.0</v>
      </c>
      <c r="B1249" s="6"/>
      <c r="C1249" s="26" t="s">
        <v>500</v>
      </c>
      <c r="D1249" s="26" t="str">
        <f t="array" ref="D12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24EE060</v>
      </c>
      <c r="E1249" s="32" t="str">
        <f t="array" ref="E12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VARSHA D</v>
      </c>
      <c r="F1249" s="26" t="str">
        <f t="array" ref="F12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49" s="26" t="str">
        <f t="array" ref="G12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49" s="26" t="str">
        <f t="array" ref="H1249">IF(
MOD(ROW()-2,6)=0,
INDEX('Form Responses'!I:I,INT((ROW()-2)/6)+2),
"-- NA --"
)</f>
        <v>-- NA --</v>
      </c>
      <c r="I1249" s="32" t="str">
        <f t="array" ref="I1249">IF(
MOD(ROW()-2,6)=0,
INDEX('Form Responses'!J:J,INT((ROW()-2)/6)+2),
"-- NA --"
)</f>
        <v>-- NA --</v>
      </c>
      <c r="J1249" s="6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>
      <c r="A1250" s="26">
        <v>1249.0</v>
      </c>
      <c r="B1250" s="29" t="str">
        <f t="array" ref="B1250">INDEX('Form Responses'!$C:$C,INT((ROW()-2)/6)+2)</f>
        <v>ASPRINT NINJAS</v>
      </c>
      <c r="C1250" s="31" t="s">
        <v>140</v>
      </c>
      <c r="D1250" s="26" t="str">
        <f t="array" ref="D12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25AM016</v>
      </c>
      <c r="E1250" s="32" t="str">
        <f t="array" ref="E12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DEVARANJAN J</v>
      </c>
      <c r="F1250" s="26" t="str">
        <f t="array" ref="F12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0" s="26" t="str">
        <f t="array" ref="G12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0" s="26">
        <f t="array" ref="H1250">IF(
MOD(ROW()-2,6)=0,
INDEX('Form Responses'!I:I,INT((ROW()-2)/6)+2),
"-- NA --"
)</f>
        <v>7548831559</v>
      </c>
      <c r="I1250" s="32" t="str">
        <f t="array" ref="I1250">IF(
MOD(ROW()-2,6)=0,
INDEX('Form Responses'!J:J,INT((ROW()-2)/6)+2),
"-- NA --"
)</f>
        <v>devaranjan.j2025aiml@sece.ac.in</v>
      </c>
      <c r="J1250" s="29" t="str">
        <f t="array" ref="J1250">INDEX('Form Responses'!$D:$D,INT((ROW()-2)/6)+2)</f>
        <v>Hardware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>
      <c r="A1251" s="26">
        <v>1250.0</v>
      </c>
      <c r="B1251" s="33"/>
      <c r="C1251" s="26" t="s">
        <v>282</v>
      </c>
      <c r="D1251" s="26" t="str">
        <f t="array" ref="D12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25AM003</v>
      </c>
      <c r="E1251" s="32" t="str">
        <f t="array" ref="E12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ABISHEK K S</v>
      </c>
      <c r="F1251" s="26" t="str">
        <f t="array" ref="F12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1" s="26" t="str">
        <f t="array" ref="G12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1" s="26" t="str">
        <f t="array" ref="H1251">IF(
MOD(ROW()-2,6)=0,
INDEX('Form Responses'!I:I,INT((ROW()-2)/6)+2),
"-- NA --"
)</f>
        <v>-- NA --</v>
      </c>
      <c r="I1251" s="32" t="str">
        <f t="array" ref="I1251">IF(
MOD(ROW()-2,6)=0,
INDEX('Form Responses'!J:J,INT((ROW()-2)/6)+2),
"-- NA --"
)</f>
        <v>-- NA --</v>
      </c>
      <c r="J1251" s="33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  <row r="1252">
      <c r="A1252" s="26">
        <v>1251.0</v>
      </c>
      <c r="B1252" s="33"/>
      <c r="C1252" s="26" t="s">
        <v>385</v>
      </c>
      <c r="D1252" s="26" t="str">
        <f t="array" ref="D12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25AM013</v>
      </c>
      <c r="E1252" s="32" t="str">
        <f t="array" ref="E12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BIRUNDHA S</v>
      </c>
      <c r="F1252" s="26" t="str">
        <f t="array" ref="F12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2" s="26" t="str">
        <f t="array" ref="G12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2" s="26" t="str">
        <f t="array" ref="H1252">IF(
MOD(ROW()-2,6)=0,
INDEX('Form Responses'!I:I,INT((ROW()-2)/6)+2),
"-- NA --"
)</f>
        <v>-- NA --</v>
      </c>
      <c r="I1252" s="32" t="str">
        <f t="array" ref="I1252">IF(
MOD(ROW()-2,6)=0,
INDEX('Form Responses'!J:J,INT((ROW()-2)/6)+2),
"-- NA --"
)</f>
        <v>-- NA --</v>
      </c>
      <c r="J1252" s="33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</row>
    <row r="1253">
      <c r="A1253" s="26">
        <v>1252.0</v>
      </c>
      <c r="B1253" s="33"/>
      <c r="C1253" s="26" t="s">
        <v>425</v>
      </c>
      <c r="D1253" s="26" t="str">
        <f t="array" ref="D12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25AM039</v>
      </c>
      <c r="E1253" s="32" t="str">
        <f t="array" ref="E12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S</v>
      </c>
      <c r="F1253" s="26" t="str">
        <f t="array" ref="F12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3" s="26" t="str">
        <f t="array" ref="G12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3" s="26" t="str">
        <f t="array" ref="H1253">IF(
MOD(ROW()-2,6)=0,
INDEX('Form Responses'!I:I,INT((ROW()-2)/6)+2),
"-- NA --"
)</f>
        <v>-- NA --</v>
      </c>
      <c r="I1253" s="32" t="str">
        <f t="array" ref="I1253">IF(
MOD(ROW()-2,6)=0,
INDEX('Form Responses'!J:J,INT((ROW()-2)/6)+2),
"-- NA --"
)</f>
        <v>-- NA --</v>
      </c>
      <c r="J1253" s="33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</row>
    <row r="1254">
      <c r="A1254" s="26">
        <v>1253.0</v>
      </c>
      <c r="B1254" s="33"/>
      <c r="C1254" s="26" t="s">
        <v>464</v>
      </c>
      <c r="D1254" s="26" t="str">
        <f t="array" ref="D12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25EC169</v>
      </c>
      <c r="E1254" s="32" t="str">
        <f t="array" ref="E12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SUJAN RAJA B</v>
      </c>
      <c r="F1254" s="26" t="str">
        <f t="array" ref="F12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4" s="26" t="str">
        <f t="array" ref="G12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54" s="26" t="str">
        <f t="array" ref="H1254">IF(
MOD(ROW()-2,6)=0,
INDEX('Form Responses'!I:I,INT((ROW()-2)/6)+2),
"-- NA --"
)</f>
        <v>-- NA --</v>
      </c>
      <c r="I1254" s="32" t="str">
        <f t="array" ref="I1254">IF(
MOD(ROW()-2,6)=0,
INDEX('Form Responses'!J:J,INT((ROW()-2)/6)+2),
"-- NA --"
)</f>
        <v>-- NA --</v>
      </c>
      <c r="J1254" s="33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</row>
    <row r="1255">
      <c r="A1255" s="26">
        <v>1254.0</v>
      </c>
      <c r="B1255" s="6"/>
      <c r="C1255" s="26" t="s">
        <v>500</v>
      </c>
      <c r="D1255" s="26" t="str">
        <f t="array" ref="D12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25EC145</v>
      </c>
      <c r="E1255" s="32" t="str">
        <f t="array" ref="E12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SANTHOSH BALA P</v>
      </c>
      <c r="F1255" s="26" t="str">
        <f t="array" ref="F12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55" s="26" t="str">
        <f t="array" ref="G12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55" s="26" t="str">
        <f t="array" ref="H1255">IF(
MOD(ROW()-2,6)=0,
INDEX('Form Responses'!I:I,INT((ROW()-2)/6)+2),
"-- NA --"
)</f>
        <v>-- NA --</v>
      </c>
      <c r="I1255" s="32" t="str">
        <f t="array" ref="I1255">IF(
MOD(ROW()-2,6)=0,
INDEX('Form Responses'!J:J,INT((ROW()-2)/6)+2),
"-- NA --"
)</f>
        <v>-- NA --</v>
      </c>
      <c r="J1255" s="6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</row>
    <row r="1256">
      <c r="A1256" s="26">
        <v>1255.0</v>
      </c>
      <c r="B1256" s="29" t="str">
        <f t="array" ref="B1256">INDEX('Form Responses'!$C:$C,INT((ROW()-2)/6)+2)</f>
        <v>Team Omnitrix</v>
      </c>
      <c r="C1256" s="31" t="s">
        <v>140</v>
      </c>
      <c r="D1256" s="26" t="str">
        <f t="array" ref="D12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24AM044</v>
      </c>
      <c r="E1256" s="32" t="str">
        <f t="array" ref="E12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KARTHICK RAJA T M</v>
      </c>
      <c r="F1256" s="26" t="str">
        <f t="array" ref="F12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56" s="26" t="str">
        <f t="array" ref="G12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6" s="26">
        <f t="array" ref="H1256">IF(
MOD(ROW()-2,6)=0,
INDEX('Form Responses'!I:I,INT((ROW()-2)/6)+2),
"-- NA --"
)</f>
        <v>9345788571</v>
      </c>
      <c r="I1256" s="32" t="str">
        <f t="array" ref="I1256">IF(
MOD(ROW()-2,6)=0,
INDEX('Form Responses'!J:J,INT((ROW()-2)/6)+2),
"-- NA --"
)</f>
        <v>karthickraja.tm2024aiml@sece.ac.in</v>
      </c>
      <c r="J1256" s="29" t="str">
        <f t="array" ref="J1256">INDEX('Form Responses'!$D:$D,INT((ROW()-2)/6)+2)</f>
        <v>Hardware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>
      <c r="A1257" s="26">
        <v>1256.0</v>
      </c>
      <c r="B1257" s="33"/>
      <c r="C1257" s="26" t="s">
        <v>282</v>
      </c>
      <c r="D1257" s="26" t="str">
        <f t="array" ref="D12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24AM004</v>
      </c>
      <c r="E1257" s="32" t="str">
        <f t="array" ref="E12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AKASH B</v>
      </c>
      <c r="F1257" s="26" t="str">
        <f t="array" ref="F12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57" s="26" t="str">
        <f t="array" ref="G12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7" s="26" t="str">
        <f t="array" ref="H1257">IF(
MOD(ROW()-2,6)=0,
INDEX('Form Responses'!I:I,INT((ROW()-2)/6)+2),
"-- NA --"
)</f>
        <v>-- NA --</v>
      </c>
      <c r="I1257" s="32" t="str">
        <f t="array" ref="I1257">IF(
MOD(ROW()-2,6)=0,
INDEX('Form Responses'!J:J,INT((ROW()-2)/6)+2),
"-- NA --"
)</f>
        <v>-- NA --</v>
      </c>
      <c r="J1257" s="33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</row>
    <row r="1258">
      <c r="A1258" s="26">
        <v>1257.0</v>
      </c>
      <c r="B1258" s="33"/>
      <c r="C1258" s="26" t="s">
        <v>385</v>
      </c>
      <c r="D1258" s="26" t="str">
        <f t="array" ref="D12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24AM046</v>
      </c>
      <c r="E1258" s="32" t="str">
        <f t="array" ref="E12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KAVINDRA E M </v>
      </c>
      <c r="F1258" s="26" t="str">
        <f t="array" ref="F12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58" s="26" t="str">
        <f t="array" ref="G12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8" s="26" t="str">
        <f t="array" ref="H1258">IF(
MOD(ROW()-2,6)=0,
INDEX('Form Responses'!I:I,INT((ROW()-2)/6)+2),
"-- NA --"
)</f>
        <v>-- NA --</v>
      </c>
      <c r="I1258" s="32" t="str">
        <f t="array" ref="I1258">IF(
MOD(ROW()-2,6)=0,
INDEX('Form Responses'!J:J,INT((ROW()-2)/6)+2),
"-- NA --"
)</f>
        <v>-- NA --</v>
      </c>
      <c r="J1258" s="33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>
      <c r="A1259" s="26">
        <v>1258.0</v>
      </c>
      <c r="B1259" s="33"/>
      <c r="C1259" s="26" t="s">
        <v>425</v>
      </c>
      <c r="D1259" s="26" t="str">
        <f t="array" ref="D12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24AM040</v>
      </c>
      <c r="E1259" s="32" t="str">
        <f t="array" ref="E12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JOVIA A J</v>
      </c>
      <c r="F1259" s="26" t="str">
        <f t="array" ref="F12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59" s="26" t="str">
        <f t="array" ref="G12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59" s="26" t="str">
        <f t="array" ref="H1259">IF(
MOD(ROW()-2,6)=0,
INDEX('Form Responses'!I:I,INT((ROW()-2)/6)+2),
"-- NA --"
)</f>
        <v>-- NA --</v>
      </c>
      <c r="I1259" s="32" t="str">
        <f t="array" ref="I1259">IF(
MOD(ROW()-2,6)=0,
INDEX('Form Responses'!J:J,INT((ROW()-2)/6)+2),
"-- NA --"
)</f>
        <v>-- NA --</v>
      </c>
      <c r="J1259" s="33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</row>
    <row r="1260">
      <c r="A1260" s="26">
        <v>1259.0</v>
      </c>
      <c r="B1260" s="33"/>
      <c r="C1260" s="26" t="s">
        <v>464</v>
      </c>
      <c r="D1260" s="26" t="str">
        <f t="array" ref="D12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24AD013</v>
      </c>
      <c r="E1260" s="32" t="str">
        <f t="array" ref="E12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AJENDRA A S</v>
      </c>
      <c r="F1260" s="26" t="str">
        <f t="array" ref="F12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60" s="26" t="str">
        <f t="array" ref="G12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60" s="26" t="str">
        <f t="array" ref="H1260">IF(
MOD(ROW()-2,6)=0,
INDEX('Form Responses'!I:I,INT((ROW()-2)/6)+2),
"-- NA --"
)</f>
        <v>-- NA --</v>
      </c>
      <c r="I1260" s="32" t="str">
        <f t="array" ref="I1260">IF(
MOD(ROW()-2,6)=0,
INDEX('Form Responses'!J:J,INT((ROW()-2)/6)+2),
"-- NA --"
)</f>
        <v>-- NA --</v>
      </c>
      <c r="J1260" s="33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</row>
    <row r="1261">
      <c r="A1261" s="26">
        <v>1260.0</v>
      </c>
      <c r="B1261" s="6"/>
      <c r="C1261" s="26" t="s">
        <v>500</v>
      </c>
      <c r="D1261" s="26" t="str">
        <f t="array" ref="D12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24AD037</v>
      </c>
      <c r="E1261" s="32" t="str">
        <f t="array" ref="E12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DEEPAN R</v>
      </c>
      <c r="F1261" s="26" t="str">
        <f t="array" ref="F12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61" s="26" t="str">
        <f t="array" ref="G12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61" s="26" t="str">
        <f t="array" ref="H1261">IF(
MOD(ROW()-2,6)=0,
INDEX('Form Responses'!I:I,INT((ROW()-2)/6)+2),
"-- NA --"
)</f>
        <v>-- NA --</v>
      </c>
      <c r="I1261" s="32" t="str">
        <f t="array" ref="I1261">IF(
MOD(ROW()-2,6)=0,
INDEX('Form Responses'!J:J,INT((ROW()-2)/6)+2),
"-- NA --"
)</f>
        <v>-- NA --</v>
      </c>
      <c r="J1261" s="6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>
      <c r="A1262" s="26">
        <v>1261.0</v>
      </c>
      <c r="B1262" s="29" t="str">
        <f t="array" ref="B1262">INDEX('Form Responses'!$C:$C,INT((ROW()-2)/6)+2)</f>
        <v>INFINITE INSIGHTS </v>
      </c>
      <c r="C1262" s="31" t="s">
        <v>140</v>
      </c>
      <c r="D1262" s="26" t="str">
        <f t="array" ref="D12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25AM015</v>
      </c>
      <c r="E1262" s="32" t="str">
        <f t="array" ref="E12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CHANDRU S</v>
      </c>
      <c r="F1262" s="26" t="str">
        <f t="array" ref="F12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2" s="26" t="str">
        <f t="array" ref="G12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62" s="26" t="str">
        <f t="array" ref="H1262">IF(
MOD(ROW()-2,6)=0,
INDEX('Form Responses'!I:I,INT((ROW()-2)/6)+2),
"-- NA --"
)</f>
        <v>90035 05655</v>
      </c>
      <c r="I1262" s="32" t="str">
        <f t="array" ref="I1262">IF(
MOD(ROW()-2,6)=0,
INDEX('Form Responses'!J:J,INT((ROW()-2)/6)+2),
"-- NA --"
)</f>
        <v>chandru.s2025aiml@sece.ac.in</v>
      </c>
      <c r="J1262" s="29" t="str">
        <f t="array" ref="J1262">INDEX('Form Responses'!$D:$D,INT((ROW()-2)/6)+2)</f>
        <v>Hardware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</row>
    <row r="1263">
      <c r="A1263" s="26">
        <v>1262.0</v>
      </c>
      <c r="B1263" s="33"/>
      <c r="C1263" s="26" t="s">
        <v>282</v>
      </c>
      <c r="D1263" s="26" t="str">
        <f t="array" ref="D12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25AM023</v>
      </c>
      <c r="E1263" s="32" t="str">
        <f t="array" ref="E12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DHEVATHARSHINI V</v>
      </c>
      <c r="F1263" s="26" t="str">
        <f t="array" ref="F12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3" s="26" t="str">
        <f t="array" ref="G12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63" s="26" t="str">
        <f t="array" ref="H1263">IF(
MOD(ROW()-2,6)=0,
INDEX('Form Responses'!I:I,INT((ROW()-2)/6)+2),
"-- NA --"
)</f>
        <v>-- NA --</v>
      </c>
      <c r="I1263" s="32" t="str">
        <f t="array" ref="I1263">IF(
MOD(ROW()-2,6)=0,
INDEX('Form Responses'!J:J,INT((ROW()-2)/6)+2),
"-- NA --"
)</f>
        <v>-- NA --</v>
      </c>
      <c r="J1263" s="33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</row>
    <row r="1264">
      <c r="A1264" s="26">
        <v>1263.0</v>
      </c>
      <c r="B1264" s="33"/>
      <c r="C1264" s="26" t="s">
        <v>385</v>
      </c>
      <c r="D1264" s="26" t="str">
        <f t="array" ref="D12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25AM014</v>
      </c>
      <c r="E1264" s="32" t="str">
        <f t="array" ref="E12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BOOVIHA M</v>
      </c>
      <c r="F1264" s="26" t="str">
        <f t="array" ref="F12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4" s="26" t="str">
        <f t="array" ref="G12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64" s="26" t="str">
        <f t="array" ref="H1264">IF(
MOD(ROW()-2,6)=0,
INDEX('Form Responses'!I:I,INT((ROW()-2)/6)+2),
"-- NA --"
)</f>
        <v>-- NA --</v>
      </c>
      <c r="I1264" s="32" t="str">
        <f t="array" ref="I1264">IF(
MOD(ROW()-2,6)=0,
INDEX('Form Responses'!J:J,INT((ROW()-2)/6)+2),
"-- NA --"
)</f>
        <v>-- NA --</v>
      </c>
      <c r="J1264" s="33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</row>
    <row r="1265">
      <c r="A1265" s="26">
        <v>1264.0</v>
      </c>
      <c r="B1265" s="33"/>
      <c r="C1265" s="26" t="s">
        <v>425</v>
      </c>
      <c r="D1265" s="26" t="str">
        <f t="array" ref="D12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25AM061</v>
      </c>
      <c r="E1265" s="32" t="str">
        <f t="array" ref="E12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MAHIMA S</v>
      </c>
      <c r="F1265" s="26" t="str">
        <f t="array" ref="F12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5" s="26" t="str">
        <f t="array" ref="G12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65" s="26" t="str">
        <f t="array" ref="H1265">IF(
MOD(ROW()-2,6)=0,
INDEX('Form Responses'!I:I,INT((ROW()-2)/6)+2),
"-- NA --"
)</f>
        <v>-- NA --</v>
      </c>
      <c r="I1265" s="32" t="str">
        <f t="array" ref="I1265">IF(
MOD(ROW()-2,6)=0,
INDEX('Form Responses'!J:J,INT((ROW()-2)/6)+2),
"-- NA --"
)</f>
        <v>-- NA --</v>
      </c>
      <c r="J1265" s="33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</row>
    <row r="1266">
      <c r="A1266" s="26">
        <v>1265.0</v>
      </c>
      <c r="B1266" s="33"/>
      <c r="C1266" s="26" t="s">
        <v>464</v>
      </c>
      <c r="D1266" s="26" t="str">
        <f t="array" ref="D12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25EC146</v>
      </c>
      <c r="E1266" s="32" t="str">
        <f t="array" ref="E12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SARVESH</v>
      </c>
      <c r="F1266" s="26" t="str">
        <f t="array" ref="F12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6" s="26" t="str">
        <f t="array" ref="G12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66" s="26" t="str">
        <f t="array" ref="H1266">IF(
MOD(ROW()-2,6)=0,
INDEX('Form Responses'!I:I,INT((ROW()-2)/6)+2),
"-- NA --"
)</f>
        <v>-- NA --</v>
      </c>
      <c r="I1266" s="32" t="str">
        <f t="array" ref="I1266">IF(
MOD(ROW()-2,6)=0,
INDEX('Form Responses'!J:J,INT((ROW()-2)/6)+2),
"-- NA --"
)</f>
        <v>-- NA --</v>
      </c>
      <c r="J1266" s="33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</row>
    <row r="1267">
      <c r="A1267" s="26">
        <v>1266.0</v>
      </c>
      <c r="B1267" s="6"/>
      <c r="C1267" s="26" t="s">
        <v>500</v>
      </c>
      <c r="D1267" s="26" t="str">
        <f t="array" ref="D12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25EC177</v>
      </c>
      <c r="E1267" s="32" t="str">
        <f t="array" ref="E12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UDHAYAKUMAR M</v>
      </c>
      <c r="F1267" s="26" t="str">
        <f t="array" ref="F12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7" s="26" t="str">
        <f t="array" ref="G12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67" s="26" t="str">
        <f t="array" ref="H1267">IF(
MOD(ROW()-2,6)=0,
INDEX('Form Responses'!I:I,INT((ROW()-2)/6)+2),
"-- NA --"
)</f>
        <v>-- NA --</v>
      </c>
      <c r="I1267" s="32" t="str">
        <f t="array" ref="I1267">IF(
MOD(ROW()-2,6)=0,
INDEX('Form Responses'!J:J,INT((ROW()-2)/6)+2),
"-- NA --"
)</f>
        <v>-- NA --</v>
      </c>
      <c r="J1267" s="6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</row>
    <row r="1268">
      <c r="A1268" s="26">
        <v>1267.0</v>
      </c>
      <c r="B1268" s="29" t="str">
        <f t="array" ref="B1268">INDEX('Form Responses'!$C:$C,INT((ROW()-2)/6)+2)</f>
        <v>INOVEX</v>
      </c>
      <c r="C1268" s="31" t="s">
        <v>140</v>
      </c>
      <c r="D1268" s="26" t="str">
        <f t="array" ref="D12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25EC173</v>
      </c>
      <c r="E1268" s="32" t="str">
        <f t="array" ref="E12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SURIYA PRAKASH S</v>
      </c>
      <c r="F1268" s="26" t="str">
        <f t="array" ref="F12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8" s="26" t="str">
        <f t="array" ref="G12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68" s="26">
        <f t="array" ref="H1268">IF(
MOD(ROW()-2,6)=0,
INDEX('Form Responses'!I:I,INT((ROW()-2)/6)+2),
"-- NA --"
)</f>
        <v>9442881198</v>
      </c>
      <c r="I1268" s="32" t="str">
        <f t="array" ref="I1268">IF(
MOD(ROW()-2,6)=0,
INDEX('Form Responses'!J:J,INT((ROW()-2)/6)+2),
"-- NA --"
)</f>
        <v>suriyaprakash.s2025ece@sece.ac.in</v>
      </c>
      <c r="J1268" s="29" t="str">
        <f t="array" ref="J1268">INDEX('Form Responses'!$D:$D,INT((ROW()-2)/6)+2)</f>
        <v>Hardware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</row>
    <row r="1269">
      <c r="A1269" s="26">
        <v>1268.0</v>
      </c>
      <c r="B1269" s="33"/>
      <c r="C1269" s="26" t="s">
        <v>282</v>
      </c>
      <c r="D1269" s="26" t="str">
        <f t="array" ref="D12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25EC186</v>
      </c>
      <c r="E1269" s="32" t="str">
        <f t="array" ref="E12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VISWASHINI SR </v>
      </c>
      <c r="F1269" s="26" t="str">
        <f t="array" ref="F12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69" s="26" t="str">
        <f t="array" ref="G12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69" s="26" t="str">
        <f t="array" ref="H1269">IF(
MOD(ROW()-2,6)=0,
INDEX('Form Responses'!I:I,INT((ROW()-2)/6)+2),
"-- NA --"
)</f>
        <v>-- NA --</v>
      </c>
      <c r="I1269" s="32" t="str">
        <f t="array" ref="I1269">IF(
MOD(ROW()-2,6)=0,
INDEX('Form Responses'!J:J,INT((ROW()-2)/6)+2),
"-- NA --"
)</f>
        <v>-- NA --</v>
      </c>
      <c r="J1269" s="33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</row>
    <row r="1270">
      <c r="A1270" s="26">
        <v>1269.0</v>
      </c>
      <c r="B1270" s="33"/>
      <c r="C1270" s="26" t="s">
        <v>385</v>
      </c>
      <c r="D1270" s="26" t="str">
        <f t="array" ref="D12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25EC137</v>
      </c>
      <c r="E1270" s="32" t="str">
        <f t="array" ref="E12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RENU SHREE SJ</v>
      </c>
      <c r="F1270" s="26" t="str">
        <f t="array" ref="F12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0" s="26" t="str">
        <f t="array" ref="G12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270" s="26" t="str">
        <f t="array" ref="H1270">IF(
MOD(ROW()-2,6)=0,
INDEX('Form Responses'!I:I,INT((ROW()-2)/6)+2),
"-- NA --"
)</f>
        <v>-- NA --</v>
      </c>
      <c r="I1270" s="32" t="str">
        <f t="array" ref="I1270">IF(
MOD(ROW()-2,6)=0,
INDEX('Form Responses'!J:J,INT((ROW()-2)/6)+2),
"-- NA --"
)</f>
        <v>-- NA --</v>
      </c>
      <c r="J1270" s="33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</row>
    <row r="1271">
      <c r="A1271" s="26">
        <v>1270.0</v>
      </c>
      <c r="B1271" s="33"/>
      <c r="C1271" s="26" t="s">
        <v>425</v>
      </c>
      <c r="D1271" s="26" t="str">
        <f t="array" ref="D12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25AM082</v>
      </c>
      <c r="E1271" s="32" t="str">
        <f t="array" ref="E12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SAJNA A</v>
      </c>
      <c r="F1271" s="26" t="str">
        <f t="array" ref="F12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1" s="26" t="str">
        <f t="array" ref="G12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71" s="26" t="str">
        <f t="array" ref="H1271">IF(
MOD(ROW()-2,6)=0,
INDEX('Form Responses'!I:I,INT((ROW()-2)/6)+2),
"-- NA --"
)</f>
        <v>-- NA --</v>
      </c>
      <c r="I1271" s="32" t="str">
        <f t="array" ref="I1271">IF(
MOD(ROW()-2,6)=0,
INDEX('Form Responses'!J:J,INT((ROW()-2)/6)+2),
"-- NA --"
)</f>
        <v>-- NA --</v>
      </c>
      <c r="J1271" s="33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</row>
    <row r="1272">
      <c r="A1272" s="26">
        <v>1271.0</v>
      </c>
      <c r="B1272" s="33"/>
      <c r="C1272" s="26" t="s">
        <v>464</v>
      </c>
      <c r="D1272" s="26" t="str">
        <f t="array" ref="D12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25AD150</v>
      </c>
      <c r="E1272" s="32" t="str">
        <f t="array" ref="E12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PRAJIT R</v>
      </c>
      <c r="F1272" s="26" t="str">
        <f t="array" ref="F12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2" s="26" t="str">
        <f t="array" ref="G12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72" s="26" t="str">
        <f t="array" ref="H1272">IF(
MOD(ROW()-2,6)=0,
INDEX('Form Responses'!I:I,INT((ROW()-2)/6)+2),
"-- NA --"
)</f>
        <v>-- NA --</v>
      </c>
      <c r="I1272" s="32" t="str">
        <f t="array" ref="I1272">IF(
MOD(ROW()-2,6)=0,
INDEX('Form Responses'!J:J,INT((ROW()-2)/6)+2),
"-- NA --"
)</f>
        <v>-- NA --</v>
      </c>
      <c r="J1272" s="33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</row>
    <row r="1273">
      <c r="A1273" s="26">
        <v>1272.0</v>
      </c>
      <c r="B1273" s="6"/>
      <c r="C1273" s="26" t="s">
        <v>500</v>
      </c>
      <c r="D1273" s="26" t="str">
        <f t="array" ref="D12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25ME015</v>
      </c>
      <c r="E1273" s="32" t="str">
        <f t="array" ref="E12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MANUSHANTON.A</v>
      </c>
      <c r="F1273" s="26" t="str">
        <f t="array" ref="F12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3" s="26" t="str">
        <f t="array" ref="G12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273" s="26" t="str">
        <f t="array" ref="H1273">IF(
MOD(ROW()-2,6)=0,
INDEX('Form Responses'!I:I,INT((ROW()-2)/6)+2),
"-- NA --"
)</f>
        <v>-- NA --</v>
      </c>
      <c r="I1273" s="32" t="str">
        <f t="array" ref="I1273">IF(
MOD(ROW()-2,6)=0,
INDEX('Form Responses'!J:J,INT((ROW()-2)/6)+2),
"-- NA --"
)</f>
        <v>-- NA --</v>
      </c>
      <c r="J1273" s="6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</row>
    <row r="1274">
      <c r="A1274" s="26">
        <v>1273.0</v>
      </c>
      <c r="B1274" s="29" t="str">
        <f t="array" ref="B1274">INDEX('Form Responses'!$C:$C,INT((ROW()-2)/6)+2)</f>
        <v>EPIC INNOVATORS</v>
      </c>
      <c r="C1274" s="31" t="s">
        <v>140</v>
      </c>
      <c r="D1274" s="26" t="str">
        <f t="array" ref="D12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24AM048</v>
      </c>
      <c r="E1274" s="32" t="str">
        <f t="array" ref="E12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KIRIT P S</v>
      </c>
      <c r="F1274" s="26" t="str">
        <f t="array" ref="F12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74" s="26" t="str">
        <f t="array" ref="G12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74" s="26">
        <f t="array" ref="H1274">IF(
MOD(ROW()-2,6)=0,
INDEX('Form Responses'!I:I,INT((ROW()-2)/6)+2),
"-- NA --"
)</f>
        <v>9150915034</v>
      </c>
      <c r="I1274" s="32" t="str">
        <f t="array" ref="I1274">IF(
MOD(ROW()-2,6)=0,
INDEX('Form Responses'!J:J,INT((ROW()-2)/6)+2),
"-- NA --"
)</f>
        <v>kirit.ps2024aiml@sece.ac.in</v>
      </c>
      <c r="J1274" s="29" t="str">
        <f t="array" ref="J1274">INDEX('Form Responses'!$D:$D,INT((ROW()-2)/6)+2)</f>
        <v>Software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</row>
    <row r="1275">
      <c r="A1275" s="26">
        <v>1274.0</v>
      </c>
      <c r="B1275" s="33"/>
      <c r="C1275" s="26" t="s">
        <v>282</v>
      </c>
      <c r="D1275" s="26" t="str">
        <f t="array" ref="D12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24AM049</v>
      </c>
      <c r="E1275" s="32" t="str">
        <f t="array" ref="E12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KISHORE V R</v>
      </c>
      <c r="F1275" s="26" t="str">
        <f t="array" ref="F12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75" s="26" t="str">
        <f t="array" ref="G12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75" s="26" t="str">
        <f t="array" ref="H1275">IF(
MOD(ROW()-2,6)=0,
INDEX('Form Responses'!I:I,INT((ROW()-2)/6)+2),
"-- NA --"
)</f>
        <v>-- NA --</v>
      </c>
      <c r="I1275" s="32" t="str">
        <f t="array" ref="I1275">IF(
MOD(ROW()-2,6)=0,
INDEX('Form Responses'!J:J,INT((ROW()-2)/6)+2),
"-- NA --"
)</f>
        <v>-- NA --</v>
      </c>
      <c r="J1275" s="33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</row>
    <row r="1276">
      <c r="A1276" s="26">
        <v>1275.0</v>
      </c>
      <c r="B1276" s="33"/>
      <c r="C1276" s="26" t="s">
        <v>385</v>
      </c>
      <c r="D1276" s="26" t="str">
        <f t="array" ref="D12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24AM023</v>
      </c>
      <c r="E1276" s="32" t="str">
        <f t="array" ref="E12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EETHAMUKKALA RAMDAS PAVAN</v>
      </c>
      <c r="F1276" s="26" t="str">
        <f t="array" ref="F12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76" s="26" t="str">
        <f t="array" ref="G12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76" s="26" t="str">
        <f t="array" ref="H1276">IF(
MOD(ROW()-2,6)=0,
INDEX('Form Responses'!I:I,INT((ROW()-2)/6)+2),
"-- NA --"
)</f>
        <v>-- NA --</v>
      </c>
      <c r="I1276" s="32" t="str">
        <f t="array" ref="I1276">IF(
MOD(ROW()-2,6)=0,
INDEX('Form Responses'!J:J,INT((ROW()-2)/6)+2),
"-- NA --"
)</f>
        <v>-- NA --</v>
      </c>
      <c r="J1276" s="33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</row>
    <row r="1277">
      <c r="A1277" s="26">
        <v>1276.0</v>
      </c>
      <c r="B1277" s="33"/>
      <c r="C1277" s="26" t="s">
        <v>425</v>
      </c>
      <c r="D1277" s="26" t="str">
        <f t="array" ref="D12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24AM060</v>
      </c>
      <c r="E1277" s="32" t="str">
        <f t="array" ref="E12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MITHILAN K</v>
      </c>
      <c r="F1277" s="26" t="str">
        <f t="array" ref="F12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77" s="26" t="str">
        <f t="array" ref="G12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77" s="26" t="str">
        <f t="array" ref="H1277">IF(
MOD(ROW()-2,6)=0,
INDEX('Form Responses'!I:I,INT((ROW()-2)/6)+2),
"-- NA --"
)</f>
        <v>-- NA --</v>
      </c>
      <c r="I1277" s="32" t="str">
        <f t="array" ref="I1277">IF(
MOD(ROW()-2,6)=0,
INDEX('Form Responses'!J:J,INT((ROW()-2)/6)+2),
"-- NA --"
)</f>
        <v>-- NA --</v>
      </c>
      <c r="J1277" s="33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</row>
    <row r="1278">
      <c r="A1278" s="26">
        <v>1277.0</v>
      </c>
      <c r="B1278" s="33"/>
      <c r="C1278" s="26" t="s">
        <v>464</v>
      </c>
      <c r="D1278" s="26" t="str">
        <f t="array" ref="D12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25AD131</v>
      </c>
      <c r="E1278" s="32" t="str">
        <f t="array" ref="E12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NIKILA R</v>
      </c>
      <c r="F1278" s="26" t="str">
        <f t="array" ref="F12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8" s="26" t="str">
        <f t="array" ref="G12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78" s="26" t="str">
        <f t="array" ref="H1278">IF(
MOD(ROW()-2,6)=0,
INDEX('Form Responses'!I:I,INT((ROW()-2)/6)+2),
"-- NA --"
)</f>
        <v>-- NA --</v>
      </c>
      <c r="I1278" s="32" t="str">
        <f t="array" ref="I1278">IF(
MOD(ROW()-2,6)=0,
INDEX('Form Responses'!J:J,INT((ROW()-2)/6)+2),
"-- NA --"
)</f>
        <v>-- NA --</v>
      </c>
      <c r="J1278" s="33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</row>
    <row r="1279">
      <c r="A1279" s="26">
        <v>1278.0</v>
      </c>
      <c r="B1279" s="6"/>
      <c r="C1279" s="26" t="s">
        <v>500</v>
      </c>
      <c r="D1279" s="26" t="str">
        <f t="array" ref="D12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25AD173</v>
      </c>
      <c r="E1279" s="32" t="str">
        <f t="array" ref="E12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RUPASRI C</v>
      </c>
      <c r="F1279" s="26" t="str">
        <f t="array" ref="F12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79" s="26" t="str">
        <f t="array" ref="G12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79" s="26" t="str">
        <f t="array" ref="H1279">IF(
MOD(ROW()-2,6)=0,
INDEX('Form Responses'!I:I,INT((ROW()-2)/6)+2),
"-- NA --"
)</f>
        <v>-- NA --</v>
      </c>
      <c r="I1279" s="32" t="str">
        <f t="array" ref="I1279">IF(
MOD(ROW()-2,6)=0,
INDEX('Form Responses'!J:J,INT((ROW()-2)/6)+2),
"-- NA --"
)</f>
        <v>-- NA --</v>
      </c>
      <c r="J1279" s="6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</row>
    <row r="1280">
      <c r="A1280" s="26">
        <v>1279.0</v>
      </c>
      <c r="B1280" s="29" t="str">
        <f t="array" ref="B1280">INDEX('Form Responses'!$C:$C,INT((ROW()-2)/6)+2)</f>
        <v>CRUSADERS </v>
      </c>
      <c r="C1280" s="31" t="s">
        <v>140</v>
      </c>
      <c r="D1280" s="26" t="str">
        <f t="array" ref="D12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24AM105</v>
      </c>
      <c r="E1280" s="32" t="str">
        <f t="array" ref="E12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PRABHA P </v>
      </c>
      <c r="F1280" s="26" t="str">
        <f t="array" ref="F12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0" s="26" t="str">
        <f t="array" ref="G12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0" s="26">
        <f t="array" ref="H1280">IF(
MOD(ROW()-2,6)=0,
INDEX('Form Responses'!I:I,INT((ROW()-2)/6)+2),
"-- NA --"
)</f>
        <v>7395947506</v>
      </c>
      <c r="I1280" s="32" t="str">
        <f t="array" ref="I1280">IF(
MOD(ROW()-2,6)=0,
INDEX('Form Responses'!J:J,INT((ROW()-2)/6)+2),
"-- NA --"
)</f>
        <v>suryaprabha.p2024aiml@sece.ac.in</v>
      </c>
      <c r="J1280" s="29" t="str">
        <f t="array" ref="J1280">INDEX('Form Responses'!$D:$D,INT((ROW()-2)/6)+2)</f>
        <v>Hardware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</row>
    <row r="1281">
      <c r="A1281" s="26">
        <v>1280.0</v>
      </c>
      <c r="B1281" s="33"/>
      <c r="C1281" s="26" t="s">
        <v>282</v>
      </c>
      <c r="D1281" s="26" t="str">
        <f t="array" ref="D12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24AM103 </v>
      </c>
      <c r="E1281" s="32" t="str">
        <f t="array" ref="E12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SRINIVASAN R</v>
      </c>
      <c r="F1281" s="26" t="str">
        <f t="array" ref="F12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1" s="26" t="str">
        <f t="array" ref="G12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1" s="26" t="str">
        <f t="array" ref="H1281">IF(
MOD(ROW()-2,6)=0,
INDEX('Form Responses'!I:I,INT((ROW()-2)/6)+2),
"-- NA --"
)</f>
        <v>-- NA --</v>
      </c>
      <c r="I1281" s="32" t="str">
        <f t="array" ref="I1281">IF(
MOD(ROW()-2,6)=0,
INDEX('Form Responses'!J:J,INT((ROW()-2)/6)+2),
"-- NA --"
)</f>
        <v>-- NA --</v>
      </c>
      <c r="J1281" s="33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</row>
    <row r="1282">
      <c r="A1282" s="26">
        <v>1281.0</v>
      </c>
      <c r="B1282" s="33"/>
      <c r="C1282" s="26" t="s">
        <v>385</v>
      </c>
      <c r="D1282" s="26" t="str">
        <f t="array" ref="D12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24AM079 </v>
      </c>
      <c r="E1282" s="32" t="str">
        <f t="array" ref="E12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ROHITH K</v>
      </c>
      <c r="F1282" s="26" t="str">
        <f t="array" ref="F12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2" s="26" t="str">
        <f t="array" ref="G12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2" s="26" t="str">
        <f t="array" ref="H1282">IF(
MOD(ROW()-2,6)=0,
INDEX('Form Responses'!I:I,INT((ROW()-2)/6)+2),
"-- NA --"
)</f>
        <v>-- NA --</v>
      </c>
      <c r="I1282" s="32" t="str">
        <f t="array" ref="I1282">IF(
MOD(ROW()-2,6)=0,
INDEX('Form Responses'!J:J,INT((ROW()-2)/6)+2),
"-- NA --"
)</f>
        <v>-- NA --</v>
      </c>
      <c r="J1282" s="33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</row>
    <row r="1283">
      <c r="A1283" s="26">
        <v>1282.0</v>
      </c>
      <c r="B1283" s="33"/>
      <c r="C1283" s="26" t="s">
        <v>425</v>
      </c>
      <c r="D1283" s="26" t="str">
        <f t="array" ref="D12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24AM098</v>
      </c>
      <c r="E1283" s="32" t="str">
        <f t="array" ref="E12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SINDHUJA SS </v>
      </c>
      <c r="F1283" s="26" t="str">
        <f t="array" ref="F12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3" s="26" t="str">
        <f t="array" ref="G12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3" s="26" t="str">
        <f t="array" ref="H1283">IF(
MOD(ROW()-2,6)=0,
INDEX('Form Responses'!I:I,INT((ROW()-2)/6)+2),
"-- NA --"
)</f>
        <v>-- NA --</v>
      </c>
      <c r="I1283" s="32" t="str">
        <f t="array" ref="I1283">IF(
MOD(ROW()-2,6)=0,
INDEX('Form Responses'!J:J,INT((ROW()-2)/6)+2),
"-- NA --"
)</f>
        <v>-- NA --</v>
      </c>
      <c r="J1283" s="33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</row>
    <row r="1284">
      <c r="A1284" s="26">
        <v>1283.0</v>
      </c>
      <c r="B1284" s="33"/>
      <c r="C1284" s="26" t="s">
        <v>464</v>
      </c>
      <c r="D1284" s="26" t="str">
        <f t="array" ref="D12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25IT037</v>
      </c>
      <c r="E1284" s="32" t="str">
        <f t="array" ref="E12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NISHANTH L</v>
      </c>
      <c r="F1284" s="26" t="str">
        <f t="array" ref="F12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84" s="26" t="str">
        <f t="array" ref="G12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84" s="26" t="str">
        <f t="array" ref="H1284">IF(
MOD(ROW()-2,6)=0,
INDEX('Form Responses'!I:I,INT((ROW()-2)/6)+2),
"-- NA --"
)</f>
        <v>-- NA --</v>
      </c>
      <c r="I1284" s="32" t="str">
        <f t="array" ref="I1284">IF(
MOD(ROW()-2,6)=0,
INDEX('Form Responses'!J:J,INT((ROW()-2)/6)+2),
"-- NA --"
)</f>
        <v>-- NA --</v>
      </c>
      <c r="J1284" s="33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</row>
    <row r="1285">
      <c r="A1285" s="26">
        <v>1284.0</v>
      </c>
      <c r="B1285" s="6"/>
      <c r="C1285" s="26" t="s">
        <v>500</v>
      </c>
      <c r="D1285" s="26" t="str">
        <f t="array" ref="D12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25IT008</v>
      </c>
      <c r="E1285" s="32" t="str">
        <f t="array" ref="E12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BAVAN NIVESH SS</v>
      </c>
      <c r="F1285" s="26" t="str">
        <f t="array" ref="F12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285" s="26" t="str">
        <f t="array" ref="G12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85" s="26" t="str">
        <f t="array" ref="H1285">IF(
MOD(ROW()-2,6)=0,
INDEX('Form Responses'!I:I,INT((ROW()-2)/6)+2),
"-- NA --"
)</f>
        <v>-- NA --</v>
      </c>
      <c r="I1285" s="32" t="str">
        <f t="array" ref="I1285">IF(
MOD(ROW()-2,6)=0,
INDEX('Form Responses'!J:J,INT((ROW()-2)/6)+2),
"-- NA --"
)</f>
        <v>-- NA --</v>
      </c>
      <c r="J1285" s="6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</row>
    <row r="1286">
      <c r="A1286" s="26">
        <v>1285.0</v>
      </c>
      <c r="B1286" s="29" t="str">
        <f t="array" ref="B1286">INDEX('Form Responses'!$C:$C,INT((ROW()-2)/6)+2)</f>
        <v>Team Zephyrus </v>
      </c>
      <c r="C1286" s="31" t="s">
        <v>140</v>
      </c>
      <c r="D1286" s="26" t="str">
        <f t="array" ref="D12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24AM057</v>
      </c>
      <c r="E1286" s="32" t="str">
        <f t="array" ref="E12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MANJUNATH S M</v>
      </c>
      <c r="F1286" s="26" t="str">
        <f t="array" ref="F12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6" s="26" t="str">
        <f t="array" ref="G12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6" s="26">
        <f t="array" ref="H1286">IF(
MOD(ROW()-2,6)=0,
INDEX('Form Responses'!I:I,INT((ROW()-2)/6)+2),
"-- NA --"
)</f>
        <v>9940961746</v>
      </c>
      <c r="I1286" s="32" t="str">
        <f t="array" ref="I1286">IF(
MOD(ROW()-2,6)=0,
INDEX('Form Responses'!J:J,INT((ROW()-2)/6)+2),
"-- NA --"
)</f>
        <v>manjunath.sm2024aiml@sece.ac.in</v>
      </c>
      <c r="J1286" s="29" t="str">
        <f t="array" ref="J1286">INDEX('Form Responses'!$D:$D,INT((ROW()-2)/6)+2)</f>
        <v>Software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</row>
    <row r="1287">
      <c r="A1287" s="26">
        <v>1286.0</v>
      </c>
      <c r="B1287" s="33"/>
      <c r="C1287" s="26" t="s">
        <v>282</v>
      </c>
      <c r="D1287" s="26" t="str">
        <f t="array" ref="D12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24AM012</v>
      </c>
      <c r="E1287" s="32" t="str">
        <f t="array" ref="E12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 SAHANA G</v>
      </c>
      <c r="F1287" s="26" t="str">
        <f t="array" ref="F12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7" s="26" t="str">
        <f t="array" ref="G12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7" s="26" t="str">
        <f t="array" ref="H1287">IF(
MOD(ROW()-2,6)=0,
INDEX('Form Responses'!I:I,INT((ROW()-2)/6)+2),
"-- NA --"
)</f>
        <v>-- NA --</v>
      </c>
      <c r="I1287" s="32" t="str">
        <f t="array" ref="I1287">IF(
MOD(ROW()-2,6)=0,
INDEX('Form Responses'!J:J,INT((ROW()-2)/6)+2),
"-- NA --"
)</f>
        <v>-- NA --</v>
      </c>
      <c r="J1287" s="33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</row>
    <row r="1288">
      <c r="A1288" s="26">
        <v>1287.0</v>
      </c>
      <c r="B1288" s="33"/>
      <c r="C1288" s="26" t="s">
        <v>385</v>
      </c>
      <c r="D1288" s="26" t="str">
        <f t="array" ref="D12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24AD178</v>
      </c>
      <c r="E1288" s="32" t="str">
        <f t="array" ref="E12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SAAIPRASATH S</v>
      </c>
      <c r="F1288" s="26" t="str">
        <f t="array" ref="F12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8" s="26" t="str">
        <f t="array" ref="G12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88" s="26" t="str">
        <f t="array" ref="H1288">IF(
MOD(ROW()-2,6)=0,
INDEX('Form Responses'!I:I,INT((ROW()-2)/6)+2),
"-- NA --"
)</f>
        <v>-- NA --</v>
      </c>
      <c r="I1288" s="32" t="str">
        <f t="array" ref="I1288">IF(
MOD(ROW()-2,6)=0,
INDEX('Form Responses'!J:J,INT((ROW()-2)/6)+2),
"-- NA --"
)</f>
        <v>-- NA --</v>
      </c>
      <c r="J1288" s="33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</row>
    <row r="1289">
      <c r="A1289" s="26">
        <v>1288.0</v>
      </c>
      <c r="B1289" s="33"/>
      <c r="C1289" s="26" t="s">
        <v>425</v>
      </c>
      <c r="D1289" s="26" t="str">
        <f t="array" ref="D12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24AM062</v>
      </c>
      <c r="E1289" s="32" t="str">
        <f t="array" ref="E12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MONHITRAJU L</v>
      </c>
      <c r="F1289" s="26" t="str">
        <f t="array" ref="F12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89" s="26" t="str">
        <f t="array" ref="G12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89" s="26" t="str">
        <f t="array" ref="H1289">IF(
MOD(ROW()-2,6)=0,
INDEX('Form Responses'!I:I,INT((ROW()-2)/6)+2),
"-- NA --"
)</f>
        <v>-- NA --</v>
      </c>
      <c r="I1289" s="32" t="str">
        <f t="array" ref="I1289">IF(
MOD(ROW()-2,6)=0,
INDEX('Form Responses'!J:J,INT((ROW()-2)/6)+2),
"-- NA --"
)</f>
        <v>-- NA --</v>
      </c>
      <c r="J1289" s="33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</row>
    <row r="1290">
      <c r="A1290" s="26">
        <v>1289.0</v>
      </c>
      <c r="B1290" s="33"/>
      <c r="C1290" s="26" t="s">
        <v>464</v>
      </c>
      <c r="D1290" s="26" t="str">
        <f t="array" ref="D12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24IT046</v>
      </c>
      <c r="E1290" s="32" t="str">
        <f t="array" ref="E12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SANTHOSH S</v>
      </c>
      <c r="F1290" s="26" t="str">
        <f t="array" ref="F12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0" s="26" t="str">
        <f t="array" ref="G12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90" s="26" t="str">
        <f t="array" ref="H1290">IF(
MOD(ROW()-2,6)=0,
INDEX('Form Responses'!I:I,INT((ROW()-2)/6)+2),
"-- NA --"
)</f>
        <v>-- NA --</v>
      </c>
      <c r="I1290" s="32" t="str">
        <f t="array" ref="I1290">IF(
MOD(ROW()-2,6)=0,
INDEX('Form Responses'!J:J,INT((ROW()-2)/6)+2),
"-- NA --"
)</f>
        <v>-- NA --</v>
      </c>
      <c r="J1290" s="33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</row>
    <row r="1291">
      <c r="A1291" s="26">
        <v>1290.0</v>
      </c>
      <c r="B1291" s="6"/>
      <c r="C1291" s="26" t="s">
        <v>500</v>
      </c>
      <c r="D1291" s="26" t="str">
        <f t="array" ref="D12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24AM039</v>
      </c>
      <c r="E1291" s="32" t="str">
        <f t="array" ref="E12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JOTHINI V</v>
      </c>
      <c r="F1291" s="26" t="str">
        <f t="array" ref="F12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1" s="26" t="str">
        <f t="array" ref="G12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291" s="26" t="str">
        <f t="array" ref="H1291">IF(
MOD(ROW()-2,6)=0,
INDEX('Form Responses'!I:I,INT((ROW()-2)/6)+2),
"-- NA --"
)</f>
        <v>-- NA --</v>
      </c>
      <c r="I1291" s="32" t="str">
        <f t="array" ref="I1291">IF(
MOD(ROW()-2,6)=0,
INDEX('Form Responses'!J:J,INT((ROW()-2)/6)+2),
"-- NA --"
)</f>
        <v>-- NA --</v>
      </c>
      <c r="J1291" s="6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</row>
    <row r="1292">
      <c r="A1292" s="26">
        <v>1291.0</v>
      </c>
      <c r="B1292" s="29" t="str">
        <f t="array" ref="B1292">INDEX('Form Responses'!$C:$C,INT((ROW()-2)/6)+2)</f>
        <v>VICHAKSHANA AI</v>
      </c>
      <c r="C1292" s="31" t="s">
        <v>140</v>
      </c>
      <c r="D1292" s="26" t="str">
        <f t="array" ref="D12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23CS084</v>
      </c>
      <c r="E1292" s="32" t="str">
        <f t="array" ref="E12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MANOBALAN M</v>
      </c>
      <c r="F1292" s="26" t="str">
        <f t="array" ref="F12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292" s="26" t="str">
        <f t="array" ref="G12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92" s="26" t="str">
        <f t="array" ref="H1292">IF(
MOD(ROW()-2,6)=0,
INDEX('Form Responses'!I:I,INT((ROW()-2)/6)+2),
"-- NA --"
)</f>
        <v>+91 85250 10809</v>
      </c>
      <c r="I1292" s="32" t="str">
        <f t="array" ref="I1292">IF(
MOD(ROW()-2,6)=0,
INDEX('Form Responses'!J:J,INT((ROW()-2)/6)+2),
"-- NA --"
)</f>
        <v>manobalan.m2023cse@sece.ac.in  </v>
      </c>
      <c r="J1292" s="29" t="str">
        <f t="array" ref="J1292">INDEX('Form Responses'!$D:$D,INT((ROW()-2)/6)+2)</f>
        <v>Hardware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</row>
    <row r="1293">
      <c r="A1293" s="26">
        <v>1292.0</v>
      </c>
      <c r="B1293" s="33"/>
      <c r="C1293" s="26" t="s">
        <v>282</v>
      </c>
      <c r="D1293" s="26" t="str">
        <f t="array" ref="D12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24IT004</v>
      </c>
      <c r="E1293" s="32" t="str">
        <f t="array" ref="E12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ABISREE T M</v>
      </c>
      <c r="F1293" s="26" t="str">
        <f t="array" ref="F12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3" s="26" t="str">
        <f t="array" ref="G12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93" s="26" t="str">
        <f t="array" ref="H1293">IF(
MOD(ROW()-2,6)=0,
INDEX('Form Responses'!I:I,INT((ROW()-2)/6)+2),
"-- NA --"
)</f>
        <v>-- NA --</v>
      </c>
      <c r="I1293" s="32" t="str">
        <f t="array" ref="I1293">IF(
MOD(ROW()-2,6)=0,
INDEX('Form Responses'!J:J,INT((ROW()-2)/6)+2),
"-- NA --"
)</f>
        <v>-- NA --</v>
      </c>
      <c r="J1293" s="33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</row>
    <row r="1294">
      <c r="A1294" s="26">
        <v>1293.0</v>
      </c>
      <c r="B1294" s="33"/>
      <c r="C1294" s="26" t="s">
        <v>385</v>
      </c>
      <c r="D1294" s="26" t="str">
        <f t="array" ref="D12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24IT008</v>
      </c>
      <c r="E1294" s="32" t="str">
        <f t="array" ref="E12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BHAVATHARINI K</v>
      </c>
      <c r="F1294" s="26" t="str">
        <f t="array" ref="F12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4" s="26" t="str">
        <f t="array" ref="G12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294" s="26" t="str">
        <f t="array" ref="H1294">IF(
MOD(ROW()-2,6)=0,
INDEX('Form Responses'!I:I,INT((ROW()-2)/6)+2),
"-- NA --"
)</f>
        <v>-- NA --</v>
      </c>
      <c r="I1294" s="32" t="str">
        <f t="array" ref="I1294">IF(
MOD(ROW()-2,6)=0,
INDEX('Form Responses'!J:J,INT((ROW()-2)/6)+2),
"-- NA --"
)</f>
        <v>-- NA --</v>
      </c>
      <c r="J1294" s="33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</row>
    <row r="1295">
      <c r="A1295" s="26">
        <v>1294.0</v>
      </c>
      <c r="B1295" s="33"/>
      <c r="C1295" s="26" t="s">
        <v>425</v>
      </c>
      <c r="D1295" s="26" t="str">
        <f t="array" ref="D12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24CS047</v>
      </c>
      <c r="E1295" s="32" t="str">
        <f t="array" ref="E12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DEVADHARSHINI S</v>
      </c>
      <c r="F1295" s="26" t="str">
        <f t="array" ref="F12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5" s="26" t="str">
        <f t="array" ref="G12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295" s="26" t="str">
        <f t="array" ref="H1295">IF(
MOD(ROW()-2,6)=0,
INDEX('Form Responses'!I:I,INT((ROW()-2)/6)+2),
"-- NA --"
)</f>
        <v>-- NA --</v>
      </c>
      <c r="I1295" s="32" t="str">
        <f t="array" ref="I1295">IF(
MOD(ROW()-2,6)=0,
INDEX('Form Responses'!J:J,INT((ROW()-2)/6)+2),
"-- NA --"
)</f>
        <v>-- NA --</v>
      </c>
      <c r="J1295" s="33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</row>
    <row r="1296">
      <c r="A1296" s="26">
        <v>1295.0</v>
      </c>
      <c r="B1296" s="33"/>
      <c r="C1296" s="26" t="s">
        <v>464</v>
      </c>
      <c r="D1296" s="26" t="str">
        <f t="array" ref="D12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24EE007</v>
      </c>
      <c r="E1296" s="32" t="str">
        <f t="array" ref="E12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ANUSHYA JS</v>
      </c>
      <c r="F1296" s="26" t="str">
        <f t="array" ref="F12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6" s="26" t="str">
        <f t="array" ref="G12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96" s="26" t="str">
        <f t="array" ref="H1296">IF(
MOD(ROW()-2,6)=0,
INDEX('Form Responses'!I:I,INT((ROW()-2)/6)+2),
"-- NA --"
)</f>
        <v>-- NA --</v>
      </c>
      <c r="I1296" s="32" t="str">
        <f t="array" ref="I1296">IF(
MOD(ROW()-2,6)=0,
INDEX('Form Responses'!J:J,INT((ROW()-2)/6)+2),
"-- NA --"
)</f>
        <v>-- NA --</v>
      </c>
      <c r="J1296" s="33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</row>
    <row r="1297">
      <c r="A1297" s="26">
        <v>1296.0</v>
      </c>
      <c r="B1297" s="6"/>
      <c r="C1297" s="26" t="s">
        <v>500</v>
      </c>
      <c r="D1297" s="26" t="str">
        <f t="array" ref="D12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24EE063</v>
      </c>
      <c r="E1297" s="32" t="str">
        <f t="array" ref="E12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VINISHA J</v>
      </c>
      <c r="F1297" s="26" t="str">
        <f t="array" ref="F12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7" s="26" t="str">
        <f t="array" ref="G12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297" s="26" t="str">
        <f t="array" ref="H1297">IF(
MOD(ROW()-2,6)=0,
INDEX('Form Responses'!I:I,INT((ROW()-2)/6)+2),
"-- NA --"
)</f>
        <v>-- NA --</v>
      </c>
      <c r="I1297" s="32" t="str">
        <f t="array" ref="I1297">IF(
MOD(ROW()-2,6)=0,
INDEX('Form Responses'!J:J,INT((ROW()-2)/6)+2),
"-- NA --"
)</f>
        <v>-- NA --</v>
      </c>
      <c r="J1297" s="6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</row>
    <row r="1298">
      <c r="A1298" s="26">
        <v>1297.0</v>
      </c>
      <c r="B1298" s="29" t="str">
        <f t="array" ref="B1298">INDEX('Form Responses'!$C:$C,INT((ROW()-2)/6)+2)</f>
        <v>TEAM ELITE FUSION</v>
      </c>
      <c r="C1298" s="31" t="s">
        <v>140</v>
      </c>
      <c r="D1298" s="26" t="str">
        <f t="array" ref="D12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24AD301</v>
      </c>
      <c r="E1298" s="32" t="str">
        <f t="array" ref="E12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ABISHEK K S</v>
      </c>
      <c r="F1298" s="26" t="str">
        <f t="array" ref="F12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8" s="26" t="str">
        <f t="array" ref="G12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98" s="26">
        <f t="array" ref="H1298">IF(
MOD(ROW()-2,6)=0,
INDEX('Form Responses'!I:I,INT((ROW()-2)/6)+2),
"-- NA --"
)</f>
        <v>7418563309</v>
      </c>
      <c r="I1298" s="32" t="str">
        <f t="array" ref="I1298">IF(
MOD(ROW()-2,6)=0,
INDEX('Form Responses'!J:J,INT((ROW()-2)/6)+2),
"-- NA --"
)</f>
        <v>abishek.ks2024laids@sece.ac.in</v>
      </c>
      <c r="J1298" s="29" t="str">
        <f t="array" ref="J1298">INDEX('Form Responses'!$D:$D,INT((ROW()-2)/6)+2)</f>
        <v>Software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</row>
    <row r="1299">
      <c r="A1299" s="26">
        <v>1298.0</v>
      </c>
      <c r="B1299" s="33"/>
      <c r="C1299" s="26" t="s">
        <v>282</v>
      </c>
      <c r="D1299" s="26" t="str">
        <f t="array" ref="D12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24AD041</v>
      </c>
      <c r="E1299" s="32" t="str">
        <f t="array" ref="E12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DHARANEESH J </v>
      </c>
      <c r="F1299" s="26" t="str">
        <f t="array" ref="F12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299" s="26" t="str">
        <f t="array" ref="G12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299" s="26" t="str">
        <f t="array" ref="H1299">IF(
MOD(ROW()-2,6)=0,
INDEX('Form Responses'!I:I,INT((ROW()-2)/6)+2),
"-- NA --"
)</f>
        <v>-- NA --</v>
      </c>
      <c r="I1299" s="32" t="str">
        <f t="array" ref="I1299">IF(
MOD(ROW()-2,6)=0,
INDEX('Form Responses'!J:J,INT((ROW()-2)/6)+2),
"-- NA --"
)</f>
        <v>-- NA --</v>
      </c>
      <c r="J1299" s="33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</row>
    <row r="1300">
      <c r="A1300" s="26">
        <v>1299.0</v>
      </c>
      <c r="B1300" s="33"/>
      <c r="C1300" s="26" t="s">
        <v>385</v>
      </c>
      <c r="D1300" s="26" t="str">
        <f t="array" ref="D13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24AD002</v>
      </c>
      <c r="E1300" s="32" t="str">
        <f t="array" ref="E13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ABDUL HAKKIM T</v>
      </c>
      <c r="F1300" s="26" t="str">
        <f t="array" ref="F13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00" s="26" t="str">
        <f t="array" ref="G13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00" s="26" t="str">
        <f t="array" ref="H1300">IF(
MOD(ROW()-2,6)=0,
INDEX('Form Responses'!I:I,INT((ROW()-2)/6)+2),
"-- NA --"
)</f>
        <v>-- NA --</v>
      </c>
      <c r="I1300" s="32" t="str">
        <f t="array" ref="I1300">IF(
MOD(ROW()-2,6)=0,
INDEX('Form Responses'!J:J,INT((ROW()-2)/6)+2),
"-- NA --"
)</f>
        <v>-- NA --</v>
      </c>
      <c r="J1300" s="33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</row>
    <row r="1301">
      <c r="A1301" s="26">
        <v>1300.0</v>
      </c>
      <c r="B1301" s="33"/>
      <c r="C1301" s="26" t="s">
        <v>425</v>
      </c>
      <c r="D1301" s="26" t="str">
        <f t="array" ref="D13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24ME303</v>
      </c>
      <c r="E1301" s="32" t="str">
        <f t="array" ref="E13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NITHESH M</v>
      </c>
      <c r="F1301" s="26" t="str">
        <f t="array" ref="F13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01" s="26" t="str">
        <f t="array" ref="G13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301" s="26" t="str">
        <f t="array" ref="H1301">IF(
MOD(ROW()-2,6)=0,
INDEX('Form Responses'!I:I,INT((ROW()-2)/6)+2),
"-- NA --"
)</f>
        <v>-- NA --</v>
      </c>
      <c r="I1301" s="32" t="str">
        <f t="array" ref="I1301">IF(
MOD(ROW()-2,6)=0,
INDEX('Form Responses'!J:J,INT((ROW()-2)/6)+2),
"-- NA --"
)</f>
        <v>-- NA --</v>
      </c>
      <c r="J1301" s="33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</row>
    <row r="1302">
      <c r="A1302" s="26">
        <v>1301.0</v>
      </c>
      <c r="B1302" s="33"/>
      <c r="C1302" s="26" t="s">
        <v>464</v>
      </c>
      <c r="D1302" s="26" t="str">
        <f t="array" ref="D13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24CS067</v>
      </c>
      <c r="E1302" s="32" t="str">
        <f t="array" ref="E13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GOPIKA S</v>
      </c>
      <c r="F1302" s="26" t="str">
        <f t="array" ref="F13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02" s="26" t="str">
        <f t="array" ref="G13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02" s="26" t="str">
        <f t="array" ref="H1302">IF(
MOD(ROW()-2,6)=0,
INDEX('Form Responses'!I:I,INT((ROW()-2)/6)+2),
"-- NA --"
)</f>
        <v>-- NA --</v>
      </c>
      <c r="I1302" s="32" t="str">
        <f t="array" ref="I1302">IF(
MOD(ROW()-2,6)=0,
INDEX('Form Responses'!J:J,INT((ROW()-2)/6)+2),
"-- NA --"
)</f>
        <v>-- NA --</v>
      </c>
      <c r="J1302" s="33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</row>
    <row r="1303">
      <c r="A1303" s="26">
        <v>1302.0</v>
      </c>
      <c r="B1303" s="6"/>
      <c r="C1303" s="26" t="s">
        <v>500</v>
      </c>
      <c r="D1303" s="26" t="str">
        <f t="array" ref="D13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24IT053</v>
      </c>
      <c r="E1303" s="32" t="str">
        <f t="array" ref="E13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SHRINIDHI K M</v>
      </c>
      <c r="F1303" s="26" t="str">
        <f t="array" ref="F13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03" s="26" t="str">
        <f t="array" ref="G13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03" s="26" t="str">
        <f t="array" ref="H1303">IF(
MOD(ROW()-2,6)=0,
INDEX('Form Responses'!I:I,INT((ROW()-2)/6)+2),
"-- NA --"
)</f>
        <v>-- NA --</v>
      </c>
      <c r="I1303" s="32" t="str">
        <f t="array" ref="I1303">IF(
MOD(ROW()-2,6)=0,
INDEX('Form Responses'!J:J,INT((ROW()-2)/6)+2),
"-- NA --"
)</f>
        <v>-- NA --</v>
      </c>
      <c r="J1303" s="6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</row>
    <row r="1304">
      <c r="A1304" s="26">
        <v>1303.0</v>
      </c>
      <c r="B1304" s="29" t="str">
        <f t="array" ref="B1304">INDEX('Form Responses'!$C:$C,INT((ROW()-2)/6)+2)</f>
        <v>TEAM DAKAITS</v>
      </c>
      <c r="C1304" s="31" t="s">
        <v>140</v>
      </c>
      <c r="D1304" s="26" t="str">
        <f t="array" ref="D13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25AM118</v>
      </c>
      <c r="E1304" s="32" t="str">
        <f t="array" ref="E13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VINAY VIGHNESH S</v>
      </c>
      <c r="F1304" s="26" t="str">
        <f t="array" ref="F13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4" s="26" t="str">
        <f t="array" ref="G13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04" s="26">
        <f t="array" ref="H1304">IF(
MOD(ROW()-2,6)=0,
INDEX('Form Responses'!I:I,INT((ROW()-2)/6)+2),
"-- NA --"
)</f>
        <v>9345715374</v>
      </c>
      <c r="I1304" s="32" t="str">
        <f t="array" ref="I1304">IF(
MOD(ROW()-2,6)=0,
INDEX('Form Responses'!J:J,INT((ROW()-2)/6)+2),
"-- NA --"
)</f>
        <v>vinagvignesh.s2025aiml@sece.ac.in</v>
      </c>
      <c r="J1304" s="29" t="str">
        <f t="array" ref="J1304">INDEX('Form Responses'!$D:$D,INT((ROW()-2)/6)+2)</f>
        <v>Hardware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</row>
    <row r="1305">
      <c r="A1305" s="26">
        <v>1304.0</v>
      </c>
      <c r="B1305" s="33"/>
      <c r="C1305" s="26" t="s">
        <v>282</v>
      </c>
      <c r="D1305" s="26" t="str">
        <f t="array" ref="D13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25AM069</v>
      </c>
      <c r="E1305" s="32" t="str">
        <f t="array" ref="E13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NILAVARASAN G</v>
      </c>
      <c r="F1305" s="26" t="str">
        <f t="array" ref="F13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5" s="26" t="str">
        <f t="array" ref="G13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05" s="26" t="str">
        <f t="array" ref="H1305">IF(
MOD(ROW()-2,6)=0,
INDEX('Form Responses'!I:I,INT((ROW()-2)/6)+2),
"-- NA --"
)</f>
        <v>-- NA --</v>
      </c>
      <c r="I1305" s="32" t="str">
        <f t="array" ref="I1305">IF(
MOD(ROW()-2,6)=0,
INDEX('Form Responses'!J:J,INT((ROW()-2)/6)+2),
"-- NA --"
)</f>
        <v>-- NA --</v>
      </c>
      <c r="J1305" s="33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</row>
    <row r="1306">
      <c r="A1306" s="26">
        <v>1305.0</v>
      </c>
      <c r="B1306" s="33"/>
      <c r="C1306" s="26" t="s">
        <v>385</v>
      </c>
      <c r="D1306" s="26" t="str">
        <f t="array" ref="D13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25AM124</v>
      </c>
      <c r="E1306" s="32" t="str">
        <f t="array" ref="E13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YUGESH KUMAR S A </v>
      </c>
      <c r="F1306" s="26" t="str">
        <f t="array" ref="F13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6" s="26" t="str">
        <f t="array" ref="G13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06" s="26" t="str">
        <f t="array" ref="H1306">IF(
MOD(ROW()-2,6)=0,
INDEX('Form Responses'!I:I,INT((ROW()-2)/6)+2),
"-- NA --"
)</f>
        <v>-- NA --</v>
      </c>
      <c r="I1306" s="32" t="str">
        <f t="array" ref="I1306">IF(
MOD(ROW()-2,6)=0,
INDEX('Form Responses'!J:J,INT((ROW()-2)/6)+2),
"-- NA --"
)</f>
        <v>-- NA --</v>
      </c>
      <c r="J1306" s="33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</row>
    <row r="1307">
      <c r="A1307" s="26">
        <v>1306.0</v>
      </c>
      <c r="B1307" s="33"/>
      <c r="C1307" s="26" t="s">
        <v>425</v>
      </c>
      <c r="D1307" s="26" t="str">
        <f t="array" ref="D13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25AM068</v>
      </c>
      <c r="E1307" s="32" t="str">
        <f t="array" ref="E13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NICKSAN RAJ N U</v>
      </c>
      <c r="F1307" s="26" t="str">
        <f t="array" ref="F13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7" s="26" t="str">
        <f t="array" ref="G13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07" s="26" t="str">
        <f t="array" ref="H1307">IF(
MOD(ROW()-2,6)=0,
INDEX('Form Responses'!I:I,INT((ROW()-2)/6)+2),
"-- NA --"
)</f>
        <v>-- NA --</v>
      </c>
      <c r="I1307" s="32" t="str">
        <f t="array" ref="I1307">IF(
MOD(ROW()-2,6)=0,
INDEX('Form Responses'!J:J,INT((ROW()-2)/6)+2),
"-- NA --"
)</f>
        <v>-- NA --</v>
      </c>
      <c r="J1307" s="33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</row>
    <row r="1308">
      <c r="A1308" s="26">
        <v>1307.0</v>
      </c>
      <c r="B1308" s="33"/>
      <c r="C1308" s="26" t="s">
        <v>464</v>
      </c>
      <c r="D1308" s="26" t="str">
        <f t="array" ref="D13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25CB022</v>
      </c>
      <c r="E1308" s="32" t="str">
        <f t="array" ref="E13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Kanika S</v>
      </c>
      <c r="F1308" s="26" t="str">
        <f t="array" ref="F13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8" s="26" t="str">
        <f t="array" ref="G13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308" s="26" t="str">
        <f t="array" ref="H1308">IF(
MOD(ROW()-2,6)=0,
INDEX('Form Responses'!I:I,INT((ROW()-2)/6)+2),
"-- NA --"
)</f>
        <v>-- NA --</v>
      </c>
      <c r="I1308" s="32" t="str">
        <f t="array" ref="I1308">IF(
MOD(ROW()-2,6)=0,
INDEX('Form Responses'!J:J,INT((ROW()-2)/6)+2),
"-- NA --"
)</f>
        <v>-- NA --</v>
      </c>
      <c r="J1308" s="33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</row>
    <row r="1309">
      <c r="A1309" s="26">
        <v>1308.0</v>
      </c>
      <c r="B1309" s="6"/>
      <c r="C1309" s="26" t="s">
        <v>500</v>
      </c>
      <c r="D1309" s="26" t="str">
        <f t="array" ref="D13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25CC035</v>
      </c>
      <c r="E1309" s="32" t="str">
        <f t="array" ref="E13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Nikita sri M</v>
      </c>
      <c r="F1309" s="26" t="str">
        <f t="array" ref="F13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09" s="26" t="str">
        <f t="array" ref="G13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309" s="26" t="str">
        <f t="array" ref="H1309">IF(
MOD(ROW()-2,6)=0,
INDEX('Form Responses'!I:I,INT((ROW()-2)/6)+2),
"-- NA --"
)</f>
        <v>-- NA --</v>
      </c>
      <c r="I1309" s="32" t="str">
        <f t="array" ref="I1309">IF(
MOD(ROW()-2,6)=0,
INDEX('Form Responses'!J:J,INT((ROW()-2)/6)+2),
"-- NA --"
)</f>
        <v>-- NA --</v>
      </c>
      <c r="J1309" s="6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</row>
    <row r="1310">
      <c r="A1310" s="26">
        <v>1309.0</v>
      </c>
      <c r="B1310" s="29" t="str">
        <f t="array" ref="B1310">INDEX('Form Responses'!$C:$C,INT((ROW()-2)/6)+2)</f>
        <v>Neural Havens</v>
      </c>
      <c r="C1310" s="31" t="s">
        <v>140</v>
      </c>
      <c r="D1310" s="26" t="str">
        <f t="array" ref="D13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24AM054</v>
      </c>
      <c r="E1310" s="32" t="str">
        <f t="array" ref="E13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Lina G </v>
      </c>
      <c r="F1310" s="26" t="str">
        <f t="array" ref="F13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0" s="26" t="str">
        <f t="array" ref="G13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10" s="26">
        <f t="array" ref="H1310">IF(
MOD(ROW()-2,6)=0,
INDEX('Form Responses'!I:I,INT((ROW()-2)/6)+2),
"-- NA --"
)</f>
        <v>9994488085</v>
      </c>
      <c r="I1310" s="32" t="str">
        <f t="array" ref="I1310">IF(
MOD(ROW()-2,6)=0,
INDEX('Form Responses'!J:J,INT((ROW()-2)/6)+2),
"-- NA --"
)</f>
        <v>lina.g2024aiml@sece.ac.in</v>
      </c>
      <c r="J1310" s="29" t="str">
        <f t="array" ref="J1310">INDEX('Form Responses'!$D:$D,INT((ROW()-2)/6)+2)</f>
        <v>Software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</row>
    <row r="1311">
      <c r="A1311" s="26">
        <v>1310.0</v>
      </c>
      <c r="B1311" s="33"/>
      <c r="C1311" s="26" t="s">
        <v>282</v>
      </c>
      <c r="D1311" s="26" t="str">
        <f t="array" ref="D13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24AM042</v>
      </c>
      <c r="E1311" s="32" t="str">
        <f t="array" ref="E13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Kanimozhi R</v>
      </c>
      <c r="F1311" s="26" t="str">
        <f t="array" ref="F13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1" s="26" t="str">
        <f t="array" ref="G13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11" s="26" t="str">
        <f t="array" ref="H1311">IF(
MOD(ROW()-2,6)=0,
INDEX('Form Responses'!I:I,INT((ROW()-2)/6)+2),
"-- NA --"
)</f>
        <v>-- NA --</v>
      </c>
      <c r="I1311" s="32" t="str">
        <f t="array" ref="I1311">IF(
MOD(ROW()-2,6)=0,
INDEX('Form Responses'!J:J,INT((ROW()-2)/6)+2),
"-- NA --"
)</f>
        <v>-- NA --</v>
      </c>
      <c r="J1311" s="33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</row>
    <row r="1312">
      <c r="A1312" s="26">
        <v>1311.0</v>
      </c>
      <c r="B1312" s="33"/>
      <c r="C1312" s="26" t="s">
        <v>385</v>
      </c>
      <c r="D1312" s="26" t="str">
        <f t="array" ref="D13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24AM015</v>
      </c>
      <c r="E1312" s="32" t="str">
        <f t="array" ref="E13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D</v>
      </c>
      <c r="F1312" s="26" t="str">
        <f t="array" ref="F13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2" s="26" t="str">
        <f t="array" ref="G13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12" s="26" t="str">
        <f t="array" ref="H1312">IF(
MOD(ROW()-2,6)=0,
INDEX('Form Responses'!I:I,INT((ROW()-2)/6)+2),
"-- NA --"
)</f>
        <v>-- NA --</v>
      </c>
      <c r="I1312" s="32" t="str">
        <f t="array" ref="I1312">IF(
MOD(ROW()-2,6)=0,
INDEX('Form Responses'!J:J,INT((ROW()-2)/6)+2),
"-- NA --"
)</f>
        <v>-- NA --</v>
      </c>
      <c r="J1312" s="33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</row>
    <row r="1313">
      <c r="A1313" s="26">
        <v>1312.0</v>
      </c>
      <c r="B1313" s="33"/>
      <c r="C1313" s="26" t="s">
        <v>425</v>
      </c>
      <c r="D1313" s="26" t="str">
        <f t="array" ref="D13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24AM037</v>
      </c>
      <c r="E1313" s="32" t="str">
        <f t="array" ref="E13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Janavi Mirundha S A</v>
      </c>
      <c r="F1313" s="26" t="str">
        <f t="array" ref="F13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3" s="26" t="str">
        <f t="array" ref="G13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13" s="26" t="str">
        <f t="array" ref="H1313">IF(
MOD(ROW()-2,6)=0,
INDEX('Form Responses'!I:I,INT((ROW()-2)/6)+2),
"-- NA --"
)</f>
        <v>-- NA --</v>
      </c>
      <c r="I1313" s="32" t="str">
        <f t="array" ref="I1313">IF(
MOD(ROW()-2,6)=0,
INDEX('Form Responses'!J:J,INT((ROW()-2)/6)+2),
"-- NA --"
)</f>
        <v>-- NA --</v>
      </c>
      <c r="J1313" s="33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</row>
    <row r="1314">
      <c r="A1314" s="26">
        <v>1313.0</v>
      </c>
      <c r="B1314" s="33"/>
      <c r="C1314" s="26" t="s">
        <v>464</v>
      </c>
      <c r="D1314" s="26" t="str">
        <f t="array" ref="D13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24EC056</v>
      </c>
      <c r="E1314" s="32" t="str">
        <f t="array" ref="E13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Hemavarshini G S</v>
      </c>
      <c r="F1314" s="26" t="str">
        <f t="array" ref="F13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4" s="26" t="str">
        <f t="array" ref="G13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14" s="26" t="str">
        <f t="array" ref="H1314">IF(
MOD(ROW()-2,6)=0,
INDEX('Form Responses'!I:I,INT((ROW()-2)/6)+2),
"-- NA --"
)</f>
        <v>-- NA --</v>
      </c>
      <c r="I1314" s="32" t="str">
        <f t="array" ref="I1314">IF(
MOD(ROW()-2,6)=0,
INDEX('Form Responses'!J:J,INT((ROW()-2)/6)+2),
"-- NA --"
)</f>
        <v>-- NA --</v>
      </c>
      <c r="J1314" s="33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</row>
    <row r="1315">
      <c r="A1315" s="26">
        <v>1314.0</v>
      </c>
      <c r="B1315" s="6"/>
      <c r="C1315" s="26" t="s">
        <v>500</v>
      </c>
      <c r="D1315" s="26" t="str">
        <f t="array" ref="D13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24EC054</v>
      </c>
      <c r="E1315" s="32" t="str">
        <f t="array" ref="E13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Hariprasath P</v>
      </c>
      <c r="F1315" s="26" t="str">
        <f t="array" ref="F13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15" s="26" t="str">
        <f t="array" ref="G13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15" s="26" t="str">
        <f t="array" ref="H1315">IF(
MOD(ROW()-2,6)=0,
INDEX('Form Responses'!I:I,INT((ROW()-2)/6)+2),
"-- NA --"
)</f>
        <v>-- NA --</v>
      </c>
      <c r="I1315" s="32" t="str">
        <f t="array" ref="I1315">IF(
MOD(ROW()-2,6)=0,
INDEX('Form Responses'!J:J,INT((ROW()-2)/6)+2),
"-- NA --"
)</f>
        <v>-- NA --</v>
      </c>
      <c r="J1315" s="6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</row>
    <row r="1316">
      <c r="A1316" s="26">
        <v>1315.0</v>
      </c>
      <c r="B1316" s="29" t="str">
        <f t="array" ref="B1316">INDEX('Form Responses'!$C:$C,INT((ROW()-2)/6)+2)</f>
        <v>LOG</v>
      </c>
      <c r="C1316" s="31" t="s">
        <v>140</v>
      </c>
      <c r="D1316" s="26" t="str">
        <f t="array" ref="D13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25SY040</v>
      </c>
      <c r="E1316" s="32" t="str">
        <f t="array" ref="E13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MOWLISHWAR T</v>
      </c>
      <c r="F1316" s="26" t="str">
        <f t="array" ref="F13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16" s="26" t="str">
        <f t="array" ref="G13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16" s="26">
        <f t="array" ref="H1316">IF(
MOD(ROW()-2,6)=0,
INDEX('Form Responses'!I:I,INT((ROW()-2)/6)+2),
"-- NA --"
)</f>
        <v>6369985285</v>
      </c>
      <c r="I1316" s="32" t="str">
        <f t="array" ref="I1316">IF(
MOD(ROW()-2,6)=0,
INDEX('Form Responses'!J:J,INT((ROW()-2)/6)+2),
"-- NA --"
)</f>
        <v>mowlishwar.t2025cys@sece.ac.in</v>
      </c>
      <c r="J1316" s="29" t="str">
        <f t="array" ref="J1316">INDEX('Form Responses'!$D:$D,INT((ROW()-2)/6)+2)</f>
        <v>Software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</row>
    <row r="1317">
      <c r="A1317" s="26">
        <v>1316.0</v>
      </c>
      <c r="B1317" s="33"/>
      <c r="C1317" s="26" t="s">
        <v>282</v>
      </c>
      <c r="D1317" s="26" t="str">
        <f t="array" ref="D13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25SY039</v>
      </c>
      <c r="E1317" s="32" t="str">
        <f t="array" ref="E13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MOHAMMED ISHAQ A</v>
      </c>
      <c r="F1317" s="26" t="str">
        <f t="array" ref="F13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17" s="26" t="str">
        <f t="array" ref="G13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17" s="26" t="str">
        <f t="array" ref="H1317">IF(
MOD(ROW()-2,6)=0,
INDEX('Form Responses'!I:I,INT((ROW()-2)/6)+2),
"-- NA --"
)</f>
        <v>-- NA --</v>
      </c>
      <c r="I1317" s="32" t="str">
        <f t="array" ref="I1317">IF(
MOD(ROW()-2,6)=0,
INDEX('Form Responses'!J:J,INT((ROW()-2)/6)+2),
"-- NA --"
)</f>
        <v>-- NA --</v>
      </c>
      <c r="J1317" s="33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</row>
    <row r="1318">
      <c r="A1318" s="26">
        <v>1317.0</v>
      </c>
      <c r="B1318" s="33"/>
      <c r="C1318" s="26" t="s">
        <v>385</v>
      </c>
      <c r="D1318" s="26" t="str">
        <f t="array" ref="D13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25SY063</v>
      </c>
      <c r="E1318" s="32" t="str">
        <f t="array" ref="E13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YASWANTH PS</v>
      </c>
      <c r="F1318" s="26" t="str">
        <f t="array" ref="F13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18" s="26" t="str">
        <f t="array" ref="G13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18" s="26" t="str">
        <f t="array" ref="H1318">IF(
MOD(ROW()-2,6)=0,
INDEX('Form Responses'!I:I,INT((ROW()-2)/6)+2),
"-- NA --"
)</f>
        <v>-- NA --</v>
      </c>
      <c r="I1318" s="32" t="str">
        <f t="array" ref="I1318">IF(
MOD(ROW()-2,6)=0,
INDEX('Form Responses'!J:J,INT((ROW()-2)/6)+2),
"-- NA --"
)</f>
        <v>-- NA --</v>
      </c>
      <c r="J1318" s="33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</row>
    <row r="1319">
      <c r="A1319" s="26">
        <v>1318.0</v>
      </c>
      <c r="B1319" s="33"/>
      <c r="C1319" s="26" t="s">
        <v>425</v>
      </c>
      <c r="D1319" s="26" t="str">
        <f t="array" ref="D13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25EC156</v>
      </c>
      <c r="E1319" s="32" t="str">
        <f t="array" ref="E13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SOWBARANI S</v>
      </c>
      <c r="F1319" s="26" t="str">
        <f t="array" ref="F13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19" s="26" t="str">
        <f t="array" ref="G13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19" s="26" t="str">
        <f t="array" ref="H1319">IF(
MOD(ROW()-2,6)=0,
INDEX('Form Responses'!I:I,INT((ROW()-2)/6)+2),
"-- NA --"
)</f>
        <v>-- NA --</v>
      </c>
      <c r="I1319" s="32" t="str">
        <f t="array" ref="I1319">IF(
MOD(ROW()-2,6)=0,
INDEX('Form Responses'!J:J,INT((ROW()-2)/6)+2),
"-- NA --"
)</f>
        <v>-- NA --</v>
      </c>
      <c r="J1319" s="33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</row>
    <row r="1320">
      <c r="A1320" s="26">
        <v>1319.0</v>
      </c>
      <c r="B1320" s="33"/>
      <c r="C1320" s="26" t="s">
        <v>464</v>
      </c>
      <c r="D1320" s="26" t="str">
        <f t="array" ref="D13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25EC135</v>
      </c>
      <c r="E1320" s="32" t="str">
        <f t="array" ref="E13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RAKSHANA SA</v>
      </c>
      <c r="F1320" s="26" t="str">
        <f t="array" ref="F13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20" s="26" t="str">
        <f t="array" ref="G13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20" s="26" t="str">
        <f t="array" ref="H1320">IF(
MOD(ROW()-2,6)=0,
INDEX('Form Responses'!I:I,INT((ROW()-2)/6)+2),
"-- NA --"
)</f>
        <v>-- NA --</v>
      </c>
      <c r="I1320" s="32" t="str">
        <f t="array" ref="I1320">IF(
MOD(ROW()-2,6)=0,
INDEX('Form Responses'!J:J,INT((ROW()-2)/6)+2),
"-- NA --"
)</f>
        <v>-- NA --</v>
      </c>
      <c r="J1320" s="33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</row>
    <row r="1321">
      <c r="A1321" s="26">
        <v>1320.0</v>
      </c>
      <c r="B1321" s="6"/>
      <c r="C1321" s="26" t="s">
        <v>500</v>
      </c>
      <c r="D1321" s="26" t="str">
        <f t="array" ref="D13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25EE055</v>
      </c>
      <c r="E1321" s="32" t="str">
        <f t="array" ref="E13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THANUSHA M</v>
      </c>
      <c r="F1321" s="26" t="str">
        <f t="array" ref="F13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21" s="26" t="str">
        <f t="array" ref="G13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21" s="26" t="str">
        <f t="array" ref="H1321">IF(
MOD(ROW()-2,6)=0,
INDEX('Form Responses'!I:I,INT((ROW()-2)/6)+2),
"-- NA --"
)</f>
        <v>-- NA --</v>
      </c>
      <c r="I1321" s="32" t="str">
        <f t="array" ref="I1321">IF(
MOD(ROW()-2,6)=0,
INDEX('Form Responses'!J:J,INT((ROW()-2)/6)+2),
"-- NA --"
)</f>
        <v>-- NA --</v>
      </c>
      <c r="J1321" s="6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</row>
    <row r="1322">
      <c r="A1322" s="26">
        <v>1321.0</v>
      </c>
      <c r="B1322" s="29" t="str">
        <f t="array" ref="B1322">INDEX('Form Responses'!$C:$C,INT((ROW()-2)/6)+2)</f>
        <v>CODE BROSKIES</v>
      </c>
      <c r="C1322" s="31" t="s">
        <v>140</v>
      </c>
      <c r="D1322" s="26" t="str">
        <f t="array" ref="D13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24AD014</v>
      </c>
      <c r="E1322" s="32" t="str">
        <f t="array" ref="E13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AKSHAY BHARATHI </v>
      </c>
      <c r="F1322" s="26" t="str">
        <f t="array" ref="F13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2" s="26" t="str">
        <f t="array" ref="G13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22" s="26" t="str">
        <f t="array" ref="H1322">IF(
MOD(ROW()-2,6)=0,
INDEX('Form Responses'!I:I,INT((ROW()-2)/6)+2),
"-- NA --"
)</f>
        <v>95009 63227</v>
      </c>
      <c r="I1322" s="32" t="str">
        <f t="array" ref="I1322">IF(
MOD(ROW()-2,6)=0,
INDEX('Form Responses'!J:J,INT((ROW()-2)/6)+2),
"-- NA --"
)</f>
        <v>akshaybharathi.rs2024aids@sece.ac.in</v>
      </c>
      <c r="J1322" s="29" t="str">
        <f t="array" ref="J1322">INDEX('Form Responses'!$D:$D,INT((ROW()-2)/6)+2)</f>
        <v>Hardware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</row>
    <row r="1323">
      <c r="A1323" s="26">
        <v>1322.0</v>
      </c>
      <c r="B1323" s="33"/>
      <c r="C1323" s="26" t="s">
        <v>282</v>
      </c>
      <c r="D1323" s="26" t="str">
        <f t="array" ref="D13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24AD049</v>
      </c>
      <c r="E1323" s="32" t="str">
        <f t="array" ref="E13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DINESHKUMAR S</v>
      </c>
      <c r="F1323" s="26" t="str">
        <f t="array" ref="F13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3" s="26" t="str">
        <f t="array" ref="G13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23" s="26" t="str">
        <f t="array" ref="H1323">IF(
MOD(ROW()-2,6)=0,
INDEX('Form Responses'!I:I,INT((ROW()-2)/6)+2),
"-- NA --"
)</f>
        <v>-- NA --</v>
      </c>
      <c r="I1323" s="32" t="str">
        <f t="array" ref="I1323">IF(
MOD(ROW()-2,6)=0,
INDEX('Form Responses'!J:J,INT((ROW()-2)/6)+2),
"-- NA --"
)</f>
        <v>-- NA --</v>
      </c>
      <c r="J1323" s="33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</row>
    <row r="1324">
      <c r="A1324" s="26">
        <v>1323.0</v>
      </c>
      <c r="B1324" s="33"/>
      <c r="C1324" s="26" t="s">
        <v>385</v>
      </c>
      <c r="D1324" s="26" t="str">
        <f t="array" ref="D13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24AD062</v>
      </c>
      <c r="E1324" s="32" t="str">
        <f t="array" ref="E13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 ARAVINTHAN S</v>
      </c>
      <c r="F1324" s="26" t="str">
        <f t="array" ref="F13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4" s="26" t="str">
        <f t="array" ref="G13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24" s="26" t="str">
        <f t="array" ref="H1324">IF(
MOD(ROW()-2,6)=0,
INDEX('Form Responses'!I:I,INT((ROW()-2)/6)+2),
"-- NA --"
)</f>
        <v>-- NA --</v>
      </c>
      <c r="I1324" s="32" t="str">
        <f t="array" ref="I1324">IF(
MOD(ROW()-2,6)=0,
INDEX('Form Responses'!J:J,INT((ROW()-2)/6)+2),
"-- NA --"
)</f>
        <v>-- NA --</v>
      </c>
      <c r="J1324" s="33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</row>
    <row r="1325">
      <c r="A1325" s="26">
        <v>1324.0</v>
      </c>
      <c r="B1325" s="33"/>
      <c r="C1325" s="26" t="s">
        <v>425</v>
      </c>
      <c r="D1325" s="26" t="str">
        <f t="array" ref="D13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24CS069</v>
      </c>
      <c r="E1325" s="32" t="str">
        <f t="array" ref="E13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GUGAN M R</v>
      </c>
      <c r="F1325" s="26" t="str">
        <f t="array" ref="F13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5" s="26" t="str">
        <f t="array" ref="G13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25" s="26" t="str">
        <f t="array" ref="H1325">IF(
MOD(ROW()-2,6)=0,
INDEX('Form Responses'!I:I,INT((ROW()-2)/6)+2),
"-- NA --"
)</f>
        <v>-- NA --</v>
      </c>
      <c r="I1325" s="32" t="str">
        <f t="array" ref="I1325">IF(
MOD(ROW()-2,6)=0,
INDEX('Form Responses'!J:J,INT((ROW()-2)/6)+2),
"-- NA --"
)</f>
        <v>-- NA --</v>
      </c>
      <c r="J1325" s="33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>
      <c r="A1326" s="26">
        <v>1325.0</v>
      </c>
      <c r="B1326" s="33"/>
      <c r="C1326" s="26" t="s">
        <v>464</v>
      </c>
      <c r="D1326" s="26" t="str">
        <f t="array" ref="D13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24EE012</v>
      </c>
      <c r="E1326" s="32" t="str">
        <f t="array" ref="E13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GOBIKA R</v>
      </c>
      <c r="F1326" s="26" t="str">
        <f t="array" ref="F13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6" s="26" t="str">
        <f t="array" ref="G13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26" s="26" t="str">
        <f t="array" ref="H1326">IF(
MOD(ROW()-2,6)=0,
INDEX('Form Responses'!I:I,INT((ROW()-2)/6)+2),
"-- NA --"
)</f>
        <v>-- NA --</v>
      </c>
      <c r="I1326" s="32" t="str">
        <f t="array" ref="I1326">IF(
MOD(ROW()-2,6)=0,
INDEX('Form Responses'!J:J,INT((ROW()-2)/6)+2),
"-- NA --"
)</f>
        <v>-- NA --</v>
      </c>
      <c r="J1326" s="33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</row>
    <row r="1327">
      <c r="A1327" s="26">
        <v>1326.0</v>
      </c>
      <c r="B1327" s="6"/>
      <c r="C1327" s="26" t="s">
        <v>500</v>
      </c>
      <c r="D1327" s="26" t="str">
        <f t="array" ref="D13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24EE045</v>
      </c>
      <c r="E1327" s="32" t="str">
        <f t="array" ref="E13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SHAMLI R K</v>
      </c>
      <c r="F1327" s="26" t="str">
        <f t="array" ref="F13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27" s="26" t="str">
        <f t="array" ref="G13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27" s="26" t="str">
        <f t="array" ref="H1327">IF(
MOD(ROW()-2,6)=0,
INDEX('Form Responses'!I:I,INT((ROW()-2)/6)+2),
"-- NA --"
)</f>
        <v>-- NA --</v>
      </c>
      <c r="I1327" s="32" t="str">
        <f t="array" ref="I1327">IF(
MOD(ROW()-2,6)=0,
INDEX('Form Responses'!J:J,INT((ROW()-2)/6)+2),
"-- NA --"
)</f>
        <v>-- NA --</v>
      </c>
      <c r="J1327" s="6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</row>
    <row r="1328">
      <c r="A1328" s="26">
        <v>1327.0</v>
      </c>
      <c r="B1328" s="29" t="str">
        <f t="array" ref="B1328">INDEX('Form Responses'!$C:$C,INT((ROW()-2)/6)+2)</f>
        <v>TEAM NEXUS</v>
      </c>
      <c r="C1328" s="31" t="s">
        <v>140</v>
      </c>
      <c r="D1328" s="26" t="str">
        <f t="array" ref="D13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25AM058</v>
      </c>
      <c r="E1328" s="32" t="str">
        <f t="array" ref="E13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MADHANIKA K K </v>
      </c>
      <c r="F1328" s="26" t="str">
        <f t="array" ref="F13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28" s="26" t="str">
        <f t="array" ref="G13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28" s="26">
        <f t="array" ref="H1328">IF(
MOD(ROW()-2,6)=0,
INDEX('Form Responses'!I:I,INT((ROW()-2)/6)+2),
"-- NA --"
)</f>
        <v>8925120918</v>
      </c>
      <c r="I1328" s="32" t="str">
        <f t="array" ref="I1328">IF(
MOD(ROW()-2,6)=0,
INDEX('Form Responses'!J:J,INT((ROW()-2)/6)+2),
"-- NA --"
)</f>
        <v>madhanika.kk2025aiml@sece.ac.in</v>
      </c>
      <c r="J1328" s="29" t="str">
        <f t="array" ref="J1328">INDEX('Form Responses'!$D:$D,INT((ROW()-2)/6)+2)</f>
        <v>Hardware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</row>
    <row r="1329">
      <c r="A1329" s="26">
        <v>1328.0</v>
      </c>
      <c r="B1329" s="33"/>
      <c r="C1329" s="26" t="s">
        <v>282</v>
      </c>
      <c r="D1329" s="26" t="str">
        <f t="array" ref="D13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25AM010</v>
      </c>
      <c r="E1329" s="32" t="str">
        <f t="array" ref="E13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BARANI N</v>
      </c>
      <c r="F1329" s="26" t="str">
        <f t="array" ref="F13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29" s="26" t="str">
        <f t="array" ref="G13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29" s="26" t="str">
        <f t="array" ref="H1329">IF(
MOD(ROW()-2,6)=0,
INDEX('Form Responses'!I:I,INT((ROW()-2)/6)+2),
"-- NA --"
)</f>
        <v>-- NA --</v>
      </c>
      <c r="I1329" s="32" t="str">
        <f t="array" ref="I1329">IF(
MOD(ROW()-2,6)=0,
INDEX('Form Responses'!J:J,INT((ROW()-2)/6)+2),
"-- NA --"
)</f>
        <v>-- NA --</v>
      </c>
      <c r="J1329" s="33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</row>
    <row r="1330">
      <c r="A1330" s="26">
        <v>1329.0</v>
      </c>
      <c r="B1330" s="33"/>
      <c r="C1330" s="26" t="s">
        <v>385</v>
      </c>
      <c r="D1330" s="26" t="str">
        <f t="array" ref="D13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25AM004</v>
      </c>
      <c r="E1330" s="32" t="str">
        <f t="array" ref="E13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 VISHNU P </v>
      </c>
      <c r="F1330" s="26" t="str">
        <f t="array" ref="F13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0" s="26" t="str">
        <f t="array" ref="G13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30" s="26" t="str">
        <f t="array" ref="H1330">IF(
MOD(ROW()-2,6)=0,
INDEX('Form Responses'!I:I,INT((ROW()-2)/6)+2),
"-- NA --"
)</f>
        <v>-- NA --</v>
      </c>
      <c r="I1330" s="32" t="str">
        <f t="array" ref="I1330">IF(
MOD(ROW()-2,6)=0,
INDEX('Form Responses'!J:J,INT((ROW()-2)/6)+2),
"-- NA --"
)</f>
        <v>-- NA --</v>
      </c>
      <c r="J1330" s="33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</row>
    <row r="1331">
      <c r="A1331" s="26">
        <v>1330.0</v>
      </c>
      <c r="B1331" s="33"/>
      <c r="C1331" s="26" t="s">
        <v>425</v>
      </c>
      <c r="D1331" s="26" t="str">
        <f t="array" ref="D13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25AM007</v>
      </c>
      <c r="E1331" s="32" t="str">
        <f t="array" ref="E13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ARUN KUMAR M</v>
      </c>
      <c r="F1331" s="26" t="str">
        <f t="array" ref="F13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1" s="26" t="str">
        <f t="array" ref="G13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31" s="26" t="str">
        <f t="array" ref="H1331">IF(
MOD(ROW()-2,6)=0,
INDEX('Form Responses'!I:I,INT((ROW()-2)/6)+2),
"-- NA --"
)</f>
        <v>-- NA --</v>
      </c>
      <c r="I1331" s="32" t="str">
        <f t="array" ref="I1331">IF(
MOD(ROW()-2,6)=0,
INDEX('Form Responses'!J:J,INT((ROW()-2)/6)+2),
"-- NA --"
)</f>
        <v>-- NA --</v>
      </c>
      <c r="J1331" s="33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</row>
    <row r="1332">
      <c r="A1332" s="26">
        <v>1331.0</v>
      </c>
      <c r="B1332" s="33"/>
      <c r="C1332" s="26" t="s">
        <v>464</v>
      </c>
      <c r="D1332" s="26" t="str">
        <f t="array" ref="D13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25ME002</v>
      </c>
      <c r="E1332" s="32" t="str">
        <f t="array" ref="E13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BALASUBRAMANIAN R </v>
      </c>
      <c r="F1332" s="26" t="str">
        <f t="array" ref="F13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2" s="26" t="str">
        <f t="array" ref="G13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332" s="26" t="str">
        <f t="array" ref="H1332">IF(
MOD(ROW()-2,6)=0,
INDEX('Form Responses'!I:I,INT((ROW()-2)/6)+2),
"-- NA --"
)</f>
        <v>-- NA --</v>
      </c>
      <c r="I1332" s="32" t="str">
        <f t="array" ref="I1332">IF(
MOD(ROW()-2,6)=0,
INDEX('Form Responses'!J:J,INT((ROW()-2)/6)+2),
"-- NA --"
)</f>
        <v>-- NA --</v>
      </c>
      <c r="J1332" s="33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</row>
    <row r="1333">
      <c r="A1333" s="26">
        <v>1332.0</v>
      </c>
      <c r="B1333" s="6"/>
      <c r="C1333" s="26" t="s">
        <v>500</v>
      </c>
      <c r="D1333" s="26" t="str">
        <f t="array" ref="D13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25ME022</v>
      </c>
      <c r="E1333" s="32" t="str">
        <f t="array" ref="E13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RUTHISH S B</v>
      </c>
      <c r="F1333" s="26" t="str">
        <f t="array" ref="F13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3" s="26" t="str">
        <f t="array" ref="G13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333" s="26" t="str">
        <f t="array" ref="H1333">IF(
MOD(ROW()-2,6)=0,
INDEX('Form Responses'!I:I,INT((ROW()-2)/6)+2),
"-- NA --"
)</f>
        <v>-- NA --</v>
      </c>
      <c r="I1333" s="32" t="str">
        <f t="array" ref="I1333">IF(
MOD(ROW()-2,6)=0,
INDEX('Form Responses'!J:J,INT((ROW()-2)/6)+2),
"-- NA --"
)</f>
        <v>-- NA --</v>
      </c>
      <c r="J1333" s="6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</row>
    <row r="1334">
      <c r="A1334" s="26">
        <v>1333.0</v>
      </c>
      <c r="B1334" s="29" t="str">
        <f t="array" ref="B1334">INDEX('Form Responses'!$C:$C,INT((ROW()-2)/6)+2)</f>
        <v>ByteBloom</v>
      </c>
      <c r="C1334" s="31" t="s">
        <v>140</v>
      </c>
      <c r="D1334" s="26" t="str">
        <f t="array" ref="D13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25AD119</v>
      </c>
      <c r="E1334" s="32" t="str">
        <f t="array" ref="E13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Mathanika R </v>
      </c>
      <c r="F1334" s="26" t="str">
        <f t="array" ref="F13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4" s="26" t="str">
        <f t="array" ref="G13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34" s="26">
        <f t="array" ref="H1334">IF(
MOD(ROW()-2,6)=0,
INDEX('Form Responses'!I:I,INT((ROW()-2)/6)+2),
"-- NA --"
)</f>
        <v>9976131455</v>
      </c>
      <c r="I1334" s="32" t="str">
        <f t="array" ref="I1334">IF(
MOD(ROW()-2,6)=0,
INDEX('Form Responses'!J:J,INT((ROW()-2)/6)+2),
"-- NA --"
)</f>
        <v>mathanika.r2025aids@sece.ac.in</v>
      </c>
      <c r="J1334" s="29" t="str">
        <f t="array" ref="J1334">INDEX('Form Responses'!$D:$D,INT((ROW()-2)/6)+2)</f>
        <v>Software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</row>
    <row r="1335">
      <c r="A1335" s="26">
        <v>1334.0</v>
      </c>
      <c r="B1335" s="33"/>
      <c r="C1335" s="26" t="s">
        <v>282</v>
      </c>
      <c r="D1335" s="26" t="str">
        <f t="array" ref="D13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25AD096</v>
      </c>
      <c r="E1335" s="32" t="str">
        <f t="array" ref="E13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KAVIMALAR.M</v>
      </c>
      <c r="F1335" s="26" t="str">
        <f t="array" ref="F13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5" s="26" t="str">
        <f t="array" ref="G13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35" s="26" t="str">
        <f t="array" ref="H1335">IF(
MOD(ROW()-2,6)=0,
INDEX('Form Responses'!I:I,INT((ROW()-2)/6)+2),
"-- NA --"
)</f>
        <v>-- NA --</v>
      </c>
      <c r="I1335" s="32" t="str">
        <f t="array" ref="I1335">IF(
MOD(ROW()-2,6)=0,
INDEX('Form Responses'!J:J,INT((ROW()-2)/6)+2),
"-- NA --"
)</f>
        <v>-- NA --</v>
      </c>
      <c r="J1335" s="33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</row>
    <row r="1336">
      <c r="A1336" s="26">
        <v>1335.0</v>
      </c>
      <c r="B1336" s="33"/>
      <c r="C1336" s="26" t="s">
        <v>385</v>
      </c>
      <c r="D1336" s="26" t="str">
        <f t="array" ref="D13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25AD122</v>
      </c>
      <c r="E1336" s="32" t="str">
        <f t="array" ref="E13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MOHITH.S</v>
      </c>
      <c r="F1336" s="26" t="str">
        <f t="array" ref="F13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6" s="26" t="str">
        <f t="array" ref="G13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36" s="26" t="str">
        <f t="array" ref="H1336">IF(
MOD(ROW()-2,6)=0,
INDEX('Form Responses'!I:I,INT((ROW()-2)/6)+2),
"-- NA --"
)</f>
        <v>-- NA --</v>
      </c>
      <c r="I1336" s="32" t="str">
        <f t="array" ref="I1336">IF(
MOD(ROW()-2,6)=0,
INDEX('Form Responses'!J:J,INT((ROW()-2)/6)+2),
"-- NA --"
)</f>
        <v>-- NA --</v>
      </c>
      <c r="J1336" s="33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</row>
    <row r="1337">
      <c r="A1337" s="26">
        <v>1336.0</v>
      </c>
      <c r="B1337" s="33"/>
      <c r="C1337" s="26" t="s">
        <v>425</v>
      </c>
      <c r="D1337" s="26" t="str">
        <f t="array" ref="D13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25AD107</v>
      </c>
      <c r="E1337" s="32" t="str">
        <f t="array" ref="E13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KRISHKARTHIK.S</v>
      </c>
      <c r="F1337" s="26" t="str">
        <f t="array" ref="F13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7" s="26" t="str">
        <f t="array" ref="G13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37" s="26" t="str">
        <f t="array" ref="H1337">IF(
MOD(ROW()-2,6)=0,
INDEX('Form Responses'!I:I,INT((ROW()-2)/6)+2),
"-- NA --"
)</f>
        <v>-- NA --</v>
      </c>
      <c r="I1337" s="32" t="str">
        <f t="array" ref="I1337">IF(
MOD(ROW()-2,6)=0,
INDEX('Form Responses'!J:J,INT((ROW()-2)/6)+2),
"-- NA --"
)</f>
        <v>-- NA --</v>
      </c>
      <c r="J1337" s="33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</row>
    <row r="1338">
      <c r="A1338" s="26">
        <v>1337.0</v>
      </c>
      <c r="B1338" s="33"/>
      <c r="C1338" s="26" t="s">
        <v>464</v>
      </c>
      <c r="D1338" s="26" t="str">
        <f t="array" ref="D13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25IT047</v>
      </c>
      <c r="E1338" s="32" t="str">
        <f t="array" ref="E13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SATHIYA PRIYAN R</v>
      </c>
      <c r="F1338" s="26" t="str">
        <f t="array" ref="F13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8" s="26" t="str">
        <f t="array" ref="G13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38" s="26" t="str">
        <f t="array" ref="H1338">IF(
MOD(ROW()-2,6)=0,
INDEX('Form Responses'!I:I,INT((ROW()-2)/6)+2),
"-- NA --"
)</f>
        <v>-- NA --</v>
      </c>
      <c r="I1338" s="32" t="str">
        <f t="array" ref="I1338">IF(
MOD(ROW()-2,6)=0,
INDEX('Form Responses'!J:J,INT((ROW()-2)/6)+2),
"-- NA --"
)</f>
        <v>-- NA --</v>
      </c>
      <c r="J1338" s="33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</row>
    <row r="1339">
      <c r="A1339" s="26">
        <v>1338.0</v>
      </c>
      <c r="B1339" s="6"/>
      <c r="C1339" s="26" t="s">
        <v>500</v>
      </c>
      <c r="D1339" s="26" t="str">
        <f t="array" ref="D13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25CC029</v>
      </c>
      <c r="E1339" s="32" t="str">
        <f t="array" ref="E13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MANORANJAN V</v>
      </c>
      <c r="F1339" s="26" t="str">
        <f t="array" ref="F13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39" s="26" t="str">
        <f t="array" ref="G13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339" s="26" t="str">
        <f t="array" ref="H1339">IF(
MOD(ROW()-2,6)=0,
INDEX('Form Responses'!I:I,INT((ROW()-2)/6)+2),
"-- NA --"
)</f>
        <v>-- NA --</v>
      </c>
      <c r="I1339" s="32" t="str">
        <f t="array" ref="I1339">IF(
MOD(ROW()-2,6)=0,
INDEX('Form Responses'!J:J,INT((ROW()-2)/6)+2),
"-- NA --"
)</f>
        <v>-- NA --</v>
      </c>
      <c r="J1339" s="6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</row>
    <row r="1340">
      <c r="A1340" s="26">
        <v>1339.0</v>
      </c>
      <c r="B1340" s="29" t="str">
        <f t="array" ref="B1340">INDEX('Form Responses'!$C:$C,INT((ROW()-2)/6)+2)</f>
        <v>NovaHive</v>
      </c>
      <c r="C1340" s="31" t="s">
        <v>140</v>
      </c>
      <c r="D1340" s="26" t="str">
        <f t="array" ref="D13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24CS122</v>
      </c>
      <c r="E1340" s="32" t="str">
        <f t="array" ref="E13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Lavanya R</v>
      </c>
      <c r="F1340" s="26" t="str">
        <f t="array" ref="F13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0" s="26" t="str">
        <f t="array" ref="G13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0" s="26">
        <f t="array" ref="H1340">IF(
MOD(ROW()-2,6)=0,
INDEX('Form Responses'!I:I,INT((ROW()-2)/6)+2),
"-- NA --"
)</f>
        <v>6379341807</v>
      </c>
      <c r="I1340" s="32" t="str">
        <f t="array" ref="I1340">IF(
MOD(ROW()-2,6)=0,
INDEX('Form Responses'!J:J,INT((ROW()-2)/6)+2),
"-- NA --"
)</f>
        <v>lavanya.r20242cse@sece.ac.in</v>
      </c>
      <c r="J1340" s="29" t="str">
        <f t="array" ref="J1340">INDEX('Form Responses'!$D:$D,INT((ROW()-2)/6)+2)</f>
        <v>Software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</row>
    <row r="1341">
      <c r="A1341" s="26">
        <v>1340.0</v>
      </c>
      <c r="B1341" s="33"/>
      <c r="C1341" s="26" t="s">
        <v>282</v>
      </c>
      <c r="D1341" s="26" t="str">
        <f t="array" ref="D13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24CS096</v>
      </c>
      <c r="E1341" s="32" t="str">
        <f t="array" ref="E13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JENITHA M</v>
      </c>
      <c r="F1341" s="26" t="str">
        <f t="array" ref="F13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1" s="26" t="str">
        <f t="array" ref="G13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1" s="26" t="str">
        <f t="array" ref="H1341">IF(
MOD(ROW()-2,6)=0,
INDEX('Form Responses'!I:I,INT((ROW()-2)/6)+2),
"-- NA --"
)</f>
        <v>-- NA --</v>
      </c>
      <c r="I1341" s="32" t="str">
        <f t="array" ref="I1341">IF(
MOD(ROW()-2,6)=0,
INDEX('Form Responses'!J:J,INT((ROW()-2)/6)+2),
"-- NA --"
)</f>
        <v>-- NA --</v>
      </c>
      <c r="J1341" s="33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</row>
    <row r="1342">
      <c r="A1342" s="26">
        <v>1341.0</v>
      </c>
      <c r="B1342" s="33"/>
      <c r="C1342" s="26" t="s">
        <v>385</v>
      </c>
      <c r="D1342" s="26" t="str">
        <f t="array" ref="D13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24CS106</v>
      </c>
      <c r="E1342" s="32" t="str">
        <f t="array" ref="E13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KARTHIKA A</v>
      </c>
      <c r="F1342" s="26" t="str">
        <f t="array" ref="F13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2" s="26" t="str">
        <f t="array" ref="G13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2" s="26" t="str">
        <f t="array" ref="H1342">IF(
MOD(ROW()-2,6)=0,
INDEX('Form Responses'!I:I,INT((ROW()-2)/6)+2),
"-- NA --"
)</f>
        <v>-- NA --</v>
      </c>
      <c r="I1342" s="32" t="str">
        <f t="array" ref="I1342">IF(
MOD(ROW()-2,6)=0,
INDEX('Form Responses'!J:J,INT((ROW()-2)/6)+2),
"-- NA --"
)</f>
        <v>-- NA --</v>
      </c>
      <c r="J1342" s="33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</row>
    <row r="1343">
      <c r="A1343" s="26">
        <v>1342.0</v>
      </c>
      <c r="B1343" s="33"/>
      <c r="C1343" s="26" t="s">
        <v>425</v>
      </c>
      <c r="D1343" s="26" t="str">
        <f t="array" ref="D13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24AD048</v>
      </c>
      <c r="E1343" s="32" t="str">
        <f t="array" ref="E13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DINESH KUMAR B</v>
      </c>
      <c r="F1343" s="26" t="str">
        <f t="array" ref="F13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3" s="26" t="str">
        <f t="array" ref="G13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43" s="26" t="str">
        <f t="array" ref="H1343">IF(
MOD(ROW()-2,6)=0,
INDEX('Form Responses'!I:I,INT((ROW()-2)/6)+2),
"-- NA --"
)</f>
        <v>-- NA --</v>
      </c>
      <c r="I1343" s="32" t="str">
        <f t="array" ref="I1343">IF(
MOD(ROW()-2,6)=0,
INDEX('Form Responses'!J:J,INT((ROW()-2)/6)+2),
"-- NA --"
)</f>
        <v>-- NA --</v>
      </c>
      <c r="J1343" s="33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</row>
    <row r="1344">
      <c r="A1344" s="26">
        <v>1343.0</v>
      </c>
      <c r="B1344" s="33"/>
      <c r="C1344" s="26" t="s">
        <v>464</v>
      </c>
      <c r="D1344" s="26" t="str">
        <f t="array" ref="D13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24AM070</v>
      </c>
      <c r="E1344" s="32" t="str">
        <f t="array" ref="E13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PRANAV SHANKAR D</v>
      </c>
      <c r="F1344" s="26" t="str">
        <f t="array" ref="F13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4" s="26" t="str">
        <f t="array" ref="G13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44" s="26" t="str">
        <f t="array" ref="H1344">IF(
MOD(ROW()-2,6)=0,
INDEX('Form Responses'!I:I,INT((ROW()-2)/6)+2),
"-- NA --"
)</f>
        <v>-- NA --</v>
      </c>
      <c r="I1344" s="32" t="str">
        <f t="array" ref="I1344">IF(
MOD(ROW()-2,6)=0,
INDEX('Form Responses'!J:J,INT((ROW()-2)/6)+2),
"-- NA --"
)</f>
        <v>-- NA --</v>
      </c>
      <c r="J1344" s="33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</row>
    <row r="1345">
      <c r="A1345" s="26">
        <v>1344.0</v>
      </c>
      <c r="B1345" s="6"/>
      <c r="C1345" s="26" t="s">
        <v>500</v>
      </c>
      <c r="D1345" s="26" t="str">
        <f t="array" ref="D13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24AM102</v>
      </c>
      <c r="E1345" s="32" t="str">
        <f t="array" ref="E13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SRINISANTH R J</v>
      </c>
      <c r="F1345" s="26" t="str">
        <f t="array" ref="F13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5" s="26" t="str">
        <f t="array" ref="G13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45" s="26" t="str">
        <f t="array" ref="H1345">IF(
MOD(ROW()-2,6)=0,
INDEX('Form Responses'!I:I,INT((ROW()-2)/6)+2),
"-- NA --"
)</f>
        <v>-- NA --</v>
      </c>
      <c r="I1345" s="32" t="str">
        <f t="array" ref="I1345">IF(
MOD(ROW()-2,6)=0,
INDEX('Form Responses'!J:J,INT((ROW()-2)/6)+2),
"-- NA --"
)</f>
        <v>-- NA --</v>
      </c>
      <c r="J1345" s="6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</row>
    <row r="1346">
      <c r="A1346" s="26">
        <v>1345.0</v>
      </c>
      <c r="B1346" s="29" t="str">
        <f t="array" ref="B1346">INDEX('Form Responses'!$C:$C,INT((ROW()-2)/6)+2)</f>
        <v>CODASTRA</v>
      </c>
      <c r="C1346" s="31" t="s">
        <v>140</v>
      </c>
      <c r="D1346" s="26" t="str">
        <f t="array" ref="D13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24CS217</v>
      </c>
      <c r="E1346" s="32" t="str">
        <f t="array" ref="E13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SATHISH P</v>
      </c>
      <c r="F1346" s="26" t="str">
        <f t="array" ref="F13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6" s="26" t="str">
        <f t="array" ref="G13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6" s="26">
        <f t="array" ref="H1346">IF(
MOD(ROW()-2,6)=0,
INDEX('Form Responses'!I:I,INT((ROW()-2)/6)+2),
"-- NA --"
)</f>
        <v>9361526618</v>
      </c>
      <c r="I1346" s="32" t="str">
        <f t="array" ref="I1346">IF(
MOD(ROW()-2,6)=0,
INDEX('Form Responses'!J:J,INT((ROW()-2)/6)+2),
"-- NA --"
)</f>
        <v>sathish.p2024cse@sece.ac.in</v>
      </c>
      <c r="J1346" s="29" t="str">
        <f t="array" ref="J1346">INDEX('Form Responses'!$D:$D,INT((ROW()-2)/6)+2)</f>
        <v>Software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</row>
    <row r="1347">
      <c r="A1347" s="26">
        <v>1346.0</v>
      </c>
      <c r="B1347" s="33"/>
      <c r="C1347" s="26" t="s">
        <v>282</v>
      </c>
      <c r="D1347" s="26" t="str">
        <f t="array" ref="D13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24CS208</v>
      </c>
      <c r="E1347" s="32" t="str">
        <f t="array" ref="E13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SAISAKTHI T</v>
      </c>
      <c r="F1347" s="26" t="str">
        <f t="array" ref="F13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7" s="26" t="str">
        <f t="array" ref="G13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7" s="26" t="str">
        <f t="array" ref="H1347">IF(
MOD(ROW()-2,6)=0,
INDEX('Form Responses'!I:I,INT((ROW()-2)/6)+2),
"-- NA --"
)</f>
        <v>-- NA --</v>
      </c>
      <c r="I1347" s="32" t="str">
        <f t="array" ref="I1347">IF(
MOD(ROW()-2,6)=0,
INDEX('Form Responses'!J:J,INT((ROW()-2)/6)+2),
"-- NA --"
)</f>
        <v>-- NA --</v>
      </c>
      <c r="J1347" s="33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</row>
    <row r="1348">
      <c r="A1348" s="26">
        <v>1347.0</v>
      </c>
      <c r="B1348" s="33"/>
      <c r="C1348" s="26" t="s">
        <v>385</v>
      </c>
      <c r="D1348" s="26" t="str">
        <f t="array" ref="D13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24CS237</v>
      </c>
      <c r="E1348" s="32" t="str">
        <f t="array" ref="E13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SRIVARSHAN R</v>
      </c>
      <c r="F1348" s="26" t="str">
        <f t="array" ref="F13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8" s="26" t="str">
        <f t="array" ref="G13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8" s="26" t="str">
        <f t="array" ref="H1348">IF(
MOD(ROW()-2,6)=0,
INDEX('Form Responses'!I:I,INT((ROW()-2)/6)+2),
"-- NA --"
)</f>
        <v>-- NA --</v>
      </c>
      <c r="I1348" s="32" t="str">
        <f t="array" ref="I1348">IF(
MOD(ROW()-2,6)=0,
INDEX('Form Responses'!J:J,INT((ROW()-2)/6)+2),
"-- NA --"
)</f>
        <v>-- NA --</v>
      </c>
      <c r="J1348" s="33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</row>
    <row r="1349">
      <c r="A1349" s="26">
        <v>1348.0</v>
      </c>
      <c r="B1349" s="33"/>
      <c r="C1349" s="26" t="s">
        <v>425</v>
      </c>
      <c r="D1349" s="26" t="str">
        <f t="array" ref="D13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24CS226</v>
      </c>
      <c r="E1349" s="32" t="str">
        <f t="array" ref="E13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SHEWAK S</v>
      </c>
      <c r="F1349" s="26" t="str">
        <f t="array" ref="F13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49" s="26" t="str">
        <f t="array" ref="G13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49" s="26" t="str">
        <f t="array" ref="H1349">IF(
MOD(ROW()-2,6)=0,
INDEX('Form Responses'!I:I,INT((ROW()-2)/6)+2),
"-- NA --"
)</f>
        <v>-- NA --</v>
      </c>
      <c r="I1349" s="32" t="str">
        <f t="array" ref="I1349">IF(
MOD(ROW()-2,6)=0,
INDEX('Form Responses'!J:J,INT((ROW()-2)/6)+2),
"-- NA --"
)</f>
        <v>-- NA --</v>
      </c>
      <c r="J1349" s="33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</row>
    <row r="1350">
      <c r="A1350" s="26">
        <v>1349.0</v>
      </c>
      <c r="B1350" s="33"/>
      <c r="C1350" s="26" t="s">
        <v>464</v>
      </c>
      <c r="D1350" s="26" t="str">
        <f t="array" ref="D13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24CS246</v>
      </c>
      <c r="E1350" s="32" t="str">
        <f t="array" ref="E13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P</v>
      </c>
      <c r="F1350" s="26" t="str">
        <f t="array" ref="F13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0" s="26" t="str">
        <f t="array" ref="G13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50" s="26" t="str">
        <f t="array" ref="H1350">IF(
MOD(ROW()-2,6)=0,
INDEX('Form Responses'!I:I,INT((ROW()-2)/6)+2),
"-- NA --"
)</f>
        <v>-- NA --</v>
      </c>
      <c r="I1350" s="32" t="str">
        <f t="array" ref="I1350">IF(
MOD(ROW()-2,6)=0,
INDEX('Form Responses'!J:J,INT((ROW()-2)/6)+2),
"-- NA --"
)</f>
        <v>-- NA --</v>
      </c>
      <c r="J1350" s="33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</row>
    <row r="1351">
      <c r="A1351" s="26">
        <v>1350.0</v>
      </c>
      <c r="B1351" s="6"/>
      <c r="C1351" s="26" t="s">
        <v>500</v>
      </c>
      <c r="D1351" s="26" t="str">
        <f t="array" ref="D13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24AD198</v>
      </c>
      <c r="E1351" s="32" t="str">
        <f t="array" ref="E13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Shahanaa Parveen MJ</v>
      </c>
      <c r="F1351" s="26" t="str">
        <f t="array" ref="F13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1" s="26" t="str">
        <f t="array" ref="G13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51" s="26" t="str">
        <f t="array" ref="H1351">IF(
MOD(ROW()-2,6)=0,
INDEX('Form Responses'!I:I,INT((ROW()-2)/6)+2),
"-- NA --"
)</f>
        <v>-- NA --</v>
      </c>
      <c r="I1351" s="32" t="str">
        <f t="array" ref="I1351">IF(
MOD(ROW()-2,6)=0,
INDEX('Form Responses'!J:J,INT((ROW()-2)/6)+2),
"-- NA --"
)</f>
        <v>-- NA --</v>
      </c>
      <c r="J1351" s="6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</row>
    <row r="1352">
      <c r="A1352" s="26">
        <v>1351.0</v>
      </c>
      <c r="B1352" s="29" t="str">
        <f t="array" ref="B1352">INDEX('Form Responses'!$C:$C,INT((ROW()-2)/6)+2)</f>
        <v>NovaMinds</v>
      </c>
      <c r="C1352" s="31" t="s">
        <v>140</v>
      </c>
      <c r="D1352" s="26" t="str">
        <f t="array" ref="D13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24SY032</v>
      </c>
      <c r="E1352" s="32" t="str">
        <f t="array" ref="E13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Manisha R</v>
      </c>
      <c r="F1352" s="26" t="str">
        <f t="array" ref="F13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2" s="26" t="str">
        <f t="array" ref="G13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52" s="26">
        <f t="array" ref="H1352">IF(
MOD(ROW()-2,6)=0,
INDEX('Form Responses'!I:I,INT((ROW()-2)/6)+2),
"-- NA --"
)</f>
        <v>9488946267</v>
      </c>
      <c r="I1352" s="32" t="str">
        <f t="array" ref="I1352">IF(
MOD(ROW()-2,6)=0,
INDEX('Form Responses'!J:J,INT((ROW()-2)/6)+2),
"-- NA --"
)</f>
        <v>manish12r2006@gmail.com</v>
      </c>
      <c r="J1352" s="29" t="str">
        <f t="array" ref="J1352">INDEX('Form Responses'!$D:$D,INT((ROW()-2)/6)+2)</f>
        <v>Software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</row>
    <row r="1353">
      <c r="A1353" s="26">
        <v>1352.0</v>
      </c>
      <c r="B1353" s="33"/>
      <c r="C1353" s="26" t="s">
        <v>282</v>
      </c>
      <c r="D1353" s="26" t="str">
        <f t="array" ref="D13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24SY019</v>
      </c>
      <c r="E1353" s="32" t="str">
        <f t="array" ref="E13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JAMUNA R</v>
      </c>
      <c r="F1353" s="26" t="str">
        <f t="array" ref="F13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3" s="26" t="str">
        <f t="array" ref="G13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53" s="26" t="str">
        <f t="array" ref="H1353">IF(
MOD(ROW()-2,6)=0,
INDEX('Form Responses'!I:I,INT((ROW()-2)/6)+2),
"-- NA --"
)</f>
        <v>-- NA --</v>
      </c>
      <c r="I1353" s="32" t="str">
        <f t="array" ref="I1353">IF(
MOD(ROW()-2,6)=0,
INDEX('Form Responses'!J:J,INT((ROW()-2)/6)+2),
"-- NA --"
)</f>
        <v>-- NA --</v>
      </c>
      <c r="J1353" s="33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</row>
    <row r="1354">
      <c r="A1354" s="26">
        <v>1353.0</v>
      </c>
      <c r="B1354" s="33"/>
      <c r="C1354" s="26" t="s">
        <v>385</v>
      </c>
      <c r="D1354" s="26" t="str">
        <f t="array" ref="D13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24SY045</v>
      </c>
      <c r="E1354" s="32" t="str">
        <f t="array" ref="E13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SELVAPRIYA R</v>
      </c>
      <c r="F1354" s="26" t="str">
        <f t="array" ref="F13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4" s="26" t="str">
        <f t="array" ref="G13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54" s="26" t="str">
        <f t="array" ref="H1354">IF(
MOD(ROW()-2,6)=0,
INDEX('Form Responses'!I:I,INT((ROW()-2)/6)+2),
"-- NA --"
)</f>
        <v>-- NA --</v>
      </c>
      <c r="I1354" s="32" t="str">
        <f t="array" ref="I1354">IF(
MOD(ROW()-2,6)=0,
INDEX('Form Responses'!J:J,INT((ROW()-2)/6)+2),
"-- NA --"
)</f>
        <v>-- NA --</v>
      </c>
      <c r="J1354" s="33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</row>
    <row r="1355">
      <c r="A1355" s="26">
        <v>1354.0</v>
      </c>
      <c r="B1355" s="33"/>
      <c r="C1355" s="26" t="s">
        <v>425</v>
      </c>
      <c r="D1355" s="26" t="str">
        <f t="array" ref="D13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24EE034</v>
      </c>
      <c r="E1355" s="32" t="str">
        <f t="array" ref="E13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NITHRA P</v>
      </c>
      <c r="F1355" s="26" t="str">
        <f t="array" ref="F13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5" s="26" t="str">
        <f t="array" ref="G13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55" s="26" t="str">
        <f t="array" ref="H1355">IF(
MOD(ROW()-2,6)=0,
INDEX('Form Responses'!I:I,INT((ROW()-2)/6)+2),
"-- NA --"
)</f>
        <v>-- NA --</v>
      </c>
      <c r="I1355" s="32" t="str">
        <f t="array" ref="I1355">IF(
MOD(ROW()-2,6)=0,
INDEX('Form Responses'!J:J,INT((ROW()-2)/6)+2),
"-- NA --"
)</f>
        <v>-- NA --</v>
      </c>
      <c r="J1355" s="33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</row>
    <row r="1356">
      <c r="A1356" s="26">
        <v>1355.0</v>
      </c>
      <c r="B1356" s="33"/>
      <c r="C1356" s="26" t="s">
        <v>464</v>
      </c>
      <c r="D1356" s="26" t="str">
        <f t="array" ref="D13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24EE023</v>
      </c>
      <c r="E1356" s="32" t="str">
        <f t="array" ref="E13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MAHALAKSHMI J</v>
      </c>
      <c r="F1356" s="26" t="str">
        <f t="array" ref="F13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6" s="26" t="str">
        <f t="array" ref="G13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56" s="26" t="str">
        <f t="array" ref="H1356">IF(
MOD(ROW()-2,6)=0,
INDEX('Form Responses'!I:I,INT((ROW()-2)/6)+2),
"-- NA --"
)</f>
        <v>-- NA --</v>
      </c>
      <c r="I1356" s="32" t="str">
        <f t="array" ref="I1356">IF(
MOD(ROW()-2,6)=0,
INDEX('Form Responses'!J:J,INT((ROW()-2)/6)+2),
"-- NA --"
)</f>
        <v>-- NA --</v>
      </c>
      <c r="J1356" s="33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</row>
    <row r="1357">
      <c r="A1357" s="26">
        <v>1356.0</v>
      </c>
      <c r="B1357" s="6"/>
      <c r="C1357" s="26" t="s">
        <v>500</v>
      </c>
      <c r="D1357" s="26" t="str">
        <f t="array" ref="D13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24CS060</v>
      </c>
      <c r="E1357" s="32" t="str">
        <f t="array" ref="E13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ESWARAKUMAR R</v>
      </c>
      <c r="F1357" s="26" t="str">
        <f t="array" ref="F13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7" s="26" t="str">
        <f t="array" ref="G13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57" s="26" t="str">
        <f t="array" ref="H1357">IF(
MOD(ROW()-2,6)=0,
INDEX('Form Responses'!I:I,INT((ROW()-2)/6)+2),
"-- NA --"
)</f>
        <v>-- NA --</v>
      </c>
      <c r="I1357" s="32" t="str">
        <f t="array" ref="I1357">IF(
MOD(ROW()-2,6)=0,
INDEX('Form Responses'!J:J,INT((ROW()-2)/6)+2),
"-- NA --"
)</f>
        <v>-- NA --</v>
      </c>
      <c r="J1357" s="6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</row>
    <row r="1358">
      <c r="A1358" s="26">
        <v>1357.0</v>
      </c>
      <c r="B1358" s="29" t="str">
        <f t="array" ref="B1358">INDEX('Form Responses'!$C:$C,INT((ROW()-2)/6)+2)</f>
        <v>NEURA NOVA</v>
      </c>
      <c r="C1358" s="31" t="s">
        <v>140</v>
      </c>
      <c r="D1358" s="26" t="str">
        <f t="array" ref="D13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24AD075</v>
      </c>
      <c r="E1358" s="32" t="str">
        <f t="array" ref="E13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 N</v>
      </c>
      <c r="F1358" s="26" t="str">
        <f t="array" ref="F13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8" s="26" t="str">
        <f t="array" ref="G13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58" s="26">
        <f t="array" ref="H1358">IF(
MOD(ROW()-2,6)=0,
INDEX('Form Responses'!I:I,INT((ROW()-2)/6)+2),
"-- NA --"
)</f>
        <v>7708057447</v>
      </c>
      <c r="I1358" s="32" t="str">
        <f t="array" ref="I1358">IF(
MOD(ROW()-2,6)=0,
INDEX('Form Responses'!J:J,INT((ROW()-2)/6)+2),
"-- NA --"
)</f>
        <v>janani.n2024aids@sece.ac.in</v>
      </c>
      <c r="J1358" s="29" t="str">
        <f t="array" ref="J1358">INDEX('Form Responses'!$D:$D,INT((ROW()-2)/6)+2)</f>
        <v>Software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</row>
    <row r="1359">
      <c r="A1359" s="26">
        <v>1358.0</v>
      </c>
      <c r="B1359" s="33"/>
      <c r="C1359" s="26" t="s">
        <v>282</v>
      </c>
      <c r="D1359" s="26" t="str">
        <f t="array" ref="D13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24AD122</v>
      </c>
      <c r="E1359" s="32" t="str">
        <f t="array" ref="E13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MIDHULA V</v>
      </c>
      <c r="F1359" s="26" t="str">
        <f t="array" ref="F13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59" s="26" t="str">
        <f t="array" ref="G13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59" s="26" t="str">
        <f t="array" ref="H1359">IF(
MOD(ROW()-2,6)=0,
INDEX('Form Responses'!I:I,INT((ROW()-2)/6)+2),
"-- NA --"
)</f>
        <v>-- NA --</v>
      </c>
      <c r="I1359" s="32" t="str">
        <f t="array" ref="I1359">IF(
MOD(ROW()-2,6)=0,
INDEX('Form Responses'!J:J,INT((ROW()-2)/6)+2),
"-- NA --"
)</f>
        <v>-- NA --</v>
      </c>
      <c r="J1359" s="33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</row>
    <row r="1360">
      <c r="A1360" s="26">
        <v>1359.0</v>
      </c>
      <c r="B1360" s="33"/>
      <c r="C1360" s="26" t="s">
        <v>385</v>
      </c>
      <c r="D1360" s="26" t="str">
        <f t="array" ref="D13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24AD079</v>
      </c>
      <c r="E1360" s="32" t="str">
        <f t="array" ref="E13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JAYADHARANI M</v>
      </c>
      <c r="F1360" s="26" t="str">
        <f t="array" ref="F13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60" s="26" t="str">
        <f t="array" ref="G13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60" s="26" t="str">
        <f t="array" ref="H1360">IF(
MOD(ROW()-2,6)=0,
INDEX('Form Responses'!I:I,INT((ROW()-2)/6)+2),
"-- NA --"
)</f>
        <v>-- NA --</v>
      </c>
      <c r="I1360" s="32" t="str">
        <f t="array" ref="I1360">IF(
MOD(ROW()-2,6)=0,
INDEX('Form Responses'!J:J,INT((ROW()-2)/6)+2),
"-- NA --"
)</f>
        <v>-- NA --</v>
      </c>
      <c r="J1360" s="33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</row>
    <row r="1361">
      <c r="A1361" s="26">
        <v>1360.0</v>
      </c>
      <c r="B1361" s="33"/>
      <c r="C1361" s="26" t="s">
        <v>425</v>
      </c>
      <c r="D1361" s="26" t="str">
        <f t="array" ref="D13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24AD112</v>
      </c>
      <c r="E1361" s="32" t="str">
        <f t="array" ref="E13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LOGESWARI M</v>
      </c>
      <c r="F1361" s="26" t="str">
        <f t="array" ref="F13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61" s="26" t="str">
        <f t="array" ref="G13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61" s="26" t="str">
        <f t="array" ref="H1361">IF(
MOD(ROW()-2,6)=0,
INDEX('Form Responses'!I:I,INT((ROW()-2)/6)+2),
"-- NA --"
)</f>
        <v>-- NA --</v>
      </c>
      <c r="I1361" s="32" t="str">
        <f t="array" ref="I1361">IF(
MOD(ROW()-2,6)=0,
INDEX('Form Responses'!J:J,INT((ROW()-2)/6)+2),
"-- NA --"
)</f>
        <v>-- NA --</v>
      </c>
      <c r="J1361" s="33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</row>
    <row r="1362">
      <c r="A1362" s="26">
        <v>1361.0</v>
      </c>
      <c r="B1362" s="33"/>
      <c r="C1362" s="26" t="s">
        <v>464</v>
      </c>
      <c r="D1362" s="26" t="str">
        <f t="array" ref="D13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24EC053</v>
      </c>
      <c r="E1362" s="32" t="str">
        <f t="array" ref="E13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 M V</v>
      </c>
      <c r="F1362" s="26" t="str">
        <f t="array" ref="F13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62" s="26" t="str">
        <f t="array" ref="G13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62" s="26" t="str">
        <f t="array" ref="H1362">IF(
MOD(ROW()-2,6)=0,
INDEX('Form Responses'!I:I,INT((ROW()-2)/6)+2),
"-- NA --"
)</f>
        <v>-- NA --</v>
      </c>
      <c r="I1362" s="32" t="str">
        <f t="array" ref="I1362">IF(
MOD(ROW()-2,6)=0,
INDEX('Form Responses'!J:J,INT((ROW()-2)/6)+2),
"-- NA --"
)</f>
        <v>-- NA --</v>
      </c>
      <c r="J1362" s="33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</row>
    <row r="1363">
      <c r="A1363" s="26">
        <v>1362.0</v>
      </c>
      <c r="B1363" s="6"/>
      <c r="C1363" s="26" t="s">
        <v>500</v>
      </c>
      <c r="D1363" s="26" t="str">
        <f t="array" ref="D13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24CS155</v>
      </c>
      <c r="E1363" s="32" t="str">
        <f t="array" ref="E13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NEEMA SREE K</v>
      </c>
      <c r="F1363" s="26" t="str">
        <f t="array" ref="F13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63" s="26" t="str">
        <f t="array" ref="G13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363" s="26" t="str">
        <f t="array" ref="H1363">IF(
MOD(ROW()-2,6)=0,
INDEX('Form Responses'!I:I,INT((ROW()-2)/6)+2),
"-- NA --"
)</f>
        <v>-- NA --</v>
      </c>
      <c r="I1363" s="32" t="str">
        <f t="array" ref="I1363">IF(
MOD(ROW()-2,6)=0,
INDEX('Form Responses'!J:J,INT((ROW()-2)/6)+2),
"-- NA --"
)</f>
        <v>-- NA --</v>
      </c>
      <c r="J1363" s="6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</row>
    <row r="1364">
      <c r="A1364" s="26">
        <v>1363.0</v>
      </c>
      <c r="B1364" s="29" t="str">
        <f t="array" ref="B1364">INDEX('Form Responses'!$C:$C,INT((ROW()-2)/6)+2)</f>
        <v>SIEG</v>
      </c>
      <c r="C1364" s="31" t="s">
        <v>140</v>
      </c>
      <c r="D1364" s="26" t="str">
        <f t="array" ref="D13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25SY003</v>
      </c>
      <c r="E1364" s="32" t="str">
        <f t="array" ref="E13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ADHITHYA V K </v>
      </c>
      <c r="F1364" s="26" t="str">
        <f t="array" ref="F13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4" s="26" t="str">
        <f t="array" ref="G13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64" s="26">
        <f t="array" ref="H1364">IF(
MOD(ROW()-2,6)=0,
INDEX('Form Responses'!I:I,INT((ROW()-2)/6)+2),
"-- NA --"
)</f>
        <v>7339651521</v>
      </c>
      <c r="I1364" s="32" t="str">
        <f t="array" ref="I1364">IF(
MOD(ROW()-2,6)=0,
INDEX('Form Responses'!J:J,INT((ROW()-2)/6)+2),
"-- NA --"
)</f>
        <v>adhithya.vk2025cys@sece.ac.in</v>
      </c>
      <c r="J1364" s="29" t="str">
        <f t="array" ref="J1364">INDEX('Form Responses'!$D:$D,INT((ROW()-2)/6)+2)</f>
        <v>Hardware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</row>
    <row r="1365">
      <c r="A1365" s="26">
        <v>1364.0</v>
      </c>
      <c r="B1365" s="33"/>
      <c r="C1365" s="26" t="s">
        <v>282</v>
      </c>
      <c r="D1365" s="26" t="str">
        <f t="array" ref="D13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25AM109</v>
      </c>
      <c r="E1365" s="32" t="str">
        <f t="array" ref="E13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THARUN P K</v>
      </c>
      <c r="F1365" s="26" t="str">
        <f t="array" ref="F13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5" s="26" t="str">
        <f t="array" ref="G13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65" s="26" t="str">
        <f t="array" ref="H1365">IF(
MOD(ROW()-2,6)=0,
INDEX('Form Responses'!I:I,INT((ROW()-2)/6)+2),
"-- NA --"
)</f>
        <v>-- NA --</v>
      </c>
      <c r="I1365" s="32" t="str">
        <f t="array" ref="I1365">IF(
MOD(ROW()-2,6)=0,
INDEX('Form Responses'!J:J,INT((ROW()-2)/6)+2),
"-- NA --"
)</f>
        <v>-- NA --</v>
      </c>
      <c r="J1365" s="33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>
      <c r="A1366" s="26">
        <v>1365.0</v>
      </c>
      <c r="B1366" s="33"/>
      <c r="C1366" s="26" t="s">
        <v>385</v>
      </c>
      <c r="D1366" s="26" t="str">
        <f t="array" ref="D13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25AD135</v>
      </c>
      <c r="E1366" s="32" t="str">
        <f t="array" ref="E13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NIRANJANKUKAR S</v>
      </c>
      <c r="F1366" s="26" t="str">
        <f t="array" ref="F13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6" s="26" t="str">
        <f t="array" ref="G13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66" s="26" t="str">
        <f t="array" ref="H1366">IF(
MOD(ROW()-2,6)=0,
INDEX('Form Responses'!I:I,INT((ROW()-2)/6)+2),
"-- NA --"
)</f>
        <v>-- NA --</v>
      </c>
      <c r="I1366" s="32" t="str">
        <f t="array" ref="I1366">IF(
MOD(ROW()-2,6)=0,
INDEX('Form Responses'!J:J,INT((ROW()-2)/6)+2),
"-- NA --"
)</f>
        <v>-- NA --</v>
      </c>
      <c r="J1366" s="33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</row>
    <row r="1367">
      <c r="A1367" s="26">
        <v>1366.0</v>
      </c>
      <c r="B1367" s="33"/>
      <c r="C1367" s="26" t="s">
        <v>425</v>
      </c>
      <c r="D1367" s="26" t="str">
        <f t="array" ref="D13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25CC026</v>
      </c>
      <c r="E1367" s="32" t="str">
        <f t="array" ref="E13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LEELATHARAN R A</v>
      </c>
      <c r="F1367" s="26" t="str">
        <f t="array" ref="F13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7" s="26" t="str">
        <f t="array" ref="G13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367" s="26" t="str">
        <f t="array" ref="H1367">IF(
MOD(ROW()-2,6)=0,
INDEX('Form Responses'!I:I,INT((ROW()-2)/6)+2),
"-- NA --"
)</f>
        <v>-- NA --</v>
      </c>
      <c r="I1367" s="32" t="str">
        <f t="array" ref="I1367">IF(
MOD(ROW()-2,6)=0,
INDEX('Form Responses'!J:J,INT((ROW()-2)/6)+2),
"-- NA --"
)</f>
        <v>-- NA --</v>
      </c>
      <c r="J1367" s="33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</row>
    <row r="1368">
      <c r="A1368" s="26">
        <v>1367.0</v>
      </c>
      <c r="B1368" s="33"/>
      <c r="C1368" s="26" t="s">
        <v>464</v>
      </c>
      <c r="D1368" s="26" t="str">
        <f t="array" ref="D13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25EE024</v>
      </c>
      <c r="E1368" s="32" t="str">
        <f t="array" ref="E13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KEERTHIMATHI K </v>
      </c>
      <c r="F1368" s="26" t="str">
        <f t="array" ref="F13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368" s="26" t="str">
        <f t="array" ref="G13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368" s="26" t="str">
        <f t="array" ref="H1368">IF(
MOD(ROW()-2,6)=0,
INDEX('Form Responses'!I:I,INT((ROW()-2)/6)+2),
"-- NA --"
)</f>
        <v>-- NA --</v>
      </c>
      <c r="I1368" s="32" t="str">
        <f t="array" ref="I1368">IF(
MOD(ROW()-2,6)=0,
INDEX('Form Responses'!J:J,INT((ROW()-2)/6)+2),
"-- NA --"
)</f>
        <v>-- NA --</v>
      </c>
      <c r="J1368" s="33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</row>
    <row r="1369">
      <c r="A1369" s="26">
        <v>1368.0</v>
      </c>
      <c r="B1369" s="6"/>
      <c r="C1369" s="26" t="s">
        <v>500</v>
      </c>
      <c r="D1369" s="26" t="str">
        <f t="array" ref="D13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24CC014</v>
      </c>
      <c r="E1369" s="32" t="str">
        <f t="array" ref="E13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DHEVAVARSHANA D K</v>
      </c>
      <c r="F1369" s="26" t="str">
        <f t="array" ref="F13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69" s="26" t="str">
        <f t="array" ref="G13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369" s="26" t="str">
        <f t="array" ref="H1369">IF(
MOD(ROW()-2,6)=0,
INDEX('Form Responses'!I:I,INT((ROW()-2)/6)+2),
"-- NA --"
)</f>
        <v>-- NA --</v>
      </c>
      <c r="I1369" s="32" t="str">
        <f t="array" ref="I1369">IF(
MOD(ROW()-2,6)=0,
INDEX('Form Responses'!J:J,INT((ROW()-2)/6)+2),
"-- NA --"
)</f>
        <v>-- NA --</v>
      </c>
      <c r="J1369" s="6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</row>
    <row r="1370">
      <c r="A1370" s="26">
        <v>1369.0</v>
      </c>
      <c r="B1370" s="29" t="str">
        <f t="array" ref="B1370">INDEX('Form Responses'!$C:$C,INT((ROW()-2)/6)+2)</f>
        <v>Visionary Vanguards</v>
      </c>
      <c r="C1370" s="31" t="s">
        <v>140</v>
      </c>
      <c r="D1370" s="26" t="str">
        <f t="array" ref="D13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24AD057</v>
      </c>
      <c r="E1370" s="32" t="str">
        <f t="array" ref="E13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GNANAPPRAKASH A</v>
      </c>
      <c r="F1370" s="26" t="str">
        <f t="array" ref="F13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0" s="26" t="str">
        <f t="array" ref="G13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70" s="26">
        <f t="array" ref="H1370">IF(
MOD(ROW()-2,6)=0,
INDEX('Form Responses'!I:I,INT((ROW()-2)/6)+2),
"-- NA --"
)</f>
        <v>9095008150</v>
      </c>
      <c r="I1370" s="32" t="str">
        <f t="array" ref="I1370">IF(
MOD(ROW()-2,6)=0,
INDEX('Form Responses'!J:J,INT((ROW()-2)/6)+2),
"-- NA --"
)</f>
        <v>gnanapprakash.a2024aids@sece.ac.in</v>
      </c>
      <c r="J1370" s="29" t="str">
        <f t="array" ref="J1370">INDEX('Form Responses'!$D:$D,INT((ROW()-2)/6)+2)</f>
        <v>Software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</row>
    <row r="1371">
      <c r="A1371" s="26">
        <v>1370.0</v>
      </c>
      <c r="B1371" s="33"/>
      <c r="C1371" s="26" t="s">
        <v>282</v>
      </c>
      <c r="D1371" s="26" t="str">
        <f t="array" ref="D13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24AD020</v>
      </c>
      <c r="E1371" s="32" t="str">
        <f t="array" ref="E13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ANISH S</v>
      </c>
      <c r="F1371" s="26" t="str">
        <f t="array" ref="F13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1" s="26" t="str">
        <f t="array" ref="G13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71" s="26" t="str">
        <f t="array" ref="H1371">IF(
MOD(ROW()-2,6)=0,
INDEX('Form Responses'!I:I,INT((ROW()-2)/6)+2),
"-- NA --"
)</f>
        <v>-- NA --</v>
      </c>
      <c r="I1371" s="32" t="str">
        <f t="array" ref="I1371">IF(
MOD(ROW()-2,6)=0,
INDEX('Form Responses'!J:J,INT((ROW()-2)/6)+2),
"-- NA --"
)</f>
        <v>-- NA --</v>
      </c>
      <c r="J1371" s="33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</row>
    <row r="1372">
      <c r="A1372" s="26">
        <v>1371.0</v>
      </c>
      <c r="B1372" s="33"/>
      <c r="C1372" s="26" t="s">
        <v>385</v>
      </c>
      <c r="D1372" s="26" t="str">
        <f t="array" ref="D13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24AD031</v>
      </c>
      <c r="E1372" s="32" t="str">
        <f t="array" ref="E13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BHARANIDHARAN S</v>
      </c>
      <c r="F1372" s="26" t="str">
        <f t="array" ref="F13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2" s="26" t="str">
        <f t="array" ref="G13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72" s="26" t="str">
        <f t="array" ref="H1372">IF(
MOD(ROW()-2,6)=0,
INDEX('Form Responses'!I:I,INT((ROW()-2)/6)+2),
"-- NA --"
)</f>
        <v>-- NA --</v>
      </c>
      <c r="I1372" s="32" t="str">
        <f t="array" ref="I1372">IF(
MOD(ROW()-2,6)=0,
INDEX('Form Responses'!J:J,INT((ROW()-2)/6)+2),
"-- NA --"
)</f>
        <v>-- NA --</v>
      </c>
      <c r="J1372" s="33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</row>
    <row r="1373">
      <c r="A1373" s="26">
        <v>1372.0</v>
      </c>
      <c r="B1373" s="33"/>
      <c r="C1373" s="26" t="s">
        <v>425</v>
      </c>
      <c r="D1373" s="26" t="str">
        <f t="array" ref="D13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24AD034</v>
      </c>
      <c r="E1373" s="32" t="str">
        <f t="array" ref="E13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BIRUNDALAKSHMI R</v>
      </c>
      <c r="F1373" s="26" t="str">
        <f t="array" ref="F13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3" s="26" t="str">
        <f t="array" ref="G13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73" s="26" t="str">
        <f t="array" ref="H1373">IF(
MOD(ROW()-2,6)=0,
INDEX('Form Responses'!I:I,INT((ROW()-2)/6)+2),
"-- NA --"
)</f>
        <v>-- NA --</v>
      </c>
      <c r="I1373" s="32" t="str">
        <f t="array" ref="I1373">IF(
MOD(ROW()-2,6)=0,
INDEX('Form Responses'!J:J,INT((ROW()-2)/6)+2),
"-- NA --"
)</f>
        <v>-- NA --</v>
      </c>
      <c r="J1373" s="33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</row>
    <row r="1374">
      <c r="A1374" s="26">
        <v>1373.0</v>
      </c>
      <c r="B1374" s="33"/>
      <c r="C1374" s="26" t="s">
        <v>464</v>
      </c>
      <c r="D1374" s="26" t="str">
        <f t="array" ref="D13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24AM078</v>
      </c>
      <c r="E1374" s="32" t="str">
        <f t="array" ref="E13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RITHISH BARATH S R</v>
      </c>
      <c r="F1374" s="26" t="str">
        <f t="array" ref="F13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4" s="26" t="str">
        <f t="array" ref="G13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74" s="26" t="str">
        <f t="array" ref="H1374">IF(
MOD(ROW()-2,6)=0,
INDEX('Form Responses'!I:I,INT((ROW()-2)/6)+2),
"-- NA --"
)</f>
        <v>-- NA --</v>
      </c>
      <c r="I1374" s="32" t="str">
        <f t="array" ref="I1374">IF(
MOD(ROW()-2,6)=0,
INDEX('Form Responses'!J:J,INT((ROW()-2)/6)+2),
"-- NA --"
)</f>
        <v>-- NA --</v>
      </c>
      <c r="J1374" s="33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</row>
    <row r="1375">
      <c r="A1375" s="26">
        <v>1374.0</v>
      </c>
      <c r="B1375" s="6"/>
      <c r="C1375" s="26" t="s">
        <v>500</v>
      </c>
      <c r="D1375" s="26" t="str">
        <f t="array" ref="D13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24AM067</v>
      </c>
      <c r="E1375" s="32" t="str">
        <f t="array" ref="E13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NIVASH M</v>
      </c>
      <c r="F1375" s="26" t="str">
        <f t="array" ref="F13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5" s="26" t="str">
        <f t="array" ref="G13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75" s="26" t="str">
        <f t="array" ref="H1375">IF(
MOD(ROW()-2,6)=0,
INDEX('Form Responses'!I:I,INT((ROW()-2)/6)+2),
"-- NA --"
)</f>
        <v>-- NA --</v>
      </c>
      <c r="I1375" s="32" t="str">
        <f t="array" ref="I1375">IF(
MOD(ROW()-2,6)=0,
INDEX('Form Responses'!J:J,INT((ROW()-2)/6)+2),
"-- NA --"
)</f>
        <v>-- NA --</v>
      </c>
      <c r="J1375" s="6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</row>
    <row r="1376">
      <c r="A1376" s="26">
        <v>1375.0</v>
      </c>
      <c r="B1376" s="29" t="str">
        <f t="array" ref="B1376">INDEX('Form Responses'!$C:$C,INT((ROW()-2)/6)+2)</f>
        <v>Sinister Six </v>
      </c>
      <c r="C1376" s="31" t="s">
        <v>140</v>
      </c>
      <c r="D1376" s="26" t="str">
        <f t="array" ref="D13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24IT026</v>
      </c>
      <c r="E1376" s="32" t="str">
        <f t="array" ref="E13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Manikandan D</v>
      </c>
      <c r="F1376" s="26" t="str">
        <f t="array" ref="F13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6" s="26" t="str">
        <f t="array" ref="G13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76" s="26">
        <f t="array" ref="H1376">IF(
MOD(ROW()-2,6)=0,
INDEX('Form Responses'!I:I,INT((ROW()-2)/6)+2),
"-- NA --"
)</f>
        <v>9894224443</v>
      </c>
      <c r="I1376" s="32" t="str">
        <f t="array" ref="I1376">IF(
MOD(ROW()-2,6)=0,
INDEX('Form Responses'!J:J,INT((ROW()-2)/6)+2),
"-- NA --"
)</f>
        <v>manikandan.d2024it@sece.ac.in</v>
      </c>
      <c r="J1376" s="29" t="str">
        <f t="array" ref="J1376">INDEX('Form Responses'!$D:$D,INT((ROW()-2)/6)+2)</f>
        <v>Software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</row>
    <row r="1377">
      <c r="A1377" s="26">
        <v>1376.0</v>
      </c>
      <c r="B1377" s="33"/>
      <c r="C1377" s="26" t="s">
        <v>282</v>
      </c>
      <c r="D1377" s="26" t="str">
        <f t="array" ref="D13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24IT049</v>
      </c>
      <c r="E1377" s="32" t="str">
        <f t="array" ref="E13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Shakthi Logitha H</v>
      </c>
      <c r="F1377" s="26" t="str">
        <f t="array" ref="F13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7" s="26" t="str">
        <f t="array" ref="G13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77" s="26" t="str">
        <f t="array" ref="H1377">IF(
MOD(ROW()-2,6)=0,
INDEX('Form Responses'!I:I,INT((ROW()-2)/6)+2),
"-- NA --"
)</f>
        <v>-- NA --</v>
      </c>
      <c r="I1377" s="32" t="str">
        <f t="array" ref="I1377">IF(
MOD(ROW()-2,6)=0,
INDEX('Form Responses'!J:J,INT((ROW()-2)/6)+2),
"-- NA --"
)</f>
        <v>-- NA --</v>
      </c>
      <c r="J1377" s="33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</row>
    <row r="1378">
      <c r="A1378" s="26">
        <v>1377.0</v>
      </c>
      <c r="B1378" s="33"/>
      <c r="C1378" s="26" t="s">
        <v>385</v>
      </c>
      <c r="D1378" s="26" t="str">
        <f t="array" ref="D13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24IT001</v>
      </c>
      <c r="E1378" s="32" t="str">
        <f t="array" ref="E13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Aarthi V</v>
      </c>
      <c r="F1378" s="26" t="str">
        <f t="array" ref="F13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8" s="26" t="str">
        <f t="array" ref="G13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78" s="26" t="str">
        <f t="array" ref="H1378">IF(
MOD(ROW()-2,6)=0,
INDEX('Form Responses'!I:I,INT((ROW()-2)/6)+2),
"-- NA --"
)</f>
        <v>-- NA --</v>
      </c>
      <c r="I1378" s="32" t="str">
        <f t="array" ref="I1378">IF(
MOD(ROW()-2,6)=0,
INDEX('Form Responses'!J:J,INT((ROW()-2)/6)+2),
"-- NA --"
)</f>
        <v>-- NA --</v>
      </c>
      <c r="J1378" s="33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</row>
    <row r="1379">
      <c r="A1379" s="26">
        <v>1378.0</v>
      </c>
      <c r="B1379" s="33"/>
      <c r="C1379" s="26" t="s">
        <v>425</v>
      </c>
      <c r="D1379" s="26" t="str">
        <f t="array" ref="D13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24IT020</v>
      </c>
      <c r="E1379" s="32" t="str">
        <f t="array" ref="E13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Kanimozhi E</v>
      </c>
      <c r="F1379" s="26" t="str">
        <f t="array" ref="F13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79" s="26" t="str">
        <f t="array" ref="G13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79" s="26" t="str">
        <f t="array" ref="H1379">IF(
MOD(ROW()-2,6)=0,
INDEX('Form Responses'!I:I,INT((ROW()-2)/6)+2),
"-- NA --"
)</f>
        <v>-- NA --</v>
      </c>
      <c r="I1379" s="32" t="str">
        <f t="array" ref="I1379">IF(
MOD(ROW()-2,6)=0,
INDEX('Form Responses'!J:J,INT((ROW()-2)/6)+2),
"-- NA --"
)</f>
        <v>-- NA --</v>
      </c>
      <c r="J1379" s="33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</row>
    <row r="1380">
      <c r="A1380" s="26">
        <v>1379.0</v>
      </c>
      <c r="B1380" s="33"/>
      <c r="C1380" s="26" t="s">
        <v>464</v>
      </c>
      <c r="D1380" s="26" t="str">
        <f t="array" ref="D13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24IT052</v>
      </c>
      <c r="E1380" s="32" t="str">
        <f t="array" ref="E13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Shivani R</v>
      </c>
      <c r="F1380" s="26" t="str">
        <f t="array" ref="F13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0" s="26" t="str">
        <f t="array" ref="G13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380" s="26" t="str">
        <f t="array" ref="H1380">IF(
MOD(ROW()-2,6)=0,
INDEX('Form Responses'!I:I,INT((ROW()-2)/6)+2),
"-- NA --"
)</f>
        <v>-- NA --</v>
      </c>
      <c r="I1380" s="32" t="str">
        <f t="array" ref="I1380">IF(
MOD(ROW()-2,6)=0,
INDEX('Form Responses'!J:J,INT((ROW()-2)/6)+2),
"-- NA --"
)</f>
        <v>-- NA --</v>
      </c>
      <c r="J1380" s="33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</row>
    <row r="1381">
      <c r="A1381" s="26">
        <v>1380.0</v>
      </c>
      <c r="B1381" s="6"/>
      <c r="C1381" s="26" t="s">
        <v>500</v>
      </c>
      <c r="D1381" s="26" t="str">
        <f t="array" ref="D13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24AD005</v>
      </c>
      <c r="E1381" s="32" t="str">
        <f t="array" ref="E13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 Vignesh S</v>
      </c>
      <c r="F1381" s="26" t="str">
        <f t="array" ref="F13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1" s="26" t="str">
        <f t="array" ref="G13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381" s="26" t="str">
        <f t="array" ref="H1381">IF(
MOD(ROW()-2,6)=0,
INDEX('Form Responses'!I:I,INT((ROW()-2)/6)+2),
"-- NA --"
)</f>
        <v>-- NA --</v>
      </c>
      <c r="I1381" s="32" t="str">
        <f t="array" ref="I1381">IF(
MOD(ROW()-2,6)=0,
INDEX('Form Responses'!J:J,INT((ROW()-2)/6)+2),
"-- NA --"
)</f>
        <v>-- NA --</v>
      </c>
      <c r="J1381" s="6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</row>
    <row r="1382">
      <c r="A1382" s="26">
        <v>1381.0</v>
      </c>
      <c r="B1382" s="29" t="str">
        <f t="array" ref="B1382">INDEX('Form Responses'!$C:$C,INT((ROW()-2)/6)+2)</f>
        <v>Code Storm</v>
      </c>
      <c r="C1382" s="31" t="s">
        <v>140</v>
      </c>
      <c r="D1382" s="26" t="str">
        <f t="array" ref="D13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24SY020</v>
      </c>
      <c r="E1382" s="32" t="str">
        <f t="array" ref="E13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 DHARSHINI P</v>
      </c>
      <c r="F1382" s="26" t="str">
        <f t="array" ref="F13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2" s="26" t="str">
        <f t="array" ref="G13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2" s="26">
        <f t="array" ref="H1382">IF(
MOD(ROW()-2,6)=0,
INDEX('Form Responses'!I:I,INT((ROW()-2)/6)+2),
"-- NA --"
)</f>
        <v>9043063787</v>
      </c>
      <c r="I1382" s="32" t="str">
        <f t="array" ref="I1382">IF(
MOD(ROW()-2,6)=0,
INDEX('Form Responses'!J:J,INT((ROW()-2)/6)+2),
"-- NA --"
)</f>
        <v>jeevadharshini.p2024csecs@sece.ac.in</v>
      </c>
      <c r="J1382" s="29" t="str">
        <f t="array" ref="J1382">INDEX('Form Responses'!$D:$D,INT((ROW()-2)/6)+2)</f>
        <v>Software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</row>
    <row r="1383">
      <c r="A1383" s="26">
        <v>1382.0</v>
      </c>
      <c r="B1383" s="33"/>
      <c r="C1383" s="26" t="s">
        <v>282</v>
      </c>
      <c r="D1383" s="26" t="str">
        <f t="array" ref="D13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24SY014</v>
      </c>
      <c r="E1383" s="32" t="str">
        <f t="array" ref="E13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 DHARSHINI K</v>
      </c>
      <c r="F1383" s="26" t="str">
        <f t="array" ref="F13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3" s="26" t="str">
        <f t="array" ref="G13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3" s="26" t="str">
        <f t="array" ref="H1383">IF(
MOD(ROW()-2,6)=0,
INDEX('Form Responses'!I:I,INT((ROW()-2)/6)+2),
"-- NA --"
)</f>
        <v>-- NA --</v>
      </c>
      <c r="I1383" s="32" t="str">
        <f t="array" ref="I1383">IF(
MOD(ROW()-2,6)=0,
INDEX('Form Responses'!J:J,INT((ROW()-2)/6)+2),
"-- NA --"
)</f>
        <v>-- NA --</v>
      </c>
      <c r="J1383" s="33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</row>
    <row r="1384">
      <c r="A1384" s="26">
        <v>1383.0</v>
      </c>
      <c r="B1384" s="33"/>
      <c r="C1384" s="26" t="s">
        <v>385</v>
      </c>
      <c r="D1384" s="26" t="str">
        <f t="array" ref="D13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24IT001</v>
      </c>
      <c r="E1384" s="32" t="str">
        <f t="array" ref="E13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THEJESWINI S</v>
      </c>
      <c r="F1384" s="26" t="str">
        <f t="array" ref="F13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4" s="26" t="str">
        <f t="array" ref="G13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4" s="26" t="str">
        <f t="array" ref="H1384">IF(
MOD(ROW()-2,6)=0,
INDEX('Form Responses'!I:I,INT((ROW()-2)/6)+2),
"-- NA --"
)</f>
        <v>-- NA --</v>
      </c>
      <c r="I1384" s="32" t="str">
        <f t="array" ref="I1384">IF(
MOD(ROW()-2,6)=0,
INDEX('Form Responses'!J:J,INT((ROW()-2)/6)+2),
"-- NA --"
)</f>
        <v>-- NA --</v>
      </c>
      <c r="J1384" s="33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</row>
    <row r="1385">
      <c r="A1385" s="26">
        <v>1384.0</v>
      </c>
      <c r="B1385" s="33"/>
      <c r="C1385" s="26" t="s">
        <v>425</v>
      </c>
      <c r="D1385" s="26" t="str">
        <f t="array" ref="D13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24SY035</v>
      </c>
      <c r="E1385" s="32" t="str">
        <f t="array" ref="E13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MONISHA T</v>
      </c>
      <c r="F1385" s="26" t="str">
        <f t="array" ref="F13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5" s="26" t="str">
        <f t="array" ref="G13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5" s="26" t="str">
        <f t="array" ref="H1385">IF(
MOD(ROW()-2,6)=0,
INDEX('Form Responses'!I:I,INT((ROW()-2)/6)+2),
"-- NA --"
)</f>
        <v>-- NA --</v>
      </c>
      <c r="I1385" s="32" t="str">
        <f t="array" ref="I1385">IF(
MOD(ROW()-2,6)=0,
INDEX('Form Responses'!J:J,INT((ROW()-2)/6)+2),
"-- NA --"
)</f>
        <v>-- NA --</v>
      </c>
      <c r="J1385" s="33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</row>
    <row r="1386">
      <c r="A1386" s="26">
        <v>1385.0</v>
      </c>
      <c r="B1386" s="33"/>
      <c r="C1386" s="26" t="s">
        <v>464</v>
      </c>
      <c r="D1386" s="26" t="str">
        <f t="array" ref="D13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24SY028</v>
      </c>
      <c r="E1386" s="32" t="str">
        <f t="array" ref="E13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 LATHIKA ABHI SHRI J</v>
      </c>
      <c r="F1386" s="26" t="str">
        <f t="array" ref="F13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6" s="26" t="str">
        <f t="array" ref="G13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6" s="26" t="str">
        <f t="array" ref="H1386">IF(
MOD(ROW()-2,6)=0,
INDEX('Form Responses'!I:I,INT((ROW()-2)/6)+2),
"-- NA --"
)</f>
        <v>-- NA --</v>
      </c>
      <c r="I1386" s="32" t="str">
        <f t="array" ref="I1386">IF(
MOD(ROW()-2,6)=0,
INDEX('Form Responses'!J:J,INT((ROW()-2)/6)+2),
"-- NA --"
)</f>
        <v>-- NA --</v>
      </c>
      <c r="J1386" s="33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</row>
    <row r="1387">
      <c r="A1387" s="26">
        <v>1386.0</v>
      </c>
      <c r="B1387" s="6"/>
      <c r="C1387" s="26" t="s">
        <v>500</v>
      </c>
      <c r="D1387" s="26" t="str">
        <f t="array" ref="D13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24SY053</v>
      </c>
      <c r="E1387" s="32" t="str">
        <f t="array" ref="E13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 RAJANAYAGI B</v>
      </c>
      <c r="F1387" s="26" t="str">
        <f t="array" ref="F13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7" s="26" t="str">
        <f t="array" ref="G13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387" s="26" t="str">
        <f t="array" ref="H1387">IF(
MOD(ROW()-2,6)=0,
INDEX('Form Responses'!I:I,INT((ROW()-2)/6)+2),
"-- NA --"
)</f>
        <v>-- NA --</v>
      </c>
      <c r="I1387" s="32" t="str">
        <f t="array" ref="I1387">IF(
MOD(ROW()-2,6)=0,
INDEX('Form Responses'!J:J,INT((ROW()-2)/6)+2),
"-- NA --"
)</f>
        <v>-- NA --</v>
      </c>
      <c r="J1387" s="6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</row>
    <row r="1388">
      <c r="A1388" s="26">
        <v>1387.0</v>
      </c>
      <c r="B1388" s="29" t="str">
        <f t="array" ref="B1388">INDEX('Form Responses'!$C:$C,INT((ROW()-2)/6)+2)</f>
        <v>Code Boosters</v>
      </c>
      <c r="C1388" s="31" t="s">
        <v>140</v>
      </c>
      <c r="D1388" s="26" t="str">
        <f t="array" ref="D13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24AM110</v>
      </c>
      <c r="E1388" s="32" t="str">
        <f t="array" ref="E13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THICKISH S </v>
      </c>
      <c r="F1388" s="26" t="str">
        <f t="array" ref="F13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8" s="26" t="str">
        <f t="array" ref="G13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88" s="26">
        <f t="array" ref="H1388">IF(
MOD(ROW()-2,6)=0,
INDEX('Form Responses'!I:I,INT((ROW()-2)/6)+2),
"-- NA --"
)</f>
        <v>9345228312</v>
      </c>
      <c r="I1388" s="32" t="str">
        <f t="array" ref="I1388">IF(
MOD(ROW()-2,6)=0,
INDEX('Form Responses'!J:J,INT((ROW()-2)/6)+2),
"-- NA --"
)</f>
        <v>thickish.s2024aiml@sece.ac.in</v>
      </c>
      <c r="J1388" s="29" t="str">
        <f t="array" ref="J1388">INDEX('Form Responses'!$D:$D,INT((ROW()-2)/6)+2)</f>
        <v>Software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</row>
    <row r="1389">
      <c r="A1389" s="26">
        <v>1388.0</v>
      </c>
      <c r="B1389" s="33"/>
      <c r="C1389" s="26" t="s">
        <v>282</v>
      </c>
      <c r="D1389" s="26" t="str">
        <f t="array" ref="D13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24AM065</v>
      </c>
      <c r="E1389" s="32" t="str">
        <f t="array" ref="E13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NITHIN JOSHUA J</v>
      </c>
      <c r="F1389" s="26" t="str">
        <f t="array" ref="F13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89" s="26" t="str">
        <f t="array" ref="G13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89" s="26" t="str">
        <f t="array" ref="H1389">IF(
MOD(ROW()-2,6)=0,
INDEX('Form Responses'!I:I,INT((ROW()-2)/6)+2),
"-- NA --"
)</f>
        <v>-- NA --</v>
      </c>
      <c r="I1389" s="32" t="str">
        <f t="array" ref="I1389">IF(
MOD(ROW()-2,6)=0,
INDEX('Form Responses'!J:J,INT((ROW()-2)/6)+2),
"-- NA --"
)</f>
        <v>-- NA --</v>
      </c>
      <c r="J1389" s="33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</row>
    <row r="1390">
      <c r="A1390" s="26">
        <v>1389.0</v>
      </c>
      <c r="B1390" s="33"/>
      <c r="C1390" s="26" t="s">
        <v>385</v>
      </c>
      <c r="D1390" s="26" t="str">
        <f t="array" ref="D13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24AM097</v>
      </c>
      <c r="E1390" s="32" t="str">
        <f t="array" ref="E13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SHUNMUGARAJ R</v>
      </c>
      <c r="F1390" s="26" t="str">
        <f t="array" ref="F13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0" s="26" t="str">
        <f t="array" ref="G13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0" s="26" t="str">
        <f t="array" ref="H1390">IF(
MOD(ROW()-2,6)=0,
INDEX('Form Responses'!I:I,INT((ROW()-2)/6)+2),
"-- NA --"
)</f>
        <v>-- NA --</v>
      </c>
      <c r="I1390" s="32" t="str">
        <f t="array" ref="I1390">IF(
MOD(ROW()-2,6)=0,
INDEX('Form Responses'!J:J,INT((ROW()-2)/6)+2),
"-- NA --"
)</f>
        <v>-- NA --</v>
      </c>
      <c r="J1390" s="33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</row>
    <row r="1391">
      <c r="A1391" s="26">
        <v>1390.0</v>
      </c>
      <c r="B1391" s="33"/>
      <c r="C1391" s="26" t="s">
        <v>425</v>
      </c>
      <c r="D1391" s="26" t="str">
        <f t="array" ref="D13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24AM304</v>
      </c>
      <c r="E1391" s="32" t="str">
        <f t="array" ref="E13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ROHITH M</v>
      </c>
      <c r="F1391" s="26" t="str">
        <f t="array" ref="F13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1" s="26" t="str">
        <f t="array" ref="G13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1" s="26" t="str">
        <f t="array" ref="H1391">IF(
MOD(ROW()-2,6)=0,
INDEX('Form Responses'!I:I,INT((ROW()-2)/6)+2),
"-- NA --"
)</f>
        <v>-- NA --</v>
      </c>
      <c r="I1391" s="32" t="str">
        <f t="array" ref="I1391">IF(
MOD(ROW()-2,6)=0,
INDEX('Form Responses'!J:J,INT((ROW()-2)/6)+2),
"-- NA --"
)</f>
        <v>-- NA --</v>
      </c>
      <c r="J1391" s="33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</row>
    <row r="1392">
      <c r="A1392" s="26">
        <v>1391.0</v>
      </c>
      <c r="B1392" s="33"/>
      <c r="C1392" s="26" t="s">
        <v>464</v>
      </c>
      <c r="D1392" s="26" t="str">
        <f t="array" ref="D13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24AM122</v>
      </c>
      <c r="E1392" s="32" t="str">
        <f t="array" ref="E13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YADESH D</v>
      </c>
      <c r="F1392" s="26" t="str">
        <f t="array" ref="F13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2" s="26" t="str">
        <f t="array" ref="G13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2" s="26" t="str">
        <f t="array" ref="H1392">IF(
MOD(ROW()-2,6)=0,
INDEX('Form Responses'!I:I,INT((ROW()-2)/6)+2),
"-- NA --"
)</f>
        <v>-- NA --</v>
      </c>
      <c r="I1392" s="32" t="str">
        <f t="array" ref="I1392">IF(
MOD(ROW()-2,6)=0,
INDEX('Form Responses'!J:J,INT((ROW()-2)/6)+2),
"-- NA --"
)</f>
        <v>-- NA --</v>
      </c>
      <c r="J1392" s="33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</row>
    <row r="1393">
      <c r="A1393" s="26">
        <v>1392.0</v>
      </c>
      <c r="B1393" s="6"/>
      <c r="C1393" s="26" t="s">
        <v>500</v>
      </c>
      <c r="D1393" s="26" t="str">
        <f t="array" ref="D13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24AM305</v>
      </c>
      <c r="E1393" s="32" t="str">
        <f t="array" ref="E13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SRILEKA B</v>
      </c>
      <c r="F1393" s="26" t="str">
        <f t="array" ref="F13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3" s="26" t="str">
        <f t="array" ref="G13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3" s="26" t="str">
        <f t="array" ref="H1393">IF(
MOD(ROW()-2,6)=0,
INDEX('Form Responses'!I:I,INT((ROW()-2)/6)+2),
"-- NA --"
)</f>
        <v>-- NA --</v>
      </c>
      <c r="I1393" s="32" t="str">
        <f t="array" ref="I1393">IF(
MOD(ROW()-2,6)=0,
INDEX('Form Responses'!J:J,INT((ROW()-2)/6)+2),
"-- NA --"
)</f>
        <v>-- NA --</v>
      </c>
      <c r="J1393" s="6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</row>
    <row r="1394">
      <c r="A1394" s="26">
        <v>1393.0</v>
      </c>
      <c r="B1394" s="29" t="str">
        <f t="array" ref="B1394">INDEX('Form Responses'!$C:$C,INT((ROW()-2)/6)+2)</f>
        <v>TALES</v>
      </c>
      <c r="C1394" s="31" t="s">
        <v>140</v>
      </c>
      <c r="D1394" s="26" t="str">
        <f t="array" ref="D13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24ME026</v>
      </c>
      <c r="E1394" s="32" t="str">
        <f t="array" ref="E13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THIPPUSULTHAN A</v>
      </c>
      <c r="F1394" s="26" t="str">
        <f t="array" ref="F13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4" s="26" t="str">
        <f t="array" ref="G13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394" s="26">
        <f t="array" ref="H1394">IF(
MOD(ROW()-2,6)=0,
INDEX('Form Responses'!I:I,INT((ROW()-2)/6)+2),
"-- NA --"
)</f>
        <v>9150212929</v>
      </c>
      <c r="I1394" s="32" t="str">
        <f t="array" ref="I1394">IF(
MOD(ROW()-2,6)=0,
INDEX('Form Responses'!J:J,INT((ROW()-2)/6)+2),
"-- NA --"
)</f>
        <v>thippusulthan.a2024mech@sece.ac.in</v>
      </c>
      <c r="J1394" s="29" t="str">
        <f t="array" ref="J1394">INDEX('Form Responses'!$D:$D,INT((ROW()-2)/6)+2)</f>
        <v>Hardware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</row>
    <row r="1395">
      <c r="A1395" s="26">
        <v>1394.0</v>
      </c>
      <c r="B1395" s="33"/>
      <c r="C1395" s="26" t="s">
        <v>282</v>
      </c>
      <c r="D1395" s="26" t="str">
        <f t="array" ref="D13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24AM063</v>
      </c>
      <c r="E1395" s="32" t="str">
        <f t="array" ref="E13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NADISH R</v>
      </c>
      <c r="F1395" s="26" t="str">
        <f t="array" ref="F13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5" s="26" t="str">
        <f t="array" ref="G13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5" s="26" t="str">
        <f t="array" ref="H1395">IF(
MOD(ROW()-2,6)=0,
INDEX('Form Responses'!I:I,INT((ROW()-2)/6)+2),
"-- NA --"
)</f>
        <v>-- NA --</v>
      </c>
      <c r="I1395" s="32" t="str">
        <f t="array" ref="I1395">IF(
MOD(ROW()-2,6)=0,
INDEX('Form Responses'!J:J,INT((ROW()-2)/6)+2),
"-- NA --"
)</f>
        <v>-- NA --</v>
      </c>
      <c r="J1395" s="33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</row>
    <row r="1396">
      <c r="A1396" s="26">
        <v>1395.0</v>
      </c>
      <c r="B1396" s="33"/>
      <c r="C1396" s="26" t="s">
        <v>385</v>
      </c>
      <c r="D1396" s="26" t="str">
        <f t="array" ref="D13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24EC038</v>
      </c>
      <c r="E1396" s="32" t="str">
        <f t="array" ref="E13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DHYAN SANTHOSH K</v>
      </c>
      <c r="F1396" s="26" t="str">
        <f t="array" ref="F13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6" s="26" t="str">
        <f t="array" ref="G13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396" s="26" t="str">
        <f t="array" ref="H1396">IF(
MOD(ROW()-2,6)=0,
INDEX('Form Responses'!I:I,INT((ROW()-2)/6)+2),
"-- NA --"
)</f>
        <v>-- NA --</v>
      </c>
      <c r="I1396" s="32" t="str">
        <f t="array" ref="I1396">IF(
MOD(ROW()-2,6)=0,
INDEX('Form Responses'!J:J,INT((ROW()-2)/6)+2),
"-- NA --"
)</f>
        <v>-- NA --</v>
      </c>
      <c r="J1396" s="33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</row>
    <row r="1397">
      <c r="A1397" s="26">
        <v>1396.0</v>
      </c>
      <c r="B1397" s="33"/>
      <c r="C1397" s="26" t="s">
        <v>425</v>
      </c>
      <c r="D1397" s="26" t="str">
        <f t="array" ref="D13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24AM010</v>
      </c>
      <c r="E1397" s="32" t="str">
        <f t="array" ref="E13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BALAGUGAN S</v>
      </c>
      <c r="F1397" s="26" t="str">
        <f t="array" ref="F13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7" s="26" t="str">
        <f t="array" ref="G13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7" s="26" t="str">
        <f t="array" ref="H1397">IF(
MOD(ROW()-2,6)=0,
INDEX('Form Responses'!I:I,INT((ROW()-2)/6)+2),
"-- NA --"
)</f>
        <v>-- NA --</v>
      </c>
      <c r="I1397" s="32" t="str">
        <f t="array" ref="I1397">IF(
MOD(ROW()-2,6)=0,
INDEX('Form Responses'!J:J,INT((ROW()-2)/6)+2),
"-- NA --"
)</f>
        <v>-- NA --</v>
      </c>
      <c r="J1397" s="33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</row>
    <row r="1398">
      <c r="A1398" s="26">
        <v>1397.0</v>
      </c>
      <c r="B1398" s="33"/>
      <c r="C1398" s="26" t="s">
        <v>464</v>
      </c>
      <c r="D1398" s="26" t="str">
        <f t="array" ref="D13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24AM009</v>
      </c>
      <c r="E1398" s="32" t="str">
        <f t="array" ref="E13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ASHWITA S</v>
      </c>
      <c r="F1398" s="26" t="str">
        <f t="array" ref="F13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8" s="26" t="str">
        <f t="array" ref="G13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398" s="26" t="str">
        <f t="array" ref="H1398">IF(
MOD(ROW()-2,6)=0,
INDEX('Form Responses'!I:I,INT((ROW()-2)/6)+2),
"-- NA --"
)</f>
        <v>-- NA --</v>
      </c>
      <c r="I1398" s="32" t="str">
        <f t="array" ref="I1398">IF(
MOD(ROW()-2,6)=0,
INDEX('Form Responses'!J:J,INT((ROW()-2)/6)+2),
"-- NA --"
)</f>
        <v>-- NA --</v>
      </c>
      <c r="J1398" s="33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</row>
    <row r="1399">
      <c r="A1399" s="26">
        <v>1398.0</v>
      </c>
      <c r="B1399" s="6"/>
      <c r="C1399" s="26" t="s">
        <v>500</v>
      </c>
      <c r="D1399" s="26" t="str">
        <f t="array" ref="D13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24ME006</v>
      </c>
      <c r="E1399" s="32" t="str">
        <f t="array" ref="E13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DHIPAA SAINDHAVI G</v>
      </c>
      <c r="F1399" s="26" t="str">
        <f t="array" ref="F13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399" s="26" t="str">
        <f t="array" ref="G13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399" s="26" t="str">
        <f t="array" ref="H1399">IF(
MOD(ROW()-2,6)=0,
INDEX('Form Responses'!I:I,INT((ROW()-2)/6)+2),
"-- NA --"
)</f>
        <v>-- NA --</v>
      </c>
      <c r="I1399" s="32" t="str">
        <f t="array" ref="I1399">IF(
MOD(ROW()-2,6)=0,
INDEX('Form Responses'!J:J,INT((ROW()-2)/6)+2),
"-- NA --"
)</f>
        <v>-- NA --</v>
      </c>
      <c r="J1399" s="6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</row>
    <row r="1400">
      <c r="A1400" s="26">
        <v>1399.0</v>
      </c>
      <c r="B1400" s="29" t="str">
        <f t="array" ref="B1400">INDEX('Form Responses'!$C:$C,INT((ROW()-2)/6)+2)</f>
        <v>X FORCE</v>
      </c>
      <c r="C1400" s="31" t="s">
        <v>140</v>
      </c>
      <c r="D1400" s="26" t="str">
        <f t="array" ref="D14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24IT042</v>
      </c>
      <c r="E1400" s="32" t="str">
        <f t="array" ref="E14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SACHIN VIGNESH S</v>
      </c>
      <c r="F1400" s="26" t="str">
        <f t="array" ref="F14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0" s="26" t="str">
        <f t="array" ref="G14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400" s="26">
        <f t="array" ref="H1400">IF(
MOD(ROW()-2,6)=0,
INDEX('Form Responses'!I:I,INT((ROW()-2)/6)+2),
"-- NA --"
)</f>
        <v>8778239579</v>
      </c>
      <c r="I1400" s="32" t="str">
        <f t="array" ref="I1400">IF(
MOD(ROW()-2,6)=0,
INDEX('Form Responses'!J:J,INT((ROW()-2)/6)+2),
"-- NA --"
)</f>
        <v>sachinvignesh.s2024it@sece.ac.in</v>
      </c>
      <c r="J1400" s="29" t="str">
        <f t="array" ref="J1400">INDEX('Form Responses'!$D:$D,INT((ROW()-2)/6)+2)</f>
        <v>Software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</row>
    <row r="1401">
      <c r="A1401" s="26">
        <v>1400.0</v>
      </c>
      <c r="B1401" s="33"/>
      <c r="C1401" s="26" t="s">
        <v>282</v>
      </c>
      <c r="D1401" s="26" t="str">
        <f t="array" ref="D14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24EC036</v>
      </c>
      <c r="E1401" s="32" t="str">
        <f t="array" ref="E14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DHARUNAADHITYA S T</v>
      </c>
      <c r="F1401" s="26" t="str">
        <f t="array" ref="F14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1" s="26" t="str">
        <f t="array" ref="G14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01" s="26" t="str">
        <f t="array" ref="H1401">IF(
MOD(ROW()-2,6)=0,
INDEX('Form Responses'!I:I,INT((ROW()-2)/6)+2),
"-- NA --"
)</f>
        <v>-- NA --</v>
      </c>
      <c r="I1401" s="32" t="str">
        <f t="array" ref="I1401">IF(
MOD(ROW()-2,6)=0,
INDEX('Form Responses'!J:J,INT((ROW()-2)/6)+2),
"-- NA --"
)</f>
        <v>-- NA --</v>
      </c>
      <c r="J1401" s="33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</row>
    <row r="1402">
      <c r="A1402" s="26">
        <v>1401.0</v>
      </c>
      <c r="B1402" s="33"/>
      <c r="C1402" s="26" t="s">
        <v>385</v>
      </c>
      <c r="D1402" s="26" t="str">
        <f t="array" ref="D14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24AM014</v>
      </c>
      <c r="E1402" s="32" t="str">
        <f t="array" ref="E14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DEEPAK R</v>
      </c>
      <c r="F1402" s="26" t="str">
        <f t="array" ref="F14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2" s="26" t="str">
        <f t="array" ref="G14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02" s="26" t="str">
        <f t="array" ref="H1402">IF(
MOD(ROW()-2,6)=0,
INDEX('Form Responses'!I:I,INT((ROW()-2)/6)+2),
"-- NA --"
)</f>
        <v>-- NA --</v>
      </c>
      <c r="I1402" s="32" t="str">
        <f t="array" ref="I1402">IF(
MOD(ROW()-2,6)=0,
INDEX('Form Responses'!J:J,INT((ROW()-2)/6)+2),
"-- NA --"
)</f>
        <v>-- NA --</v>
      </c>
      <c r="J1402" s="33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</row>
    <row r="1403">
      <c r="A1403" s="26">
        <v>1402.0</v>
      </c>
      <c r="B1403" s="33"/>
      <c r="C1403" s="26" t="s">
        <v>425</v>
      </c>
      <c r="D1403" s="26" t="str">
        <f t="array" ref="D14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24EC039</v>
      </c>
      <c r="E1403" s="32" t="str">
        <f t="array" ref="E14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 SHREE P</v>
      </c>
      <c r="F1403" s="26" t="str">
        <f t="array" ref="F14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3" s="26" t="str">
        <f t="array" ref="G14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03" s="26" t="str">
        <f t="array" ref="H1403">IF(
MOD(ROW()-2,6)=0,
INDEX('Form Responses'!I:I,INT((ROW()-2)/6)+2),
"-- NA --"
)</f>
        <v>-- NA --</v>
      </c>
      <c r="I1403" s="32" t="str">
        <f t="array" ref="I1403">IF(
MOD(ROW()-2,6)=0,
INDEX('Form Responses'!J:J,INT((ROW()-2)/6)+2),
"-- NA --"
)</f>
        <v>-- NA --</v>
      </c>
      <c r="J1403" s="33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</row>
    <row r="1404">
      <c r="A1404" s="26">
        <v>1403.0</v>
      </c>
      <c r="B1404" s="33"/>
      <c r="C1404" s="26" t="s">
        <v>464</v>
      </c>
      <c r="D1404" s="26" t="str">
        <f t="array" ref="D14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24AM056</v>
      </c>
      <c r="E1404" s="32" t="str">
        <f t="array" ref="E14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MAHA KESHAV P</v>
      </c>
      <c r="F1404" s="26" t="str">
        <f t="array" ref="F14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4" s="26" t="str">
        <f t="array" ref="G14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04" s="26" t="str">
        <f t="array" ref="H1404">IF(
MOD(ROW()-2,6)=0,
INDEX('Form Responses'!I:I,INT((ROW()-2)/6)+2),
"-- NA --"
)</f>
        <v>-- NA --</v>
      </c>
      <c r="I1404" s="32" t="str">
        <f t="array" ref="I1404">IF(
MOD(ROW()-2,6)=0,
INDEX('Form Responses'!J:J,INT((ROW()-2)/6)+2),
"-- NA --"
)</f>
        <v>-- NA --</v>
      </c>
      <c r="J1404" s="33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</row>
    <row r="1405">
      <c r="A1405" s="26">
        <v>1404.0</v>
      </c>
      <c r="B1405" s="6"/>
      <c r="C1405" s="26" t="s">
        <v>500</v>
      </c>
      <c r="D1405" s="26" t="str">
        <f t="array" ref="D14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24EC042</v>
      </c>
      <c r="E1405" s="32" t="str">
        <f t="array" ref="E14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GOWDAM M</v>
      </c>
      <c r="F1405" s="26" t="str">
        <f t="array" ref="F14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05" s="26" t="str">
        <f t="array" ref="G14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05" s="26" t="str">
        <f t="array" ref="H1405">IF(
MOD(ROW()-2,6)=0,
INDEX('Form Responses'!I:I,INT((ROW()-2)/6)+2),
"-- NA --"
)</f>
        <v>-- NA --</v>
      </c>
      <c r="I1405" s="32" t="str">
        <f t="array" ref="I1405">IF(
MOD(ROW()-2,6)=0,
INDEX('Form Responses'!J:J,INT((ROW()-2)/6)+2),
"-- NA --"
)</f>
        <v>-- NA --</v>
      </c>
      <c r="J1405" s="6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</row>
    <row r="1406">
      <c r="A1406" s="26">
        <v>1405.0</v>
      </c>
      <c r="B1406" s="29" t="str">
        <f t="array" ref="B1406">INDEX('Form Responses'!$C:$C,INT((ROW()-2)/6)+2)</f>
        <v>The Prime Ignitors</v>
      </c>
      <c r="C1406" s="31" t="s">
        <v>140</v>
      </c>
      <c r="D1406" s="26" t="str">
        <f t="array" ref="D14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25IT028</v>
      </c>
      <c r="E1406" s="32" t="str">
        <f t="array" ref="E14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LATHIKA S</v>
      </c>
      <c r="F1406" s="26" t="str">
        <f t="array" ref="F14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06" s="26" t="str">
        <f t="array" ref="G14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406" s="26">
        <f t="array" ref="H1406">IF(
MOD(ROW()-2,6)=0,
INDEX('Form Responses'!I:I,INT((ROW()-2)/6)+2),
"-- NA --"
)</f>
        <v>8667097599</v>
      </c>
      <c r="I1406" s="32" t="str">
        <f t="array" ref="I1406">IF(
MOD(ROW()-2,6)=0,
INDEX('Form Responses'!J:J,INT((ROW()-2)/6)+2),
"-- NA --"
)</f>
        <v>lathika.s2025it@sece.ac.in</v>
      </c>
      <c r="J1406" s="29" t="str">
        <f t="array" ref="J1406">INDEX('Form Responses'!$D:$D,INT((ROW()-2)/6)+2)</f>
        <v>Software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</row>
    <row r="1407">
      <c r="A1407" s="26">
        <v>1406.0</v>
      </c>
      <c r="B1407" s="33"/>
      <c r="C1407" s="26" t="s">
        <v>282</v>
      </c>
      <c r="D1407" s="26" t="str">
        <f t="array" ref="D14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25IT022</v>
      </c>
      <c r="E1407" s="32" t="str">
        <f t="array" ref="E14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JAKATHSURYA K</v>
      </c>
      <c r="F1407" s="26" t="str">
        <f t="array" ref="F14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07" s="26" t="str">
        <f t="array" ref="G14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407" s="26" t="str">
        <f t="array" ref="H1407">IF(
MOD(ROW()-2,6)=0,
INDEX('Form Responses'!I:I,INT((ROW()-2)/6)+2),
"-- NA --"
)</f>
        <v>-- NA --</v>
      </c>
      <c r="I1407" s="32" t="str">
        <f t="array" ref="I1407">IF(
MOD(ROW()-2,6)=0,
INDEX('Form Responses'!J:J,INT((ROW()-2)/6)+2),
"-- NA --"
)</f>
        <v>-- NA --</v>
      </c>
      <c r="J1407" s="33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</row>
    <row r="1408">
      <c r="A1408" s="26">
        <v>1407.0</v>
      </c>
      <c r="B1408" s="33"/>
      <c r="C1408" s="26" t="s">
        <v>385</v>
      </c>
      <c r="D1408" s="26" t="str">
        <f t="array" ref="D14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25EE009</v>
      </c>
      <c r="E1408" s="32" t="str">
        <f t="array" ref="E14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N</v>
      </c>
      <c r="F1408" s="26" t="str">
        <f t="array" ref="F14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08" s="26" t="str">
        <f t="array" ref="G14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408" s="26" t="str">
        <f t="array" ref="H1408">IF(
MOD(ROW()-2,6)=0,
INDEX('Form Responses'!I:I,INT((ROW()-2)/6)+2),
"-- NA --"
)</f>
        <v>-- NA --</v>
      </c>
      <c r="I1408" s="32" t="str">
        <f t="array" ref="I1408">IF(
MOD(ROW()-2,6)=0,
INDEX('Form Responses'!J:J,INT((ROW()-2)/6)+2),
"-- NA --"
)</f>
        <v>-- NA --</v>
      </c>
      <c r="J1408" s="33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</row>
    <row r="1409">
      <c r="A1409" s="26">
        <v>1408.0</v>
      </c>
      <c r="B1409" s="33"/>
      <c r="C1409" s="26" t="s">
        <v>425</v>
      </c>
      <c r="D1409" s="26" t="str">
        <f t="array" ref="D14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25IT024</v>
      </c>
      <c r="E1409" s="32" t="str">
        <f t="array" ref="E14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KALAIARASAN S</v>
      </c>
      <c r="F1409" s="26" t="str">
        <f t="array" ref="F14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09" s="26" t="str">
        <f t="array" ref="G14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409" s="26" t="str">
        <f t="array" ref="H1409">IF(
MOD(ROW()-2,6)=0,
INDEX('Form Responses'!I:I,INT((ROW()-2)/6)+2),
"-- NA --"
)</f>
        <v>-- NA --</v>
      </c>
      <c r="I1409" s="32" t="str">
        <f t="array" ref="I1409">IF(
MOD(ROW()-2,6)=0,
INDEX('Form Responses'!J:J,INT((ROW()-2)/6)+2),
"-- NA --"
)</f>
        <v>-- NA --</v>
      </c>
      <c r="J1409" s="33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</row>
    <row r="1410">
      <c r="A1410" s="26">
        <v>1409.0</v>
      </c>
      <c r="B1410" s="33"/>
      <c r="C1410" s="26" t="s">
        <v>464</v>
      </c>
      <c r="D1410" s="26" t="str">
        <f t="array" ref="D14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25CS131</v>
      </c>
      <c r="E1410" s="32" t="str">
        <f t="array" ref="E14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SUHAIL I</v>
      </c>
      <c r="F1410" s="26" t="str">
        <f t="array" ref="F14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10" s="26" t="str">
        <f t="array" ref="G14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10" s="26" t="str">
        <f t="array" ref="H1410">IF(
MOD(ROW()-2,6)=0,
INDEX('Form Responses'!I:I,INT((ROW()-2)/6)+2),
"-- NA --"
)</f>
        <v>-- NA --</v>
      </c>
      <c r="I1410" s="32" t="str">
        <f t="array" ref="I1410">IF(
MOD(ROW()-2,6)=0,
INDEX('Form Responses'!J:J,INT((ROW()-2)/6)+2),
"-- NA --"
)</f>
        <v>-- NA --</v>
      </c>
      <c r="J1410" s="33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</row>
    <row r="1411">
      <c r="A1411" s="26">
        <v>1410.0</v>
      </c>
      <c r="B1411" s="6"/>
      <c r="C1411" s="26" t="s">
        <v>500</v>
      </c>
      <c r="D1411" s="26" t="str">
        <f t="array" ref="D14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25CS252</v>
      </c>
      <c r="E1411" s="32" t="str">
        <f t="array" ref="E14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YASHWANTH ELAMURUGAN S </v>
      </c>
      <c r="F1411" s="26" t="str">
        <f t="array" ref="F14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11" s="26" t="str">
        <f t="array" ref="G14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11" s="26" t="str">
        <f t="array" ref="H1411">IF(
MOD(ROW()-2,6)=0,
INDEX('Form Responses'!I:I,INT((ROW()-2)/6)+2),
"-- NA --"
)</f>
        <v>-- NA --</v>
      </c>
      <c r="I1411" s="32" t="str">
        <f t="array" ref="I1411">IF(
MOD(ROW()-2,6)=0,
INDEX('Form Responses'!J:J,INT((ROW()-2)/6)+2),
"-- NA --"
)</f>
        <v>-- NA --</v>
      </c>
      <c r="J1411" s="6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</row>
    <row r="1412">
      <c r="A1412" s="26">
        <v>1411.0</v>
      </c>
      <c r="B1412" s="29" t="str">
        <f t="array" ref="B1412">INDEX('Form Responses'!$C:$C,INT((ROW()-2)/6)+2)</f>
        <v>NEXORA</v>
      </c>
      <c r="C1412" s="31" t="s">
        <v>140</v>
      </c>
      <c r="D1412" s="26" t="str">
        <f t="array" ref="D14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24AM031</v>
      </c>
      <c r="E1412" s="32" t="str">
        <f t="array" ref="E14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HARIHARAN V S</v>
      </c>
      <c r="F1412" s="26" t="str">
        <f t="array" ref="F14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2" s="26" t="str">
        <f t="array" ref="G14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2" s="26">
        <f t="array" ref="H1412">IF(
MOD(ROW()-2,6)=0,
INDEX('Form Responses'!I:I,INT((ROW()-2)/6)+2),
"-- NA --"
)</f>
        <v>7708916752</v>
      </c>
      <c r="I1412" s="32" t="str">
        <f t="array" ref="I1412">IF(
MOD(ROW()-2,6)=0,
INDEX('Form Responses'!J:J,INT((ROW()-2)/6)+2),
"-- NA --"
)</f>
        <v>hariharan.vs2024aiml@sece.ac.in</v>
      </c>
      <c r="J1412" s="29" t="str">
        <f t="array" ref="J1412">INDEX('Form Responses'!$D:$D,INT((ROW()-2)/6)+2)</f>
        <v>Software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</row>
    <row r="1413">
      <c r="A1413" s="26">
        <v>1412.0</v>
      </c>
      <c r="B1413" s="33"/>
      <c r="C1413" s="26" t="s">
        <v>282</v>
      </c>
      <c r="D1413" s="26" t="str">
        <f t="array" ref="D14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24AM016</v>
      </c>
      <c r="E1413" s="32" t="str">
        <f t="array" ref="E14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DEVIPRIYA K</v>
      </c>
      <c r="F1413" s="26" t="str">
        <f t="array" ref="F14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3" s="26" t="str">
        <f t="array" ref="G14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3" s="26" t="str">
        <f t="array" ref="H1413">IF(
MOD(ROW()-2,6)=0,
INDEX('Form Responses'!I:I,INT((ROW()-2)/6)+2),
"-- NA --"
)</f>
        <v>-- NA --</v>
      </c>
      <c r="I1413" s="32" t="str">
        <f t="array" ref="I1413">IF(
MOD(ROW()-2,6)=0,
INDEX('Form Responses'!J:J,INT((ROW()-2)/6)+2),
"-- NA --"
)</f>
        <v>-- NA --</v>
      </c>
      <c r="J1413" s="33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</row>
    <row r="1414">
      <c r="A1414" s="26">
        <v>1413.0</v>
      </c>
      <c r="B1414" s="33"/>
      <c r="C1414" s="26" t="s">
        <v>385</v>
      </c>
      <c r="D1414" s="26" t="str">
        <f t="array" ref="D14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24AM028</v>
      </c>
      <c r="E1414" s="32" t="str">
        <f t="array" ref="E14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GOKULAVASAN B</v>
      </c>
      <c r="F1414" s="26" t="str">
        <f t="array" ref="F14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4" s="26" t="str">
        <f t="array" ref="G14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4" s="26" t="str">
        <f t="array" ref="H1414">IF(
MOD(ROW()-2,6)=0,
INDEX('Form Responses'!I:I,INT((ROW()-2)/6)+2),
"-- NA --"
)</f>
        <v>-- NA --</v>
      </c>
      <c r="I1414" s="32" t="str">
        <f t="array" ref="I1414">IF(
MOD(ROW()-2,6)=0,
INDEX('Form Responses'!J:J,INT((ROW()-2)/6)+2),
"-- NA --"
)</f>
        <v>-- NA --</v>
      </c>
      <c r="J1414" s="33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</row>
    <row r="1415">
      <c r="A1415" s="26">
        <v>1414.0</v>
      </c>
      <c r="B1415" s="33"/>
      <c r="C1415" s="26" t="s">
        <v>425</v>
      </c>
      <c r="D1415" s="26" t="str">
        <f t="array" ref="D14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24AM006</v>
      </c>
      <c r="E1415" s="32" t="str">
        <f t="array" ref="E14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AKSHATHA J</v>
      </c>
      <c r="F1415" s="26" t="str">
        <f t="array" ref="F14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5" s="26" t="str">
        <f t="array" ref="G14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5" s="26" t="str">
        <f t="array" ref="H1415">IF(
MOD(ROW()-2,6)=0,
INDEX('Form Responses'!I:I,INT((ROW()-2)/6)+2),
"-- NA --"
)</f>
        <v>-- NA --</v>
      </c>
      <c r="I1415" s="32" t="str">
        <f t="array" ref="I1415">IF(
MOD(ROW()-2,6)=0,
INDEX('Form Responses'!J:J,INT((ROW()-2)/6)+2),
"-- NA --"
)</f>
        <v>-- NA --</v>
      </c>
      <c r="J1415" s="33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</row>
    <row r="1416">
      <c r="A1416" s="26">
        <v>1415.0</v>
      </c>
      <c r="B1416" s="33"/>
      <c r="C1416" s="26" t="s">
        <v>464</v>
      </c>
      <c r="D1416" s="26" t="str">
        <f t="array" ref="D14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24CS140</v>
      </c>
      <c r="E1416" s="32" t="str">
        <f t="array" ref="E14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MOHAN KAARTHICK C</v>
      </c>
      <c r="F1416" s="26" t="str">
        <f t="array" ref="F14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6" s="26" t="str">
        <f t="array" ref="G14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16" s="26" t="str">
        <f t="array" ref="H1416">IF(
MOD(ROW()-2,6)=0,
INDEX('Form Responses'!I:I,INT((ROW()-2)/6)+2),
"-- NA --"
)</f>
        <v>-- NA --</v>
      </c>
      <c r="I1416" s="32" t="str">
        <f t="array" ref="I1416">IF(
MOD(ROW()-2,6)=0,
INDEX('Form Responses'!J:J,INT((ROW()-2)/6)+2),
"-- NA --"
)</f>
        <v>-- NA --</v>
      </c>
      <c r="J1416" s="33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</row>
    <row r="1417">
      <c r="A1417" s="26">
        <v>1416.0</v>
      </c>
      <c r="B1417" s="6"/>
      <c r="C1417" s="26" t="s">
        <v>500</v>
      </c>
      <c r="D1417" s="26" t="str">
        <f t="array" ref="D14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24EC022</v>
      </c>
      <c r="E1417" s="32" t="str">
        <f t="array" ref="E14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BARATH M</v>
      </c>
      <c r="F1417" s="26" t="str">
        <f t="array" ref="F14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17" s="26" t="str">
        <f t="array" ref="G14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17" s="26" t="str">
        <f t="array" ref="H1417">IF(
MOD(ROW()-2,6)=0,
INDEX('Form Responses'!I:I,INT((ROW()-2)/6)+2),
"-- NA --"
)</f>
        <v>-- NA --</v>
      </c>
      <c r="I1417" s="32" t="str">
        <f t="array" ref="I1417">IF(
MOD(ROW()-2,6)=0,
INDEX('Form Responses'!J:J,INT((ROW()-2)/6)+2),
"-- NA --"
)</f>
        <v>-- NA --</v>
      </c>
      <c r="J1417" s="6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</row>
    <row r="1418">
      <c r="A1418" s="26">
        <v>1417.0</v>
      </c>
      <c r="B1418" s="29" t="str">
        <f t="array" ref="B1418">INDEX('Form Responses'!$C:$C,INT((ROW()-2)/6)+2)</f>
        <v>Buddy Nexus 7</v>
      </c>
      <c r="C1418" s="31" t="s">
        <v>140</v>
      </c>
      <c r="D1418" s="26">
        <f t="array" ref="D14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722825148057</v>
      </c>
      <c r="E1418" s="32" t="str">
        <f t="array" ref="E14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Lalith prabu S G </v>
      </c>
      <c r="F1418" s="26" t="str">
        <f t="array" ref="F14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18" s="26" t="str">
        <f t="array" ref="G14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8" s="26">
        <f t="array" ref="H1418">IF(
MOD(ROW()-2,6)=0,
INDEX('Form Responses'!I:I,INT((ROW()-2)/6)+2),
"-- NA --"
)</f>
        <v>6374746651</v>
      </c>
      <c r="I1418" s="32" t="str">
        <f t="array" ref="I1418">IF(
MOD(ROW()-2,6)=0,
INDEX('Form Responses'!J:J,INT((ROW()-2)/6)+2),
"-- NA --"
)</f>
        <v>lalithprabu1@gmail.com</v>
      </c>
      <c r="J1418" s="29" t="str">
        <f t="array" ref="J1418">INDEX('Form Responses'!$D:$D,INT((ROW()-2)/6)+2)</f>
        <v>Software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</row>
    <row r="1419">
      <c r="A1419" s="26">
        <v>1418.0</v>
      </c>
      <c r="B1419" s="33"/>
      <c r="C1419" s="26" t="s">
        <v>282</v>
      </c>
      <c r="D1419" s="26" t="str">
        <f t="array" ref="D14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25AM038</v>
      </c>
      <c r="E1419" s="32" t="str">
        <f t="array" ref="E14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HARIKRISHNAN K</v>
      </c>
      <c r="F1419" s="26" t="str">
        <f t="array" ref="F14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19" s="26" t="str">
        <f t="array" ref="G14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19" s="26" t="str">
        <f t="array" ref="H1419">IF(
MOD(ROW()-2,6)=0,
INDEX('Form Responses'!I:I,INT((ROW()-2)/6)+2),
"-- NA --"
)</f>
        <v>-- NA --</v>
      </c>
      <c r="I1419" s="32" t="str">
        <f t="array" ref="I1419">IF(
MOD(ROW()-2,6)=0,
INDEX('Form Responses'!J:J,INT((ROW()-2)/6)+2),
"-- NA --"
)</f>
        <v>-- NA --</v>
      </c>
      <c r="J1419" s="33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</row>
    <row r="1420">
      <c r="A1420" s="26">
        <v>1419.0</v>
      </c>
      <c r="B1420" s="33"/>
      <c r="C1420" s="26" t="s">
        <v>385</v>
      </c>
      <c r="D1420" s="26" t="str">
        <f t="array" ref="D14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25AM028</v>
      </c>
      <c r="E1420" s="32" t="str">
        <f t="array" ref="E14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GAYATHRI SS</v>
      </c>
      <c r="F1420" s="26" t="str">
        <f t="array" ref="F14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20" s="26" t="str">
        <f t="array" ref="G14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0" s="26" t="str">
        <f t="array" ref="H1420">IF(
MOD(ROW()-2,6)=0,
INDEX('Form Responses'!I:I,INT((ROW()-2)/6)+2),
"-- NA --"
)</f>
        <v>-- NA --</v>
      </c>
      <c r="I1420" s="32" t="str">
        <f t="array" ref="I1420">IF(
MOD(ROW()-2,6)=0,
INDEX('Form Responses'!J:J,INT((ROW()-2)/6)+2),
"-- NA --"
)</f>
        <v>-- NA --</v>
      </c>
      <c r="J1420" s="33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</row>
    <row r="1421">
      <c r="A1421" s="26">
        <v>1420.0</v>
      </c>
      <c r="B1421" s="33"/>
      <c r="C1421" s="26" t="s">
        <v>425</v>
      </c>
      <c r="D1421" s="26" t="str">
        <f t="array" ref="D14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25IT046</v>
      </c>
      <c r="E1421" s="32" t="str">
        <f t="array" ref="E14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SRINIVASH S</v>
      </c>
      <c r="F1421" s="26" t="str">
        <f t="array" ref="F14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21" s="26" t="str">
        <f t="array" ref="G14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421" s="26" t="str">
        <f t="array" ref="H1421">IF(
MOD(ROW()-2,6)=0,
INDEX('Form Responses'!I:I,INT((ROW()-2)/6)+2),
"-- NA --"
)</f>
        <v>-- NA --</v>
      </c>
      <c r="I1421" s="32" t="str">
        <f t="array" ref="I1421">IF(
MOD(ROW()-2,6)=0,
INDEX('Form Responses'!J:J,INT((ROW()-2)/6)+2),
"-- NA --"
)</f>
        <v>-- NA --</v>
      </c>
      <c r="J1421" s="33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</row>
    <row r="1422">
      <c r="A1422" s="26">
        <v>1421.0</v>
      </c>
      <c r="B1422" s="33"/>
      <c r="C1422" s="26" t="s">
        <v>464</v>
      </c>
      <c r="D1422" s="26" t="str">
        <f t="array" ref="D14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25IT050</v>
      </c>
      <c r="E1422" s="32" t="str">
        <f t="array" ref="E14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SHOBAN AADHITHYA P</v>
      </c>
      <c r="F1422" s="26" t="str">
        <f t="array" ref="F14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22" s="26" t="str">
        <f t="array" ref="G14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2" s="26" t="str">
        <f t="array" ref="H1422">IF(
MOD(ROW()-2,6)=0,
INDEX('Form Responses'!I:I,INT((ROW()-2)/6)+2),
"-- NA --"
)</f>
        <v>-- NA --</v>
      </c>
      <c r="I1422" s="32" t="str">
        <f t="array" ref="I1422">IF(
MOD(ROW()-2,6)=0,
INDEX('Form Responses'!J:J,INT((ROW()-2)/6)+2),
"-- NA --"
)</f>
        <v>-- NA --</v>
      </c>
      <c r="J1422" s="33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</row>
    <row r="1423">
      <c r="A1423" s="26">
        <v>1422.0</v>
      </c>
      <c r="B1423" s="6"/>
      <c r="C1423" s="26" t="s">
        <v>500</v>
      </c>
      <c r="D1423" s="26" t="str">
        <f t="array" ref="D14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25IT042</v>
      </c>
      <c r="E1423" s="32" t="str">
        <f t="array" ref="E14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RAJA R</v>
      </c>
      <c r="F1423" s="26" t="str">
        <f t="array" ref="F14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23" s="26" t="str">
        <f t="array" ref="G14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3" s="26" t="str">
        <f t="array" ref="H1423">IF(
MOD(ROW()-2,6)=0,
INDEX('Form Responses'!I:I,INT((ROW()-2)/6)+2),
"-- NA --"
)</f>
        <v>-- NA --</v>
      </c>
      <c r="I1423" s="32" t="str">
        <f t="array" ref="I1423">IF(
MOD(ROW()-2,6)=0,
INDEX('Form Responses'!J:J,INT((ROW()-2)/6)+2),
"-- NA --"
)</f>
        <v>-- NA --</v>
      </c>
      <c r="J1423" s="6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</row>
    <row r="1424">
      <c r="A1424" s="26">
        <v>1423.0</v>
      </c>
      <c r="B1424" s="29" t="str">
        <f t="array" ref="B1424">INDEX('Form Responses'!$C:$C,INT((ROW()-2)/6)+2)</f>
        <v>STARKTECH</v>
      </c>
      <c r="C1424" s="31" t="s">
        <v>140</v>
      </c>
      <c r="D1424" s="26" t="str">
        <f t="array" ref="D14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24SY024</v>
      </c>
      <c r="E1424" s="32" t="str">
        <f t="array" ref="E14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KAVITHAIPRIYA K</v>
      </c>
      <c r="F1424" s="26" t="str">
        <f t="array" ref="F14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4" s="26" t="str">
        <f t="array" ref="G14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24" s="26">
        <f t="array" ref="H1424">IF(
MOD(ROW()-2,6)=0,
INDEX('Form Responses'!I:I,INT((ROW()-2)/6)+2),
"-- NA --"
)</f>
        <v>8248065698</v>
      </c>
      <c r="I1424" s="32" t="str">
        <f t="array" ref="I1424">IF(
MOD(ROW()-2,6)=0,
INDEX('Form Responses'!J:J,INT((ROW()-2)/6)+2),
"-- NA --"
)</f>
        <v>kavithaipriya.k2024csecs@sece.ac.in</v>
      </c>
      <c r="J1424" s="29" t="str">
        <f t="array" ref="J1424">INDEX('Form Responses'!$D:$D,INT((ROW()-2)/6)+2)</f>
        <v>Software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</row>
    <row r="1425">
      <c r="A1425" s="26">
        <v>1424.0</v>
      </c>
      <c r="B1425" s="33"/>
      <c r="C1425" s="26" t="s">
        <v>282</v>
      </c>
      <c r="D1425" s="26" t="str">
        <f t="array" ref="D14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24SY027</v>
      </c>
      <c r="E1425" s="32" t="str">
        <f t="array" ref="E14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KURALOVIYAN P </v>
      </c>
      <c r="F1425" s="26" t="str">
        <f t="array" ref="F14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5" s="26" t="str">
        <f t="array" ref="G14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25" s="26" t="str">
        <f t="array" ref="H1425">IF(
MOD(ROW()-2,6)=0,
INDEX('Form Responses'!I:I,INT((ROW()-2)/6)+2),
"-- NA --"
)</f>
        <v>-- NA --</v>
      </c>
      <c r="I1425" s="32" t="str">
        <f t="array" ref="I1425">IF(
MOD(ROW()-2,6)=0,
INDEX('Form Responses'!J:J,INT((ROW()-2)/6)+2),
"-- NA --"
)</f>
        <v>-- NA --</v>
      </c>
      <c r="J1425" s="33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</row>
    <row r="1426">
      <c r="A1426" s="26">
        <v>1425.0</v>
      </c>
      <c r="B1426" s="33"/>
      <c r="C1426" s="26" t="s">
        <v>385</v>
      </c>
      <c r="D1426" s="26" t="str">
        <f t="array" ref="D14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24SY048</v>
      </c>
      <c r="E1426" s="32" t="str">
        <f t="array" ref="E14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SHIVATHARUN S </v>
      </c>
      <c r="F1426" s="26" t="str">
        <f t="array" ref="F14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6" s="26" t="str">
        <f t="array" ref="G14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26" s="26" t="str">
        <f t="array" ref="H1426">IF(
MOD(ROW()-2,6)=0,
INDEX('Form Responses'!I:I,INT((ROW()-2)/6)+2),
"-- NA --"
)</f>
        <v>-- NA --</v>
      </c>
      <c r="I1426" s="32" t="str">
        <f t="array" ref="I1426">IF(
MOD(ROW()-2,6)=0,
INDEX('Form Responses'!J:J,INT((ROW()-2)/6)+2),
"-- NA --"
)</f>
        <v>-- NA --</v>
      </c>
      <c r="J1426" s="33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</row>
    <row r="1427">
      <c r="A1427" s="26">
        <v>1426.0</v>
      </c>
      <c r="B1427" s="33"/>
      <c r="C1427" s="26" t="s">
        <v>425</v>
      </c>
      <c r="D1427" s="26" t="str">
        <f t="array" ref="D14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24AM084</v>
      </c>
      <c r="E1427" s="32" t="str">
        <f t="array" ref="E14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SAMPHINEHAS S</v>
      </c>
      <c r="F1427" s="26" t="str">
        <f t="array" ref="F14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7" s="26" t="str">
        <f t="array" ref="G14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7" s="26" t="str">
        <f t="array" ref="H1427">IF(
MOD(ROW()-2,6)=0,
INDEX('Form Responses'!I:I,INT((ROW()-2)/6)+2),
"-- NA --"
)</f>
        <v>-- NA --</v>
      </c>
      <c r="I1427" s="32" t="str">
        <f t="array" ref="I1427">IF(
MOD(ROW()-2,6)=0,
INDEX('Form Responses'!J:J,INT((ROW()-2)/6)+2),
"-- NA --"
)</f>
        <v>-- NA --</v>
      </c>
      <c r="J1427" s="33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</row>
    <row r="1428">
      <c r="A1428" s="26">
        <v>1427.0</v>
      </c>
      <c r="B1428" s="33"/>
      <c r="C1428" s="26" t="s">
        <v>464</v>
      </c>
      <c r="D1428" s="26" t="str">
        <f t="array" ref="D14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24AM088</v>
      </c>
      <c r="E1428" s="32" t="str">
        <f t="array" ref="E14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SANJITH SENTHIL KUMAR</v>
      </c>
      <c r="F1428" s="26" t="str">
        <f t="array" ref="F14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8" s="26" t="str">
        <f t="array" ref="G14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8" s="26" t="str">
        <f t="array" ref="H1428">IF(
MOD(ROW()-2,6)=0,
INDEX('Form Responses'!I:I,INT((ROW()-2)/6)+2),
"-- NA --"
)</f>
        <v>-- NA --</v>
      </c>
      <c r="I1428" s="32" t="str">
        <f t="array" ref="I1428">IF(
MOD(ROW()-2,6)=0,
INDEX('Form Responses'!J:J,INT((ROW()-2)/6)+2),
"-- NA --"
)</f>
        <v>-- NA --</v>
      </c>
      <c r="J1428" s="33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</row>
    <row r="1429">
      <c r="A1429" s="26">
        <v>1428.0</v>
      </c>
      <c r="B1429" s="6"/>
      <c r="C1429" s="26" t="s">
        <v>500</v>
      </c>
      <c r="D1429" s="26" t="str">
        <f t="array" ref="D14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24AM069</v>
      </c>
      <c r="E1429" s="32" t="str">
        <f t="array" ref="E14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POOJALAKSHMI PRATHAA D</v>
      </c>
      <c r="F1429" s="26" t="str">
        <f t="array" ref="F14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29" s="26" t="str">
        <f t="array" ref="G14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29" s="26" t="str">
        <f t="array" ref="H1429">IF(
MOD(ROW()-2,6)=0,
INDEX('Form Responses'!I:I,INT((ROW()-2)/6)+2),
"-- NA --"
)</f>
        <v>-- NA --</v>
      </c>
      <c r="I1429" s="32" t="str">
        <f t="array" ref="I1429">IF(
MOD(ROW()-2,6)=0,
INDEX('Form Responses'!J:J,INT((ROW()-2)/6)+2),
"-- NA --"
)</f>
        <v>-- NA --</v>
      </c>
      <c r="J1429" s="6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</row>
    <row r="1430">
      <c r="A1430" s="26">
        <v>1429.0</v>
      </c>
      <c r="B1430" s="29" t="str">
        <f t="array" ref="B1430">INDEX('Form Responses'!$C:$C,INT((ROW()-2)/6)+2)</f>
        <v>Astra</v>
      </c>
      <c r="C1430" s="31" t="s">
        <v>140</v>
      </c>
      <c r="D1430" s="26" t="str">
        <f t="array" ref="D14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24CS016</v>
      </c>
      <c r="E1430" s="32" t="str">
        <f t="array" ref="E14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Amirtha Varshini N J</v>
      </c>
      <c r="F1430" s="26" t="str">
        <f t="array" ref="F14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0" s="26" t="str">
        <f t="array" ref="G14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30" s="26">
        <f t="array" ref="H1430">IF(
MOD(ROW()-2,6)=0,
INDEX('Form Responses'!I:I,INT((ROW()-2)/6)+2),
"-- NA --"
)</f>
        <v>7339246139</v>
      </c>
      <c r="I1430" s="32" t="str">
        <f t="array" ref="I1430">IF(
MOD(ROW()-2,6)=0,
INDEX('Form Responses'!J:J,INT((ROW()-2)/6)+2),
"-- NA --"
)</f>
        <v>amirthavarshini.nj2024cse@sece.ac.in</v>
      </c>
      <c r="J1430" s="29" t="str">
        <f t="array" ref="J1430">INDEX('Form Responses'!$D:$D,INT((ROW()-2)/6)+2)</f>
        <v>Software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</row>
    <row r="1431">
      <c r="A1431" s="26">
        <v>1430.0</v>
      </c>
      <c r="B1431" s="33"/>
      <c r="C1431" s="26" t="s">
        <v>282</v>
      </c>
      <c r="D1431" s="26" t="str">
        <f t="array" ref="D14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24CS264</v>
      </c>
      <c r="E1431" s="32" t="str">
        <f t="array" ref="E14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Vihashini K S</v>
      </c>
      <c r="F1431" s="26" t="str">
        <f t="array" ref="F14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1" s="26" t="str">
        <f t="array" ref="G14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31" s="26" t="str">
        <f t="array" ref="H1431">IF(
MOD(ROW()-2,6)=0,
INDEX('Form Responses'!I:I,INT((ROW()-2)/6)+2),
"-- NA --"
)</f>
        <v>-- NA --</v>
      </c>
      <c r="I1431" s="32" t="str">
        <f t="array" ref="I1431">IF(
MOD(ROW()-2,6)=0,
INDEX('Form Responses'!J:J,INT((ROW()-2)/6)+2),
"-- NA --"
)</f>
        <v>-- NA --</v>
      </c>
      <c r="J1431" s="33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</row>
    <row r="1432">
      <c r="A1432" s="26">
        <v>1431.0</v>
      </c>
      <c r="B1432" s="33"/>
      <c r="C1432" s="26" t="s">
        <v>385</v>
      </c>
      <c r="D1432" s="26" t="str">
        <f t="array" ref="D14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24CS260</v>
      </c>
      <c r="E1432" s="32" t="str">
        <f t="array" ref="E14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Vasanth M</v>
      </c>
      <c r="F1432" s="26" t="str">
        <f t="array" ref="F14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2" s="26" t="str">
        <f t="array" ref="G14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32" s="26" t="str">
        <f t="array" ref="H1432">IF(
MOD(ROW()-2,6)=0,
INDEX('Form Responses'!I:I,INT((ROW()-2)/6)+2),
"-- NA --"
)</f>
        <v>-- NA --</v>
      </c>
      <c r="I1432" s="32" t="str">
        <f t="array" ref="I1432">IF(
MOD(ROW()-2,6)=0,
INDEX('Form Responses'!J:J,INT((ROW()-2)/6)+2),
"-- NA --"
)</f>
        <v>-- NA --</v>
      </c>
      <c r="J1432" s="33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</row>
    <row r="1433">
      <c r="A1433" s="26">
        <v>1432.0</v>
      </c>
      <c r="B1433" s="33"/>
      <c r="C1433" s="26" t="s">
        <v>425</v>
      </c>
      <c r="D1433" s="26" t="str">
        <f t="array" ref="D14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24CS265</v>
      </c>
      <c r="E1433" s="32" t="str">
        <f t="array" ref="E14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Vimal V</v>
      </c>
      <c r="F1433" s="26" t="str">
        <f t="array" ref="F14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3" s="26" t="str">
        <f t="array" ref="G14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33" s="26" t="str">
        <f t="array" ref="H1433">IF(
MOD(ROW()-2,6)=0,
INDEX('Form Responses'!I:I,INT((ROW()-2)/6)+2),
"-- NA --"
)</f>
        <v>-- NA --</v>
      </c>
      <c r="I1433" s="32" t="str">
        <f t="array" ref="I1433">IF(
MOD(ROW()-2,6)=0,
INDEX('Form Responses'!J:J,INT((ROW()-2)/6)+2),
"-- NA --"
)</f>
        <v>-- NA --</v>
      </c>
      <c r="J1433" s="33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</row>
    <row r="1434">
      <c r="A1434" s="26">
        <v>1433.0</v>
      </c>
      <c r="B1434" s="33"/>
      <c r="C1434" s="26" t="s">
        <v>464</v>
      </c>
      <c r="D1434" s="26" t="str">
        <f t="array" ref="D14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24AD076</v>
      </c>
      <c r="E1434" s="32" t="str">
        <f t="array" ref="E14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Jaswan L</v>
      </c>
      <c r="F1434" s="26" t="str">
        <f t="array" ref="F14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4" s="26" t="str">
        <f t="array" ref="G14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34" s="26" t="str">
        <f t="array" ref="H1434">IF(
MOD(ROW()-2,6)=0,
INDEX('Form Responses'!I:I,INT((ROW()-2)/6)+2),
"-- NA --"
)</f>
        <v>-- NA --</v>
      </c>
      <c r="I1434" s="32" t="str">
        <f t="array" ref="I1434">IF(
MOD(ROW()-2,6)=0,
INDEX('Form Responses'!J:J,INT((ROW()-2)/6)+2),
"-- NA --"
)</f>
        <v>-- NA --</v>
      </c>
      <c r="J1434" s="33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</row>
    <row r="1435">
      <c r="A1435" s="26">
        <v>1434.0</v>
      </c>
      <c r="B1435" s="6"/>
      <c r="C1435" s="26" t="s">
        <v>500</v>
      </c>
      <c r="D1435" s="26" t="str">
        <f t="array" ref="D14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24CS273</v>
      </c>
      <c r="E1435" s="32" t="str">
        <f t="array" ref="E14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Yokesh G</v>
      </c>
      <c r="F1435" s="26" t="str">
        <f t="array" ref="F14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5" s="26" t="str">
        <f t="array" ref="G14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35" s="26" t="str">
        <f t="array" ref="H1435">IF(
MOD(ROW()-2,6)=0,
INDEX('Form Responses'!I:I,INT((ROW()-2)/6)+2),
"-- NA --"
)</f>
        <v>-- NA --</v>
      </c>
      <c r="I1435" s="32" t="str">
        <f t="array" ref="I1435">IF(
MOD(ROW()-2,6)=0,
INDEX('Form Responses'!J:J,INT((ROW()-2)/6)+2),
"-- NA --"
)</f>
        <v>-- NA --</v>
      </c>
      <c r="J1435" s="6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</row>
    <row r="1436">
      <c r="A1436" s="26">
        <v>1435.0</v>
      </c>
      <c r="B1436" s="29" t="str">
        <f t="array" ref="B1436">INDEX('Form Responses'!$C:$C,INT((ROW()-2)/6)+2)</f>
        <v>Carpe Diem </v>
      </c>
      <c r="C1436" s="31" t="s">
        <v>140</v>
      </c>
      <c r="D1436" s="26" t="str">
        <f t="array" ref="D14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24AD082</v>
      </c>
      <c r="E1436" s="32" t="str">
        <f t="array" ref="E14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Jayanth Pravin R P </v>
      </c>
      <c r="F1436" s="26" t="str">
        <f t="array" ref="F14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6" s="26" t="str">
        <f t="array" ref="G14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36" s="26">
        <f t="array" ref="H1436">IF(
MOD(ROW()-2,6)=0,
INDEX('Form Responses'!I:I,INT((ROW()-2)/6)+2),
"-- NA --"
)</f>
        <v>8825626830</v>
      </c>
      <c r="I1436" s="32" t="str">
        <f t="array" ref="I1436">IF(
MOD(ROW()-2,6)=0,
INDEX('Form Responses'!J:J,INT((ROW()-2)/6)+2),
"-- NA --"
)</f>
        <v>jayanthpravin.rp2024aids@sece.ac.in</v>
      </c>
      <c r="J1436" s="29" t="str">
        <f t="array" ref="J1436">INDEX('Form Responses'!$D:$D,INT((ROW()-2)/6)+2)</f>
        <v>Software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</row>
    <row r="1437">
      <c r="A1437" s="26">
        <v>1436.0</v>
      </c>
      <c r="B1437" s="33"/>
      <c r="C1437" s="26" t="s">
        <v>282</v>
      </c>
      <c r="D1437" s="26" t="str">
        <f t="array" ref="D14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24AM104</v>
      </c>
      <c r="E1437" s="32" t="str">
        <f t="array" ref="E14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Sruthi R</v>
      </c>
      <c r="F1437" s="26" t="str">
        <f t="array" ref="F14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7" s="26" t="str">
        <f t="array" ref="G14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37" s="26" t="str">
        <f t="array" ref="H1437">IF(
MOD(ROW()-2,6)=0,
INDEX('Form Responses'!I:I,INT((ROW()-2)/6)+2),
"-- NA --"
)</f>
        <v>-- NA --</v>
      </c>
      <c r="I1437" s="32" t="str">
        <f t="array" ref="I1437">IF(
MOD(ROW()-2,6)=0,
INDEX('Form Responses'!J:J,INT((ROW()-2)/6)+2),
"-- NA --"
)</f>
        <v>-- NA --</v>
      </c>
      <c r="J1437" s="33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</row>
    <row r="1438">
      <c r="A1438" s="26">
        <v>1437.0</v>
      </c>
      <c r="B1438" s="33"/>
      <c r="C1438" s="26" t="s">
        <v>385</v>
      </c>
      <c r="D1438" s="26" t="str">
        <f t="array" ref="D14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24AD070</v>
      </c>
      <c r="E1438" s="32" t="str">
        <f t="array" ref="E14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Iniyaa M</v>
      </c>
      <c r="F1438" s="26" t="str">
        <f t="array" ref="F14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8" s="26" t="str">
        <f t="array" ref="G14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38" s="26" t="str">
        <f t="array" ref="H1438">IF(
MOD(ROW()-2,6)=0,
INDEX('Form Responses'!I:I,INT((ROW()-2)/6)+2),
"-- NA --"
)</f>
        <v>-- NA --</v>
      </c>
      <c r="I1438" s="32" t="str">
        <f t="array" ref="I1438">IF(
MOD(ROW()-2,6)=0,
INDEX('Form Responses'!J:J,INT((ROW()-2)/6)+2),
"-- NA --"
)</f>
        <v>-- NA --</v>
      </c>
      <c r="J1438" s="33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</row>
    <row r="1439">
      <c r="A1439" s="26">
        <v>1438.0</v>
      </c>
      <c r="B1439" s="33"/>
      <c r="C1439" s="26" t="s">
        <v>425</v>
      </c>
      <c r="D1439" s="26" t="str">
        <f t="array" ref="D14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24EC168</v>
      </c>
      <c r="E1439" s="32" t="str">
        <f t="array" ref="E14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 Jayakumar</v>
      </c>
      <c r="F1439" s="26" t="str">
        <f t="array" ref="F14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39" s="26" t="str">
        <f t="array" ref="G14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39" s="26" t="str">
        <f t="array" ref="H1439">IF(
MOD(ROW()-2,6)=0,
INDEX('Form Responses'!I:I,INT((ROW()-2)/6)+2),
"-- NA --"
)</f>
        <v>-- NA --</v>
      </c>
      <c r="I1439" s="32" t="str">
        <f t="array" ref="I1439">IF(
MOD(ROW()-2,6)=0,
INDEX('Form Responses'!J:J,INT((ROW()-2)/6)+2),
"-- NA --"
)</f>
        <v>-- NA --</v>
      </c>
      <c r="J1439" s="33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</row>
    <row r="1440">
      <c r="A1440" s="26">
        <v>1439.0</v>
      </c>
      <c r="B1440" s="33"/>
      <c r="C1440" s="26" t="s">
        <v>464</v>
      </c>
      <c r="D1440" s="26" t="str">
        <f t="array" ref="D14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24AD087</v>
      </c>
      <c r="E1440" s="32" t="str">
        <f t="array" ref="E14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Kaaviyanesh M</v>
      </c>
      <c r="F1440" s="26" t="str">
        <f t="array" ref="F14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40" s="26" t="str">
        <f t="array" ref="G14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40" s="26" t="str">
        <f t="array" ref="H1440">IF(
MOD(ROW()-2,6)=0,
INDEX('Form Responses'!I:I,INT((ROW()-2)/6)+2),
"-- NA --"
)</f>
        <v>-- NA --</v>
      </c>
      <c r="I1440" s="32" t="str">
        <f t="array" ref="I1440">IF(
MOD(ROW()-2,6)=0,
INDEX('Form Responses'!J:J,INT((ROW()-2)/6)+2),
"-- NA --"
)</f>
        <v>-- NA --</v>
      </c>
      <c r="J1440" s="33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</row>
    <row r="1441">
      <c r="A1441" s="26">
        <v>1440.0</v>
      </c>
      <c r="B1441" s="6"/>
      <c r="C1441" s="26" t="s">
        <v>500</v>
      </c>
      <c r="D1441" s="26" t="str">
        <f t="array" ref="D14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25AD176</v>
      </c>
      <c r="E1441" s="32" t="str">
        <f t="array" ref="E14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Sachin sidharth </v>
      </c>
      <c r="F1441" s="26" t="str">
        <f t="array" ref="F14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1" s="26" t="str">
        <f t="array" ref="G14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41" s="26" t="str">
        <f t="array" ref="H1441">IF(
MOD(ROW()-2,6)=0,
INDEX('Form Responses'!I:I,INT((ROW()-2)/6)+2),
"-- NA --"
)</f>
        <v>-- NA --</v>
      </c>
      <c r="I1441" s="32" t="str">
        <f t="array" ref="I1441">IF(
MOD(ROW()-2,6)=0,
INDEX('Form Responses'!J:J,INT((ROW()-2)/6)+2),
"-- NA --"
)</f>
        <v>-- NA --</v>
      </c>
      <c r="J1441" s="6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</row>
    <row r="1442">
      <c r="A1442" s="26">
        <v>1441.0</v>
      </c>
      <c r="B1442" s="29" t="str">
        <f t="array" ref="B1442">INDEX('Form Responses'!$C:$C,INT((ROW()-2)/6)+2)</f>
        <v>TEAM EVRIC</v>
      </c>
      <c r="C1442" s="31" t="s">
        <v>140</v>
      </c>
      <c r="D1442" s="26" t="str">
        <f t="array" ref="D14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25AM026</v>
      </c>
      <c r="E1442" s="32" t="str">
        <f t="array" ref="E14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GAUTHAM M A</v>
      </c>
      <c r="F1442" s="26" t="str">
        <f t="array" ref="F14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2" s="26" t="str">
        <f t="array" ref="G14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42" s="26">
        <f t="array" ref="H1442">IF(
MOD(ROW()-2,6)=0,
INDEX('Form Responses'!I:I,INT((ROW()-2)/6)+2),
"-- NA --"
)</f>
        <v>8220168505</v>
      </c>
      <c r="I1442" s="32" t="str">
        <f t="array" ref="I1442">IF(
MOD(ROW()-2,6)=0,
INDEX('Form Responses'!J:J,INT((ROW()-2)/6)+2),
"-- NA --"
)</f>
        <v>gautham.ma2025aiml@sece.ac.in  </v>
      </c>
      <c r="J1442" s="29" t="str">
        <f t="array" ref="J1442">INDEX('Form Responses'!$D:$D,INT((ROW()-2)/6)+2)</f>
        <v>Software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</row>
    <row r="1443">
      <c r="A1443" s="26">
        <v>1442.0</v>
      </c>
      <c r="B1443" s="33"/>
      <c r="C1443" s="26" t="s">
        <v>282</v>
      </c>
      <c r="D1443" s="26" t="str">
        <f t="array" ref="D14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25AM025</v>
      </c>
      <c r="E1443" s="32" t="str">
        <f t="array" ref="E14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 K</v>
      </c>
      <c r="F1443" s="26" t="str">
        <f t="array" ref="F14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3" s="26" t="str">
        <f t="array" ref="G14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43" s="26" t="str">
        <f t="array" ref="H1443">IF(
MOD(ROW()-2,6)=0,
INDEX('Form Responses'!I:I,INT((ROW()-2)/6)+2),
"-- NA --"
)</f>
        <v>-- NA --</v>
      </c>
      <c r="I1443" s="32" t="str">
        <f t="array" ref="I1443">IF(
MOD(ROW()-2,6)=0,
INDEX('Form Responses'!J:J,INT((ROW()-2)/6)+2),
"-- NA --"
)</f>
        <v>-- NA --</v>
      </c>
      <c r="J1443" s="33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</row>
    <row r="1444">
      <c r="A1444" s="26">
        <v>1443.0</v>
      </c>
      <c r="B1444" s="33"/>
      <c r="C1444" s="26" t="s">
        <v>385</v>
      </c>
      <c r="D1444" s="26" t="str">
        <f t="array" ref="D14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25AM046</v>
      </c>
      <c r="E1444" s="32" t="str">
        <f t="array" ref="E14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JAYASURIYA S</v>
      </c>
      <c r="F1444" s="26" t="str">
        <f t="array" ref="F14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4" s="26" t="str">
        <f t="array" ref="G14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44" s="26" t="str">
        <f t="array" ref="H1444">IF(
MOD(ROW()-2,6)=0,
INDEX('Form Responses'!I:I,INT((ROW()-2)/6)+2),
"-- NA --"
)</f>
        <v>-- NA --</v>
      </c>
      <c r="I1444" s="32" t="str">
        <f t="array" ref="I1444">IF(
MOD(ROW()-2,6)=0,
INDEX('Form Responses'!J:J,INT((ROW()-2)/6)+2),
"-- NA --"
)</f>
        <v>-- NA --</v>
      </c>
      <c r="J1444" s="33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</row>
    <row r="1445">
      <c r="A1445" s="26">
        <v>1444.0</v>
      </c>
      <c r="B1445" s="33"/>
      <c r="C1445" s="26" t="s">
        <v>425</v>
      </c>
      <c r="D1445" s="26" t="str">
        <f t="array" ref="D14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25AM041</v>
      </c>
      <c r="E1445" s="32" t="str">
        <f t="array" ref="E14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HARSHADHA M</v>
      </c>
      <c r="F1445" s="26" t="str">
        <f t="array" ref="F14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5" s="26" t="str">
        <f t="array" ref="G14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45" s="26" t="str">
        <f t="array" ref="H1445">IF(
MOD(ROW()-2,6)=0,
INDEX('Form Responses'!I:I,INT((ROW()-2)/6)+2),
"-- NA --"
)</f>
        <v>-- NA --</v>
      </c>
      <c r="I1445" s="32" t="str">
        <f t="array" ref="I1445">IF(
MOD(ROW()-2,6)=0,
INDEX('Form Responses'!J:J,INT((ROW()-2)/6)+2),
"-- NA --"
)</f>
        <v>-- NA --</v>
      </c>
      <c r="J1445" s="33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</row>
    <row r="1446">
      <c r="A1446" s="26">
        <v>1445.0</v>
      </c>
      <c r="B1446" s="33"/>
      <c r="C1446" s="26" t="s">
        <v>464</v>
      </c>
      <c r="D1446" s="26" t="str">
        <f t="array" ref="D14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25EC009</v>
      </c>
      <c r="E1446" s="32" t="str">
        <f t="array" ref="E14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AJAYVISHNU A</v>
      </c>
      <c r="F1446" s="26" t="str">
        <f t="array" ref="F14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6" s="26" t="str">
        <f t="array" ref="G14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46" s="26" t="str">
        <f t="array" ref="H1446">IF(
MOD(ROW()-2,6)=0,
INDEX('Form Responses'!I:I,INT((ROW()-2)/6)+2),
"-- NA --"
)</f>
        <v>-- NA --</v>
      </c>
      <c r="I1446" s="32" t="str">
        <f t="array" ref="I1446">IF(
MOD(ROW()-2,6)=0,
INDEX('Form Responses'!J:J,INT((ROW()-2)/6)+2),
"-- NA --"
)</f>
        <v>-- NA --</v>
      </c>
      <c r="J1446" s="33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</row>
    <row r="1447">
      <c r="A1447" s="26">
        <v>1446.0</v>
      </c>
      <c r="B1447" s="6"/>
      <c r="C1447" s="26" t="s">
        <v>500</v>
      </c>
      <c r="D1447" s="26" t="str">
        <f t="array" ref="D14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25AM060</v>
      </c>
      <c r="E1447" s="32" t="str">
        <f t="array" ref="E14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MAGILESH M B</v>
      </c>
      <c r="F1447" s="26" t="str">
        <f t="array" ref="F14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7" s="26" t="str">
        <f t="array" ref="G14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47" s="26" t="str">
        <f t="array" ref="H1447">IF(
MOD(ROW()-2,6)=0,
INDEX('Form Responses'!I:I,INT((ROW()-2)/6)+2),
"-- NA --"
)</f>
        <v>-- NA --</v>
      </c>
      <c r="I1447" s="32" t="str">
        <f t="array" ref="I1447">IF(
MOD(ROW()-2,6)=0,
INDEX('Form Responses'!J:J,INT((ROW()-2)/6)+2),
"-- NA --"
)</f>
        <v>-- NA --</v>
      </c>
      <c r="J1447" s="6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</row>
    <row r="1448">
      <c r="A1448" s="26">
        <v>1447.0</v>
      </c>
      <c r="B1448" s="29" t="str">
        <f t="array" ref="B1448">INDEX('Form Responses'!$C:$C,INT((ROW()-2)/6)+2)</f>
        <v>Team Ind   o</v>
      </c>
      <c r="C1448" s="31" t="s">
        <v>140</v>
      </c>
      <c r="D1448" s="26" t="str">
        <f t="array" ref="D14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25CB301</v>
      </c>
      <c r="E1448" s="32" t="str">
        <f t="array" ref="E14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Lavanya G</v>
      </c>
      <c r="F1448" s="26" t="str">
        <f t="array" ref="F14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8" s="26" t="str">
        <f t="array" ref="G14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448" s="26">
        <f t="array" ref="H1448">IF(
MOD(ROW()-2,6)=0,
INDEX('Form Responses'!I:I,INT((ROW()-2)/6)+2),
"-- NA --"
)</f>
        <v>8825623776</v>
      </c>
      <c r="I1448" s="32" t="str">
        <f t="array" ref="I1448">IF(
MOD(ROW()-2,6)=0,
INDEX('Form Responses'!J:J,INT((ROW()-2)/6)+2),
"-- NA --"
)</f>
        <v>lavanya.g2025lcsbs@sece.ac.in</v>
      </c>
      <c r="J1448" s="29" t="str">
        <f t="array" ref="J1448">INDEX('Form Responses'!$D:$D,INT((ROW()-2)/6)+2)</f>
        <v>Software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</row>
    <row r="1449">
      <c r="A1449" s="26">
        <v>1448.0</v>
      </c>
      <c r="B1449" s="33"/>
      <c r="C1449" s="26" t="s">
        <v>282</v>
      </c>
      <c r="D1449" s="26" t="str">
        <f t="array" ref="D14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25CB059</v>
      </c>
      <c r="E1449" s="32" t="str">
        <f t="array" ref="E14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Vishali S</v>
      </c>
      <c r="F1449" s="26" t="str">
        <f t="array" ref="F14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49" s="26" t="str">
        <f t="array" ref="G14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449" s="26" t="str">
        <f t="array" ref="H1449">IF(
MOD(ROW()-2,6)=0,
INDEX('Form Responses'!I:I,INT((ROW()-2)/6)+2),
"-- NA --"
)</f>
        <v>-- NA --</v>
      </c>
      <c r="I1449" s="32" t="str">
        <f t="array" ref="I1449">IF(
MOD(ROW()-2,6)=0,
INDEX('Form Responses'!J:J,INT((ROW()-2)/6)+2),
"-- NA --"
)</f>
        <v>-- NA --</v>
      </c>
      <c r="J1449" s="33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</row>
    <row r="1450">
      <c r="A1450" s="26">
        <v>1449.0</v>
      </c>
      <c r="B1450" s="33"/>
      <c r="C1450" s="26" t="s">
        <v>385</v>
      </c>
      <c r="D1450" s="26" t="str">
        <f t="array" ref="D14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25CB037</v>
      </c>
      <c r="E1450" s="32" t="str">
        <f t="array" ref="E14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Rinitha M</v>
      </c>
      <c r="F1450" s="26" t="str">
        <f t="array" ref="F14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0" s="26" t="str">
        <f t="array" ref="G14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450" s="26" t="str">
        <f t="array" ref="H1450">IF(
MOD(ROW()-2,6)=0,
INDEX('Form Responses'!I:I,INT((ROW()-2)/6)+2),
"-- NA --"
)</f>
        <v>-- NA --</v>
      </c>
      <c r="I1450" s="32" t="str">
        <f t="array" ref="I1450">IF(
MOD(ROW()-2,6)=0,
INDEX('Form Responses'!J:J,INT((ROW()-2)/6)+2),
"-- NA --"
)</f>
        <v>-- NA --</v>
      </c>
      <c r="J1450" s="33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</row>
    <row r="1451">
      <c r="A1451" s="26">
        <v>1450.0</v>
      </c>
      <c r="B1451" s="33"/>
      <c r="C1451" s="26" t="s">
        <v>425</v>
      </c>
      <c r="D1451" s="26" t="str">
        <f t="array" ref="D14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25CB036</v>
      </c>
      <c r="E1451" s="32" t="str">
        <f t="array" ref="E14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Prem Rohsan S</v>
      </c>
      <c r="F1451" s="26" t="str">
        <f t="array" ref="F14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1" s="26" t="str">
        <f t="array" ref="G14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451" s="26" t="str">
        <f t="array" ref="H1451">IF(
MOD(ROW()-2,6)=0,
INDEX('Form Responses'!I:I,INT((ROW()-2)/6)+2),
"-- NA --"
)</f>
        <v>-- NA --</v>
      </c>
      <c r="I1451" s="32" t="str">
        <f t="array" ref="I1451">IF(
MOD(ROW()-2,6)=0,
INDEX('Form Responses'!J:J,INT((ROW()-2)/6)+2),
"-- NA --"
)</f>
        <v>-- NA --</v>
      </c>
      <c r="J1451" s="33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</row>
    <row r="1452">
      <c r="A1452" s="26">
        <v>1451.0</v>
      </c>
      <c r="B1452" s="33"/>
      <c r="C1452" s="26" t="s">
        <v>464</v>
      </c>
      <c r="D1452" s="26" t="str">
        <f t="array" ref="D14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25EC052</v>
      </c>
      <c r="E1452" s="32" t="str">
        <f t="array" ref="E14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HariKrishnan.M</v>
      </c>
      <c r="F1452" s="26" t="str">
        <f t="array" ref="F14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2" s="26" t="str">
        <f t="array" ref="G14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52" s="26" t="str">
        <f t="array" ref="H1452">IF(
MOD(ROW()-2,6)=0,
INDEX('Form Responses'!I:I,INT((ROW()-2)/6)+2),
"-- NA --"
)</f>
        <v>-- NA --</v>
      </c>
      <c r="I1452" s="32" t="str">
        <f t="array" ref="I1452">IF(
MOD(ROW()-2,6)=0,
INDEX('Form Responses'!J:J,INT((ROW()-2)/6)+2),
"-- NA --"
)</f>
        <v>-- NA --</v>
      </c>
      <c r="J1452" s="33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</row>
    <row r="1453">
      <c r="A1453" s="26">
        <v>1452.0</v>
      </c>
      <c r="B1453" s="6"/>
      <c r="C1453" s="26" t="s">
        <v>500</v>
      </c>
      <c r="D1453" s="26" t="str">
        <f t="array" ref="D14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25CS242</v>
      </c>
      <c r="E1453" s="32" t="str">
        <f t="array" ref="E14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vasanthakumari V R</v>
      </c>
      <c r="F1453" s="26" t="str">
        <f t="array" ref="F14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3" s="26" t="str">
        <f t="array" ref="G14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53" s="26" t="str">
        <f t="array" ref="H1453">IF(
MOD(ROW()-2,6)=0,
INDEX('Form Responses'!I:I,INT((ROW()-2)/6)+2),
"-- NA --"
)</f>
        <v>-- NA --</v>
      </c>
      <c r="I1453" s="32" t="str">
        <f t="array" ref="I1453">IF(
MOD(ROW()-2,6)=0,
INDEX('Form Responses'!J:J,INT((ROW()-2)/6)+2),
"-- NA --"
)</f>
        <v>-- NA --</v>
      </c>
      <c r="J1453" s="6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</row>
    <row r="1454">
      <c r="A1454" s="26">
        <v>1453.0</v>
      </c>
      <c r="B1454" s="29" t="str">
        <f t="array" ref="B1454">INDEX('Form Responses'!$C:$C,INT((ROW()-2)/6)+2)</f>
        <v>TEAM NOVA</v>
      </c>
      <c r="C1454" s="31" t="s">
        <v>140</v>
      </c>
      <c r="D1454" s="26" t="str">
        <f t="array" ref="D14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24AM021</v>
      </c>
      <c r="E1454" s="32" t="str">
        <f t="array" ref="E14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DHARUNKUMAR S</v>
      </c>
      <c r="F1454" s="26" t="str">
        <f t="array" ref="F14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54" s="26" t="str">
        <f t="array" ref="G14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54" s="26">
        <f t="array" ref="H1454">IF(
MOD(ROW()-2,6)=0,
INDEX('Form Responses'!I:I,INT((ROW()-2)/6)+2),
"-- NA --"
)</f>
        <v>9597158465</v>
      </c>
      <c r="I1454" s="32" t="str">
        <f t="array" ref="I1454">IF(
MOD(ROW()-2,6)=0,
INDEX('Form Responses'!J:J,INT((ROW()-2)/6)+2),
"-- NA --"
)</f>
        <v>dharunkumar.s2024aiml@sece.ac.in</v>
      </c>
      <c r="J1454" s="29" t="str">
        <f t="array" ref="J1454">INDEX('Form Responses'!$D:$D,INT((ROW()-2)/6)+2)</f>
        <v>Hardware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</row>
    <row r="1455">
      <c r="A1455" s="26">
        <v>1454.0</v>
      </c>
      <c r="B1455" s="33"/>
      <c r="C1455" s="26" t="s">
        <v>282</v>
      </c>
      <c r="D1455" s="26" t="str">
        <f t="array" ref="D14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24AM022</v>
      </c>
      <c r="E1455" s="32" t="str">
        <f t="array" ref="E14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DIVYANANDH A S</v>
      </c>
      <c r="F1455" s="26" t="str">
        <f t="array" ref="F14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55" s="26" t="str">
        <f t="array" ref="G14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55" s="26" t="str">
        <f t="array" ref="H1455">IF(
MOD(ROW()-2,6)=0,
INDEX('Form Responses'!I:I,INT((ROW()-2)/6)+2),
"-- NA --"
)</f>
        <v>-- NA --</v>
      </c>
      <c r="I1455" s="32" t="str">
        <f t="array" ref="I1455">IF(
MOD(ROW()-2,6)=0,
INDEX('Form Responses'!J:J,INT((ROW()-2)/6)+2),
"-- NA --"
)</f>
        <v>-- NA --</v>
      </c>
      <c r="J1455" s="33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</row>
    <row r="1456">
      <c r="A1456" s="26">
        <v>1455.0</v>
      </c>
      <c r="B1456" s="33"/>
      <c r="C1456" s="26" t="s">
        <v>385</v>
      </c>
      <c r="D1456" s="26" t="str">
        <f t="array" ref="D14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24AM036</v>
      </c>
      <c r="E1456" s="32" t="str">
        <f t="array" ref="E14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JANANISHREE G</v>
      </c>
      <c r="F1456" s="26" t="str">
        <f t="array" ref="F14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56" s="26" t="str">
        <f t="array" ref="G14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56" s="26" t="str">
        <f t="array" ref="H1456">IF(
MOD(ROW()-2,6)=0,
INDEX('Form Responses'!I:I,INT((ROW()-2)/6)+2),
"-- NA --"
)</f>
        <v>-- NA --</v>
      </c>
      <c r="I1456" s="32" t="str">
        <f t="array" ref="I1456">IF(
MOD(ROW()-2,6)=0,
INDEX('Form Responses'!J:J,INT((ROW()-2)/6)+2),
"-- NA --"
)</f>
        <v>-- NA --</v>
      </c>
      <c r="J1456" s="33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</row>
    <row r="1457">
      <c r="A1457" s="26">
        <v>1456.0</v>
      </c>
      <c r="B1457" s="33"/>
      <c r="C1457" s="26" t="s">
        <v>425</v>
      </c>
      <c r="D1457" s="26" t="str">
        <f t="array" ref="D14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24AM002</v>
      </c>
      <c r="E1457" s="32" t="str">
        <f t="array" ref="E14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ADITH V C</v>
      </c>
      <c r="F1457" s="26" t="str">
        <f t="array" ref="F14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57" s="26" t="str">
        <f t="array" ref="G14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57" s="26" t="str">
        <f t="array" ref="H1457">IF(
MOD(ROW()-2,6)=0,
INDEX('Form Responses'!I:I,INT((ROW()-2)/6)+2),
"-- NA --"
)</f>
        <v>-- NA --</v>
      </c>
      <c r="I1457" s="32" t="str">
        <f t="array" ref="I1457">IF(
MOD(ROW()-2,6)=0,
INDEX('Form Responses'!J:J,INT((ROW()-2)/6)+2),
"-- NA --"
)</f>
        <v>-- NA --</v>
      </c>
      <c r="J1457" s="33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</row>
    <row r="1458">
      <c r="A1458" s="26">
        <v>1457.0</v>
      </c>
      <c r="B1458" s="33"/>
      <c r="C1458" s="26" t="s">
        <v>464</v>
      </c>
      <c r="D1458" s="26" t="str">
        <f t="array" ref="D14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24AD136</v>
      </c>
      <c r="E1458" s="32" t="str">
        <f t="array" ref="E14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MUKILAN MUTHUKUMAR K</v>
      </c>
      <c r="F1458" s="26" t="str">
        <f t="array" ref="F14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58" s="26" t="str">
        <f t="array" ref="G14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58" s="26" t="str">
        <f t="array" ref="H1458">IF(
MOD(ROW()-2,6)=0,
INDEX('Form Responses'!I:I,INT((ROW()-2)/6)+2),
"-- NA --"
)</f>
        <v>-- NA --</v>
      </c>
      <c r="I1458" s="32" t="str">
        <f t="array" ref="I1458">IF(
MOD(ROW()-2,6)=0,
INDEX('Form Responses'!J:J,INT((ROW()-2)/6)+2),
"-- NA --"
)</f>
        <v>-- NA --</v>
      </c>
      <c r="J1458" s="33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</row>
    <row r="1459">
      <c r="A1459" s="26">
        <v>1458.0</v>
      </c>
      <c r="B1459" s="6"/>
      <c r="C1459" s="26" t="s">
        <v>500</v>
      </c>
      <c r="D1459" s="26" t="str">
        <f t="array" ref="D14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25AM070</v>
      </c>
      <c r="E1459" s="32" t="str">
        <f t="array" ref="E14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NISHALINI R K </v>
      </c>
      <c r="F1459" s="26" t="str">
        <f t="array" ref="F14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59" s="26" t="str">
        <f t="array" ref="G14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59" s="26" t="str">
        <f t="array" ref="H1459">IF(
MOD(ROW()-2,6)=0,
INDEX('Form Responses'!I:I,INT((ROW()-2)/6)+2),
"-- NA --"
)</f>
        <v>-- NA --</v>
      </c>
      <c r="I1459" s="32" t="str">
        <f t="array" ref="I1459">IF(
MOD(ROW()-2,6)=0,
INDEX('Form Responses'!J:J,INT((ROW()-2)/6)+2),
"-- NA --"
)</f>
        <v>-- NA --</v>
      </c>
      <c r="J1459" s="6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</row>
    <row r="1460">
      <c r="A1460" s="26">
        <v>1459.0</v>
      </c>
      <c r="B1460" s="29" t="str">
        <f t="array" ref="B1460">INDEX('Form Responses'!$C:$C,INT((ROW()-2)/6)+2)</f>
        <v>THINKSPHERE </v>
      </c>
      <c r="C1460" s="31" t="s">
        <v>140</v>
      </c>
      <c r="D1460" s="26" t="str">
        <f t="array" ref="D14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25AD070</v>
      </c>
      <c r="E1460" s="32" t="str">
        <f t="array" ref="E14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HARSHINI B</v>
      </c>
      <c r="F1460" s="26" t="str">
        <f t="array" ref="F14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0" s="26" t="str">
        <f t="array" ref="G14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0" s="26">
        <f t="array" ref="H1460">IF(
MOD(ROW()-2,6)=0,
INDEX('Form Responses'!I:I,INT((ROW()-2)/6)+2),
"-- NA --"
)</f>
        <v>8056161713</v>
      </c>
      <c r="I1460" s="32" t="str">
        <f t="array" ref="I1460">IF(
MOD(ROW()-2,6)=0,
INDEX('Form Responses'!J:J,INT((ROW()-2)/6)+2),
"-- NA --"
)</f>
        <v>harshini.b2025aids@sece.ac.in</v>
      </c>
      <c r="J1460" s="29" t="str">
        <f t="array" ref="J1460">INDEX('Form Responses'!$D:$D,INT((ROW()-2)/6)+2)</f>
        <v>Software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</row>
    <row r="1461">
      <c r="A1461" s="26">
        <v>1460.0</v>
      </c>
      <c r="B1461" s="33"/>
      <c r="C1461" s="26" t="s">
        <v>282</v>
      </c>
      <c r="D1461" s="26" t="str">
        <f t="array" ref="D14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25AD079</v>
      </c>
      <c r="E1461" s="32" t="str">
        <f t="array" ref="E14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JAYAVARSHA K</v>
      </c>
      <c r="F1461" s="26" t="str">
        <f t="array" ref="F14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1" s="26" t="str">
        <f t="array" ref="G14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1" s="26" t="str">
        <f t="array" ref="H1461">IF(
MOD(ROW()-2,6)=0,
INDEX('Form Responses'!I:I,INT((ROW()-2)/6)+2),
"-- NA --"
)</f>
        <v>-- NA --</v>
      </c>
      <c r="I1461" s="32" t="str">
        <f t="array" ref="I1461">IF(
MOD(ROW()-2,6)=0,
INDEX('Form Responses'!J:J,INT((ROW()-2)/6)+2),
"-- NA --"
)</f>
        <v>-- NA --</v>
      </c>
      <c r="J1461" s="33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</row>
    <row r="1462">
      <c r="A1462" s="26">
        <v>1461.0</v>
      </c>
      <c r="B1462" s="33"/>
      <c r="C1462" s="26" t="s">
        <v>385</v>
      </c>
      <c r="D1462" s="26" t="str">
        <f t="array" ref="D14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25AD082</v>
      </c>
      <c r="E1462" s="32" t="str">
        <f t="array" ref="E14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JEEVITHA U</v>
      </c>
      <c r="F1462" s="26" t="str">
        <f t="array" ref="F14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2" s="26" t="str">
        <f t="array" ref="G14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2" s="26" t="str">
        <f t="array" ref="H1462">IF(
MOD(ROW()-2,6)=0,
INDEX('Form Responses'!I:I,INT((ROW()-2)/6)+2),
"-- NA --"
)</f>
        <v>-- NA --</v>
      </c>
      <c r="I1462" s="32" t="str">
        <f t="array" ref="I1462">IF(
MOD(ROW()-2,6)=0,
INDEX('Form Responses'!J:J,INT((ROW()-2)/6)+2),
"-- NA --"
)</f>
        <v>-- NA --</v>
      </c>
      <c r="J1462" s="33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</row>
    <row r="1463">
      <c r="A1463" s="26">
        <v>1462.0</v>
      </c>
      <c r="B1463" s="33"/>
      <c r="C1463" s="26" t="s">
        <v>425</v>
      </c>
      <c r="D1463" s="26" t="str">
        <f t="array" ref="D14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25AD049</v>
      </c>
      <c r="E1463" s="32" t="str">
        <f t="array" ref="E14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ELAMUHIL K</v>
      </c>
      <c r="F1463" s="26" t="str">
        <f t="array" ref="F14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3" s="26" t="str">
        <f t="array" ref="G14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3" s="26" t="str">
        <f t="array" ref="H1463">IF(
MOD(ROW()-2,6)=0,
INDEX('Form Responses'!I:I,INT((ROW()-2)/6)+2),
"-- NA --"
)</f>
        <v>-- NA --</v>
      </c>
      <c r="I1463" s="32" t="str">
        <f t="array" ref="I1463">IF(
MOD(ROW()-2,6)=0,
INDEX('Form Responses'!J:J,INT((ROW()-2)/6)+2),
"-- NA --"
)</f>
        <v>-- NA --</v>
      </c>
      <c r="J1463" s="33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</row>
    <row r="1464">
      <c r="A1464" s="26">
        <v>1463.0</v>
      </c>
      <c r="B1464" s="33"/>
      <c r="C1464" s="26" t="s">
        <v>464</v>
      </c>
      <c r="D1464" s="26" t="str">
        <f t="array" ref="D14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25AD061</v>
      </c>
      <c r="E1464" s="32" t="str">
        <f t="array" ref="E14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HARIHARAN E M</v>
      </c>
      <c r="F1464" s="26" t="str">
        <f t="array" ref="F14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4" s="26" t="str">
        <f t="array" ref="G14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4" s="26" t="str">
        <f t="array" ref="H1464">IF(
MOD(ROW()-2,6)=0,
INDEX('Form Responses'!I:I,INT((ROW()-2)/6)+2),
"-- NA --"
)</f>
        <v>-- NA --</v>
      </c>
      <c r="I1464" s="32" t="str">
        <f t="array" ref="I1464">IF(
MOD(ROW()-2,6)=0,
INDEX('Form Responses'!J:J,INT((ROW()-2)/6)+2),
"-- NA --"
)</f>
        <v>-- NA --</v>
      </c>
      <c r="J1464" s="33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</row>
    <row r="1465">
      <c r="A1465" s="26">
        <v>1464.0</v>
      </c>
      <c r="B1465" s="6"/>
      <c r="C1465" s="26" t="s">
        <v>500</v>
      </c>
      <c r="D1465" s="26" t="str">
        <f t="array" ref="D14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IC26BTecL0053</v>
      </c>
      <c r="E1465" s="32" t="str">
        <f t="array" ref="E14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SUBHA SHREE M</v>
      </c>
      <c r="F1465" s="26" t="str">
        <f t="array" ref="F14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5" s="26" t="str">
        <f t="array" ref="G14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5" s="26" t="str">
        <f t="array" ref="H1465">IF(
MOD(ROW()-2,6)=0,
INDEX('Form Responses'!I:I,INT((ROW()-2)/6)+2),
"-- NA --"
)</f>
        <v>-- NA --</v>
      </c>
      <c r="I1465" s="32" t="str">
        <f t="array" ref="I1465">IF(
MOD(ROW()-2,6)=0,
INDEX('Form Responses'!J:J,INT((ROW()-2)/6)+2),
"-- NA --"
)</f>
        <v>-- NA --</v>
      </c>
      <c r="J1465" s="6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</row>
    <row r="1466">
      <c r="A1466" s="26">
        <v>1465.0</v>
      </c>
      <c r="B1466" s="29" t="str">
        <f t="array" ref="B1466">INDEX('Form Responses'!$C:$C,INT((ROW()-2)/6)+2)</f>
        <v>JEYANTH J</v>
      </c>
      <c r="C1466" s="31" t="s">
        <v>140</v>
      </c>
      <c r="D1466" s="26" t="str">
        <f t="array" ref="D14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25AD085</v>
      </c>
      <c r="E1466" s="32" t="str">
        <f t="array" ref="E14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JEYANTH J</v>
      </c>
      <c r="F1466" s="26" t="str">
        <f t="array" ref="F14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6" s="26" t="str">
        <f t="array" ref="G14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6" s="26">
        <f t="array" ref="H1466">IF(
MOD(ROW()-2,6)=0,
INDEX('Form Responses'!I:I,INT((ROW()-2)/6)+2),
"-- NA --"
)</f>
        <v>9626693000</v>
      </c>
      <c r="I1466" s="32" t="str">
        <f t="array" ref="I1466">IF(
MOD(ROW()-2,6)=0,
INDEX('Form Responses'!J:J,INT((ROW()-2)/6)+2),
"-- NA --"
)</f>
        <v>jeyanth.j2025aids@sece.ac.in</v>
      </c>
      <c r="J1466" s="29" t="str">
        <f t="array" ref="J1466">INDEX('Form Responses'!$D:$D,INT((ROW()-2)/6)+2)</f>
        <v>Software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</row>
    <row r="1467">
      <c r="A1467" s="26">
        <v>1466.0</v>
      </c>
      <c r="B1467" s="33"/>
      <c r="C1467" s="26" t="s">
        <v>282</v>
      </c>
      <c r="D1467" s="26" t="str">
        <f t="array" ref="D14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25AD071</v>
      </c>
      <c r="E1467" s="32" t="str">
        <f t="array" ref="E14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HEMAVARSHINI D</v>
      </c>
      <c r="F1467" s="26" t="str">
        <f t="array" ref="F14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7" s="26" t="str">
        <f t="array" ref="G14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7" s="26" t="str">
        <f t="array" ref="H1467">IF(
MOD(ROW()-2,6)=0,
INDEX('Form Responses'!I:I,INT((ROW()-2)/6)+2),
"-- NA --"
)</f>
        <v>-- NA --</v>
      </c>
      <c r="I1467" s="32" t="str">
        <f t="array" ref="I1467">IF(
MOD(ROW()-2,6)=0,
INDEX('Form Responses'!J:J,INT((ROW()-2)/6)+2),
"-- NA --"
)</f>
        <v>-- NA --</v>
      </c>
      <c r="J1467" s="33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</row>
    <row r="1468">
      <c r="A1468" s="26">
        <v>1467.0</v>
      </c>
      <c r="B1468" s="33"/>
      <c r="C1468" s="26" t="s">
        <v>385</v>
      </c>
      <c r="D1468" s="26" t="str">
        <f t="array" ref="D14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25AD114</v>
      </c>
      <c r="E1468" s="32" t="str">
        <f t="array" ref="E14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MADHAVAN P</v>
      </c>
      <c r="F1468" s="26" t="str">
        <f t="array" ref="F14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8" s="26" t="str">
        <f t="array" ref="G14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68" s="26" t="str">
        <f t="array" ref="H1468">IF(
MOD(ROW()-2,6)=0,
INDEX('Form Responses'!I:I,INT((ROW()-2)/6)+2),
"-- NA --"
)</f>
        <v>-- NA --</v>
      </c>
      <c r="I1468" s="32" t="str">
        <f t="array" ref="I1468">IF(
MOD(ROW()-2,6)=0,
INDEX('Form Responses'!J:J,INT((ROW()-2)/6)+2),
"-- NA --"
)</f>
        <v>-- NA --</v>
      </c>
      <c r="J1468" s="33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</row>
    <row r="1469">
      <c r="A1469" s="26">
        <v>1468.0</v>
      </c>
      <c r="B1469" s="33"/>
      <c r="C1469" s="26" t="s">
        <v>425</v>
      </c>
      <c r="D1469" s="26" t="str">
        <f t="array" ref="D14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25AM022</v>
      </c>
      <c r="E1469" s="32" t="str">
        <f t="array" ref="E14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DHARSHINI.RP</v>
      </c>
      <c r="F1469" s="26" t="str">
        <f t="array" ref="F14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69" s="26" t="str">
        <f t="array" ref="G14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69" s="26" t="str">
        <f t="array" ref="H1469">IF(
MOD(ROW()-2,6)=0,
INDEX('Form Responses'!I:I,INT((ROW()-2)/6)+2),
"-- NA --"
)</f>
        <v>-- NA --</v>
      </c>
      <c r="I1469" s="32" t="str">
        <f t="array" ref="I1469">IF(
MOD(ROW()-2,6)=0,
INDEX('Form Responses'!J:J,INT((ROW()-2)/6)+2),
"-- NA --"
)</f>
        <v>-- NA --</v>
      </c>
      <c r="J1469" s="33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</row>
    <row r="1470">
      <c r="A1470" s="26">
        <v>1469.0</v>
      </c>
      <c r="B1470" s="33"/>
      <c r="C1470" s="26" t="s">
        <v>464</v>
      </c>
      <c r="D1470" s="26" t="str">
        <f t="array" ref="D14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25AM021</v>
      </c>
      <c r="E1470" s="32" t="str">
        <f t="array" ref="E14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.P</v>
      </c>
      <c r="F1470" s="26" t="str">
        <f t="array" ref="F14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70" s="26" t="str">
        <f t="array" ref="G14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470" s="26" t="str">
        <f t="array" ref="H1470">IF(
MOD(ROW()-2,6)=0,
INDEX('Form Responses'!I:I,INT((ROW()-2)/6)+2),
"-- NA --"
)</f>
        <v>-- NA --</v>
      </c>
      <c r="I1470" s="32" t="str">
        <f t="array" ref="I1470">IF(
MOD(ROW()-2,6)=0,
INDEX('Form Responses'!J:J,INT((ROW()-2)/6)+2),
"-- NA --"
)</f>
        <v>-- NA --</v>
      </c>
      <c r="J1470" s="33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</row>
    <row r="1471">
      <c r="A1471" s="26">
        <v>1470.0</v>
      </c>
      <c r="B1471" s="6"/>
      <c r="C1471" s="26" t="s">
        <v>500</v>
      </c>
      <c r="D1471" s="26" t="str">
        <f t="array" ref="D14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IC26BtecL0020</v>
      </c>
      <c r="E1471" s="32" t="str">
        <f t="array" ref="E14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SIDDHARTH R.K</v>
      </c>
      <c r="F1471" s="26" t="str">
        <f t="array" ref="F14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71" s="26" t="str">
        <f t="array" ref="G14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71" s="26" t="str">
        <f t="array" ref="H1471">IF(
MOD(ROW()-2,6)=0,
INDEX('Form Responses'!I:I,INT((ROW()-2)/6)+2),
"-- NA --"
)</f>
        <v>-- NA --</v>
      </c>
      <c r="I1471" s="32" t="str">
        <f t="array" ref="I1471">IF(
MOD(ROW()-2,6)=0,
INDEX('Form Responses'!J:J,INT((ROW()-2)/6)+2),
"-- NA --"
)</f>
        <v>-- NA --</v>
      </c>
      <c r="J1471" s="6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</row>
    <row r="1472">
      <c r="A1472" s="26">
        <v>1471.0</v>
      </c>
      <c r="B1472" s="29" t="str">
        <f t="array" ref="B1472">INDEX('Form Responses'!$C:$C,INT((ROW()-2)/6)+2)</f>
        <v>REAL MADRID </v>
      </c>
      <c r="C1472" s="31" t="s">
        <v>140</v>
      </c>
      <c r="D1472" s="26" t="str">
        <f t="array" ref="D14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24SY015</v>
      </c>
      <c r="E1472" s="32" t="str">
        <f t="array" ref="E14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ELANGOVAN S</v>
      </c>
      <c r="F1472" s="26" t="str">
        <f t="array" ref="F14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2" s="26" t="str">
        <f t="array" ref="G14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72" s="26">
        <f t="array" ref="H1472">IF(
MOD(ROW()-2,6)=0,
INDEX('Form Responses'!I:I,INT((ROW()-2)/6)+2),
"-- NA --"
)</f>
        <v>6381695252</v>
      </c>
      <c r="I1472" s="32" t="str">
        <f t="array" ref="I1472">IF(
MOD(ROW()-2,6)=0,
INDEX('Form Responses'!J:J,INT((ROW()-2)/6)+2),
"-- NA --"
)</f>
        <v>elangovan.s2024csecs@sece.ac.in</v>
      </c>
      <c r="J1472" s="29" t="str">
        <f t="array" ref="J1472">INDEX('Form Responses'!$D:$D,INT((ROW()-2)/6)+2)</f>
        <v>Hardware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</row>
    <row r="1473">
      <c r="A1473" s="26">
        <v>1472.0</v>
      </c>
      <c r="B1473" s="33"/>
      <c r="C1473" s="26" t="s">
        <v>282</v>
      </c>
      <c r="D1473" s="26" t="str">
        <f t="array" ref="D14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24SY047</v>
      </c>
      <c r="E1473" s="32" t="str">
        <f t="array" ref="E14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SHATHIGUL MAHDHI S A</v>
      </c>
      <c r="F1473" s="26" t="str">
        <f t="array" ref="F14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3" s="26" t="str">
        <f t="array" ref="G14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73" s="26" t="str">
        <f t="array" ref="H1473">IF(
MOD(ROW()-2,6)=0,
INDEX('Form Responses'!I:I,INT((ROW()-2)/6)+2),
"-- NA --"
)</f>
        <v>-- NA --</v>
      </c>
      <c r="I1473" s="32" t="str">
        <f t="array" ref="I1473">IF(
MOD(ROW()-2,6)=0,
INDEX('Form Responses'!J:J,INT((ROW()-2)/6)+2),
"-- NA --"
)</f>
        <v>-- NA --</v>
      </c>
      <c r="J1473" s="33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</row>
    <row r="1474">
      <c r="A1474" s="26">
        <v>1473.0</v>
      </c>
      <c r="B1474" s="33"/>
      <c r="C1474" s="26" t="s">
        <v>385</v>
      </c>
      <c r="D1474" s="26" t="str">
        <f t="array" ref="D14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24SY007</v>
      </c>
      <c r="E1474" s="32" t="str">
        <f t="array" ref="E14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BALASARAVANAN K</v>
      </c>
      <c r="F1474" s="26" t="str">
        <f t="array" ref="F14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4" s="26" t="str">
        <f t="array" ref="G14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474" s="26" t="str">
        <f t="array" ref="H1474">IF(
MOD(ROW()-2,6)=0,
INDEX('Form Responses'!I:I,INT((ROW()-2)/6)+2),
"-- NA --"
)</f>
        <v>-- NA --</v>
      </c>
      <c r="I1474" s="32" t="str">
        <f t="array" ref="I1474">IF(
MOD(ROW()-2,6)=0,
INDEX('Form Responses'!J:J,INT((ROW()-2)/6)+2),
"-- NA --"
)</f>
        <v>-- NA --</v>
      </c>
      <c r="J1474" s="33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</row>
    <row r="1475">
      <c r="A1475" s="26">
        <v>1474.0</v>
      </c>
      <c r="B1475" s="33"/>
      <c r="C1475" s="26" t="s">
        <v>425</v>
      </c>
      <c r="D1475" s="26" t="str">
        <f t="array" ref="D14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24AD126</v>
      </c>
      <c r="E1475" s="32" t="str">
        <f t="array" ref="E14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MOHAMED SAFWAAN M I</v>
      </c>
      <c r="F1475" s="26" t="str">
        <f t="array" ref="F14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5" s="26" t="str">
        <f t="array" ref="G14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75" s="26" t="str">
        <f t="array" ref="H1475">IF(
MOD(ROW()-2,6)=0,
INDEX('Form Responses'!I:I,INT((ROW()-2)/6)+2),
"-- NA --"
)</f>
        <v>-- NA --</v>
      </c>
      <c r="I1475" s="32" t="str">
        <f t="array" ref="I1475">IF(
MOD(ROW()-2,6)=0,
INDEX('Form Responses'!J:J,INT((ROW()-2)/6)+2),
"-- NA --"
)</f>
        <v>-- NA --</v>
      </c>
      <c r="J1475" s="33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</row>
    <row r="1476">
      <c r="A1476" s="26">
        <v>1475.0</v>
      </c>
      <c r="B1476" s="33"/>
      <c r="C1476" s="26" t="s">
        <v>464</v>
      </c>
      <c r="D1476" s="26" t="str">
        <f t="array" ref="D14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24CC003</v>
      </c>
      <c r="E1476" s="32" t="str">
        <f t="array" ref="E14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AISHWARYA S</v>
      </c>
      <c r="F1476" s="26" t="str">
        <f t="array" ref="F14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6" s="26" t="str">
        <f t="array" ref="G14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476" s="26" t="str">
        <f t="array" ref="H1476">IF(
MOD(ROW()-2,6)=0,
INDEX('Form Responses'!I:I,INT((ROW()-2)/6)+2),
"-- NA --"
)</f>
        <v>-- NA --</v>
      </c>
      <c r="I1476" s="32" t="str">
        <f t="array" ref="I1476">IF(
MOD(ROW()-2,6)=0,
INDEX('Form Responses'!J:J,INT((ROW()-2)/6)+2),
"-- NA --"
)</f>
        <v>-- NA --</v>
      </c>
      <c r="J1476" s="33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</row>
    <row r="1477">
      <c r="A1477" s="26">
        <v>1476.0</v>
      </c>
      <c r="B1477" s="6"/>
      <c r="C1477" s="26" t="s">
        <v>500</v>
      </c>
      <c r="D1477" s="26" t="str">
        <f t="array" ref="D14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24CC044</v>
      </c>
      <c r="E1477" s="32" t="str">
        <f t="array" ref="E14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SABARIKARTHIKA S</v>
      </c>
      <c r="F1477" s="26" t="str">
        <f t="array" ref="F14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7" s="26" t="str">
        <f t="array" ref="G14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477" s="26" t="str">
        <f t="array" ref="H1477">IF(
MOD(ROW()-2,6)=0,
INDEX('Form Responses'!I:I,INT((ROW()-2)/6)+2),
"-- NA --"
)</f>
        <v>-- NA --</v>
      </c>
      <c r="I1477" s="32" t="str">
        <f t="array" ref="I1477">IF(
MOD(ROW()-2,6)=0,
INDEX('Form Responses'!J:J,INT((ROW()-2)/6)+2),
"-- NA --"
)</f>
        <v>-- NA --</v>
      </c>
      <c r="J1477" s="6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</row>
    <row r="1478">
      <c r="A1478" s="26">
        <v>1477.0</v>
      </c>
      <c r="B1478" s="29" t="str">
        <f t="array" ref="B1478">INDEX('Form Responses'!$C:$C,INT((ROW()-2)/6)+2)</f>
        <v>Axion</v>
      </c>
      <c r="C1478" s="31" t="s">
        <v>140</v>
      </c>
      <c r="D1478" s="26" t="str">
        <f t="array" ref="D14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24AD194</v>
      </c>
      <c r="E1478" s="32" t="str">
        <f t="array" ref="E14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Sasi Tharan MS</v>
      </c>
      <c r="F1478" s="26" t="str">
        <f t="array" ref="F14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8" s="26" t="str">
        <f t="array" ref="G14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78" s="26" t="str">
        <f t="array" ref="H1478">IF(
MOD(ROW()-2,6)=0,
INDEX('Form Responses'!I:I,INT((ROW()-2)/6)+2),
"-- NA --"
)</f>
        <v> 79049 81173</v>
      </c>
      <c r="I1478" s="32" t="str">
        <f t="array" ref="I1478">IF(
MOD(ROW()-2,6)=0,
INDEX('Form Responses'!J:J,INT((ROW()-2)/6)+2),
"-- NA --"
)</f>
        <v>sasitharan.ms2024aids@sece.ac.in</v>
      </c>
      <c r="J1478" s="29" t="str">
        <f t="array" ref="J1478">INDEX('Form Responses'!$D:$D,INT((ROW()-2)/6)+2)</f>
        <v>Software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</row>
    <row r="1479">
      <c r="A1479" s="26">
        <v>1478.0</v>
      </c>
      <c r="B1479" s="33"/>
      <c r="C1479" s="26" t="s">
        <v>282</v>
      </c>
      <c r="D1479" s="26" t="str">
        <f t="array" ref="D14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24AD246 </v>
      </c>
      <c r="E1479" s="32" t="str">
        <f t="array" ref="E14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Vigneshwara P </v>
      </c>
      <c r="F1479" s="26" t="str">
        <f t="array" ref="F14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79" s="26" t="str">
        <f t="array" ref="G14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79" s="26" t="str">
        <f t="array" ref="H1479">IF(
MOD(ROW()-2,6)=0,
INDEX('Form Responses'!I:I,INT((ROW()-2)/6)+2),
"-- NA --"
)</f>
        <v>-- NA --</v>
      </c>
      <c r="I1479" s="32" t="str">
        <f t="array" ref="I1479">IF(
MOD(ROW()-2,6)=0,
INDEX('Form Responses'!J:J,INT((ROW()-2)/6)+2),
"-- NA --"
)</f>
        <v>-- NA --</v>
      </c>
      <c r="J1479" s="33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</row>
    <row r="1480">
      <c r="A1480" s="26">
        <v>1479.0</v>
      </c>
      <c r="B1480" s="33"/>
      <c r="C1480" s="26" t="s">
        <v>385</v>
      </c>
      <c r="D1480" s="26" t="str">
        <f t="array" ref="D14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24AD245</v>
      </c>
      <c r="E1480" s="32" t="str">
        <f t="array" ref="E14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Vignesh VI</v>
      </c>
      <c r="F1480" s="26" t="str">
        <f t="array" ref="F14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0" s="26" t="str">
        <f t="array" ref="G14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80" s="26" t="str">
        <f t="array" ref="H1480">IF(
MOD(ROW()-2,6)=0,
INDEX('Form Responses'!I:I,INT((ROW()-2)/6)+2),
"-- NA --"
)</f>
        <v>-- NA --</v>
      </c>
      <c r="I1480" s="32" t="str">
        <f t="array" ref="I1480">IF(
MOD(ROW()-2,6)=0,
INDEX('Form Responses'!J:J,INT((ROW()-2)/6)+2),
"-- NA --"
)</f>
        <v>-- NA --</v>
      </c>
      <c r="J1480" s="33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</row>
    <row r="1481">
      <c r="A1481" s="26">
        <v>1480.0</v>
      </c>
      <c r="B1481" s="33"/>
      <c r="C1481" s="26" t="s">
        <v>425</v>
      </c>
      <c r="D1481" s="26" t="str">
        <f t="array" ref="D14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24AD249</v>
      </c>
      <c r="E1481" s="32" t="str">
        <f t="array" ref="E14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Vimal Suriya K</v>
      </c>
      <c r="F1481" s="26" t="str">
        <f t="array" ref="F14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1" s="26" t="str">
        <f t="array" ref="G14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81" s="26" t="str">
        <f t="array" ref="H1481">IF(
MOD(ROW()-2,6)=0,
INDEX('Form Responses'!I:I,INT((ROW()-2)/6)+2),
"-- NA --"
)</f>
        <v>-- NA --</v>
      </c>
      <c r="I1481" s="32" t="str">
        <f t="array" ref="I1481">IF(
MOD(ROW()-2,6)=0,
INDEX('Form Responses'!J:J,INT((ROW()-2)/6)+2),
"-- NA --"
)</f>
        <v>-- NA --</v>
      </c>
      <c r="J1481" s="33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</row>
    <row r="1482">
      <c r="A1482" s="26">
        <v>1481.0</v>
      </c>
      <c r="B1482" s="33"/>
      <c r="C1482" s="26" t="s">
        <v>464</v>
      </c>
      <c r="D1482" s="26" t="str">
        <f t="array" ref="D14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24EC045</v>
      </c>
      <c r="E1482" s="32" t="str">
        <f t="array" ref="E14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Guruprasath R</v>
      </c>
      <c r="F1482" s="26" t="str">
        <f t="array" ref="F14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2" s="26" t="str">
        <f t="array" ref="G14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82" s="26" t="str">
        <f t="array" ref="H1482">IF(
MOD(ROW()-2,6)=0,
INDEX('Form Responses'!I:I,INT((ROW()-2)/6)+2),
"-- NA --"
)</f>
        <v>-- NA --</v>
      </c>
      <c r="I1482" s="32" t="str">
        <f t="array" ref="I1482">IF(
MOD(ROW()-2,6)=0,
INDEX('Form Responses'!J:J,INT((ROW()-2)/6)+2),
"-- NA --"
)</f>
        <v>-- NA --</v>
      </c>
      <c r="J1482" s="33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</row>
    <row r="1483">
      <c r="A1483" s="26">
        <v>1482.0</v>
      </c>
      <c r="B1483" s="6"/>
      <c r="C1483" s="26" t="s">
        <v>500</v>
      </c>
      <c r="D1483" s="26" t="str">
        <f t="array" ref="D14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24AD204</v>
      </c>
      <c r="E1483" s="32" t="str">
        <f t="array" ref="E14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Shona B</v>
      </c>
      <c r="F1483" s="26" t="str">
        <f t="array" ref="F14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3" s="26" t="str">
        <f t="array" ref="G14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83" s="26" t="str">
        <f t="array" ref="H1483">IF(
MOD(ROW()-2,6)=0,
INDEX('Form Responses'!I:I,INT((ROW()-2)/6)+2),
"-- NA --"
)</f>
        <v>-- NA --</v>
      </c>
      <c r="I1483" s="32" t="str">
        <f t="array" ref="I1483">IF(
MOD(ROW()-2,6)=0,
INDEX('Form Responses'!J:J,INT((ROW()-2)/6)+2),
"-- NA --"
)</f>
        <v>-- NA --</v>
      </c>
      <c r="J1483" s="6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</row>
    <row r="1484">
      <c r="A1484" s="26">
        <v>1483.0</v>
      </c>
      <c r="B1484" s="29" t="str">
        <f t="array" ref="B1484">INDEX('Form Responses'!$C:$C,INT((ROW()-2)/6)+2)</f>
        <v>Phoenix Squad</v>
      </c>
      <c r="C1484" s="31" t="s">
        <v>140</v>
      </c>
      <c r="D1484" s="26" t="str">
        <f t="array" ref="D14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24CS271</v>
      </c>
      <c r="E1484" s="32" t="str">
        <f t="array" ref="E14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Yaswanth V</v>
      </c>
      <c r="F1484" s="26" t="str">
        <f t="array" ref="F14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4" s="26" t="str">
        <f t="array" ref="G14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4" s="26">
        <f t="array" ref="H1484">IF(
MOD(ROW()-2,6)=0,
INDEX('Form Responses'!I:I,INT((ROW()-2)/6)+2),
"-- NA --"
)</f>
        <v>6379659010</v>
      </c>
      <c r="I1484" s="32" t="str">
        <f t="array" ref="I1484">IF(
MOD(ROW()-2,6)=0,
INDEX('Form Responses'!J:J,INT((ROW()-2)/6)+2),
"-- NA --"
)</f>
        <v>yaswanth.v2024cse@sece.ac.in</v>
      </c>
      <c r="J1484" s="29" t="str">
        <f t="array" ref="J1484">INDEX('Form Responses'!$D:$D,INT((ROW()-2)/6)+2)</f>
        <v>Software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</row>
    <row r="1485">
      <c r="A1485" s="26">
        <v>1484.0</v>
      </c>
      <c r="B1485" s="33"/>
      <c r="C1485" s="26" t="s">
        <v>282</v>
      </c>
      <c r="D1485" s="26" t="str">
        <f t="array" ref="D14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24CS234</v>
      </c>
      <c r="E1485" s="32" t="str">
        <f t="array" ref="E14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SRINATH D</v>
      </c>
      <c r="F1485" s="26" t="str">
        <f t="array" ref="F14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5" s="26" t="str">
        <f t="array" ref="G14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5" s="26" t="str">
        <f t="array" ref="H1485">IF(
MOD(ROW()-2,6)=0,
INDEX('Form Responses'!I:I,INT((ROW()-2)/6)+2),
"-- NA --"
)</f>
        <v>-- NA --</v>
      </c>
      <c r="I1485" s="32" t="str">
        <f t="array" ref="I1485">IF(
MOD(ROW()-2,6)=0,
INDEX('Form Responses'!J:J,INT((ROW()-2)/6)+2),
"-- NA --"
)</f>
        <v>-- NA --</v>
      </c>
      <c r="J1485" s="33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</row>
    <row r="1486">
      <c r="A1486" s="26">
        <v>1485.0</v>
      </c>
      <c r="B1486" s="33"/>
      <c r="C1486" s="26" t="s">
        <v>385</v>
      </c>
      <c r="D1486" s="26" t="str">
        <f t="array" ref="D14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24CS267</v>
      </c>
      <c r="E1486" s="32" t="str">
        <f t="array" ref="E14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 V</v>
      </c>
      <c r="F1486" s="26" t="str">
        <f t="array" ref="F14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6" s="26" t="str">
        <f t="array" ref="G14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6" s="26" t="str">
        <f t="array" ref="H1486">IF(
MOD(ROW()-2,6)=0,
INDEX('Form Responses'!I:I,INT((ROW()-2)/6)+2),
"-- NA --"
)</f>
        <v>-- NA --</v>
      </c>
      <c r="I1486" s="32" t="str">
        <f t="array" ref="I1486">IF(
MOD(ROW()-2,6)=0,
INDEX('Form Responses'!J:J,INT((ROW()-2)/6)+2),
"-- NA --"
)</f>
        <v>-- NA --</v>
      </c>
      <c r="J1486" s="33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</row>
    <row r="1487">
      <c r="A1487" s="26">
        <v>1486.0</v>
      </c>
      <c r="B1487" s="33"/>
      <c r="C1487" s="26" t="s">
        <v>425</v>
      </c>
      <c r="D1487" s="26" t="str">
        <f t="array" ref="D14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24CS245</v>
      </c>
      <c r="E1487" s="32" t="str">
        <f t="array" ref="E14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SURENDAR PRAKASH</v>
      </c>
      <c r="F1487" s="26" t="str">
        <f t="array" ref="F14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7" s="26" t="str">
        <f t="array" ref="G14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7" s="26" t="str">
        <f t="array" ref="H1487">IF(
MOD(ROW()-2,6)=0,
INDEX('Form Responses'!I:I,INT((ROW()-2)/6)+2),
"-- NA --"
)</f>
        <v>-- NA --</v>
      </c>
      <c r="I1487" s="32" t="str">
        <f t="array" ref="I1487">IF(
MOD(ROW()-2,6)=0,
INDEX('Form Responses'!J:J,INT((ROW()-2)/6)+2),
"-- NA --"
)</f>
        <v>-- NA --</v>
      </c>
      <c r="J1487" s="33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</row>
    <row r="1488">
      <c r="A1488" s="26">
        <v>1487.0</v>
      </c>
      <c r="B1488" s="33"/>
      <c r="C1488" s="26" t="s">
        <v>464</v>
      </c>
      <c r="D1488" s="26" t="str">
        <f t="array" ref="D14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24CS272</v>
      </c>
      <c r="E1488" s="32" t="str">
        <f t="array" ref="E14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Yeswanthira S</v>
      </c>
      <c r="F1488" s="26" t="str">
        <f t="array" ref="F14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8" s="26" t="str">
        <f t="array" ref="G14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8" s="26" t="str">
        <f t="array" ref="H1488">IF(
MOD(ROW()-2,6)=0,
INDEX('Form Responses'!I:I,INT((ROW()-2)/6)+2),
"-- NA --"
)</f>
        <v>-- NA --</v>
      </c>
      <c r="I1488" s="32" t="str">
        <f t="array" ref="I1488">IF(
MOD(ROW()-2,6)=0,
INDEX('Form Responses'!J:J,INT((ROW()-2)/6)+2),
"-- NA --"
)</f>
        <v>-- NA --</v>
      </c>
      <c r="J1488" s="33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</row>
    <row r="1489">
      <c r="A1489" s="26">
        <v>1488.0</v>
      </c>
      <c r="B1489" s="6"/>
      <c r="C1489" s="26" t="s">
        <v>500</v>
      </c>
      <c r="D1489" s="26" t="str">
        <f t="array" ref="D14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24CS244</v>
      </c>
      <c r="E1489" s="32" t="str">
        <f t="array" ref="E14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SUREKA T</v>
      </c>
      <c r="F1489" s="26" t="str">
        <f t="array" ref="F14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89" s="26" t="str">
        <f t="array" ref="G14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89" s="26" t="str">
        <f t="array" ref="H1489">IF(
MOD(ROW()-2,6)=0,
INDEX('Form Responses'!I:I,INT((ROW()-2)/6)+2),
"-- NA --"
)</f>
        <v>-- NA --</v>
      </c>
      <c r="I1489" s="32" t="str">
        <f t="array" ref="I1489">IF(
MOD(ROW()-2,6)=0,
INDEX('Form Responses'!J:J,INT((ROW()-2)/6)+2),
"-- NA --"
)</f>
        <v>-- NA --</v>
      </c>
      <c r="J1489" s="6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</row>
    <row r="1490">
      <c r="A1490" s="26">
        <v>1489.0</v>
      </c>
      <c r="B1490" s="29" t="str">
        <f t="array" ref="B1490">INDEX('Form Responses'!$C:$C,INT((ROW()-2)/6)+2)</f>
        <v>VORTEX</v>
      </c>
      <c r="C1490" s="31" t="s">
        <v>140</v>
      </c>
      <c r="D1490" s="26" t="str">
        <f t="array" ref="D14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24AD211</v>
      </c>
      <c r="E1490" s="32" t="str">
        <f t="array" ref="E14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SOORYA K</v>
      </c>
      <c r="F1490" s="26" t="str">
        <f t="array" ref="F14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0" s="26" t="str">
        <f t="array" ref="G14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0" s="26">
        <f t="array" ref="H1490">IF(
MOD(ROW()-2,6)=0,
INDEX('Form Responses'!I:I,INT((ROW()-2)/6)+2),
"-- NA --"
)</f>
        <v>9363958862</v>
      </c>
      <c r="I1490" s="32" t="str">
        <f t="array" ref="I1490">IF(
MOD(ROW()-2,6)=0,
INDEX('Form Responses'!J:J,INT((ROW()-2)/6)+2),
"-- NA --"
)</f>
        <v>soorya.k2024aids@sece.ac.in</v>
      </c>
      <c r="J1490" s="29" t="str">
        <f t="array" ref="J1490">INDEX('Form Responses'!$D:$D,INT((ROW()-2)/6)+2)</f>
        <v>Hardware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</row>
    <row r="1491">
      <c r="A1491" s="26">
        <v>1490.0</v>
      </c>
      <c r="B1491" s="33"/>
      <c r="C1491" s="26" t="s">
        <v>282</v>
      </c>
      <c r="D1491" s="26" t="str">
        <f t="array" ref="D14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24AD207</v>
      </c>
      <c r="E1491" s="32" t="str">
        <f t="array" ref="E14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 BARATH S </v>
      </c>
      <c r="F1491" s="26" t="str">
        <f t="array" ref="F14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1" s="26" t="str">
        <f t="array" ref="G14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1" s="26" t="str">
        <f t="array" ref="H1491">IF(
MOD(ROW()-2,6)=0,
INDEX('Form Responses'!I:I,INT((ROW()-2)/6)+2),
"-- NA --"
)</f>
        <v>-- NA --</v>
      </c>
      <c r="I1491" s="32" t="str">
        <f t="array" ref="I1491">IF(
MOD(ROW()-2,6)=0,
INDEX('Form Responses'!J:J,INT((ROW()-2)/6)+2),
"-- NA --"
)</f>
        <v>-- NA --</v>
      </c>
      <c r="J1491" s="33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</row>
    <row r="1492">
      <c r="A1492" s="26">
        <v>1491.0</v>
      </c>
      <c r="B1492" s="33"/>
      <c r="C1492" s="26" t="s">
        <v>385</v>
      </c>
      <c r="D1492" s="26" t="str">
        <f t="array" ref="D14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24AD206</v>
      </c>
      <c r="E1492" s="32" t="str">
        <f t="array" ref="E14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SHYAM K</v>
      </c>
      <c r="F1492" s="26" t="str">
        <f t="array" ref="F14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2" s="26" t="str">
        <f t="array" ref="G14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2" s="26" t="str">
        <f t="array" ref="H1492">IF(
MOD(ROW()-2,6)=0,
INDEX('Form Responses'!I:I,INT((ROW()-2)/6)+2),
"-- NA --"
)</f>
        <v>-- NA --</v>
      </c>
      <c r="I1492" s="32" t="str">
        <f t="array" ref="I1492">IF(
MOD(ROW()-2,6)=0,
INDEX('Form Responses'!J:J,INT((ROW()-2)/6)+2),
"-- NA --"
)</f>
        <v>-- NA --</v>
      </c>
      <c r="J1492" s="33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</row>
    <row r="1493">
      <c r="A1493" s="26">
        <v>1492.0</v>
      </c>
      <c r="B1493" s="33"/>
      <c r="C1493" s="26" t="s">
        <v>425</v>
      </c>
      <c r="D1493" s="26" t="str">
        <f t="array" ref="D14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24AD199</v>
      </c>
      <c r="E1493" s="32" t="str">
        <f t="array" ref="E14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SHAMBAVI P V</v>
      </c>
      <c r="F1493" s="26" t="str">
        <f t="array" ref="F14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3" s="26" t="str">
        <f t="array" ref="G14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3" s="26" t="str">
        <f t="array" ref="H1493">IF(
MOD(ROW()-2,6)=0,
INDEX('Form Responses'!I:I,INT((ROW()-2)/6)+2),
"-- NA --"
)</f>
        <v>-- NA --</v>
      </c>
      <c r="I1493" s="32" t="str">
        <f t="array" ref="I1493">IF(
MOD(ROW()-2,6)=0,
INDEX('Form Responses'!J:J,INT((ROW()-2)/6)+2),
"-- NA --"
)</f>
        <v>-- NA --</v>
      </c>
      <c r="J1493" s="33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>
      <c r="A1494" s="26">
        <v>1493.0</v>
      </c>
      <c r="B1494" s="33"/>
      <c r="C1494" s="26" t="s">
        <v>464</v>
      </c>
      <c r="D1494" s="26" t="str">
        <f t="array" ref="D14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24EC073</v>
      </c>
      <c r="E1494" s="32" t="str">
        <f t="array" ref="E14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KEERTHIKA R</v>
      </c>
      <c r="F1494" s="26" t="str">
        <f t="array" ref="F14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4" s="26" t="str">
        <f t="array" ref="G14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94" s="26" t="str">
        <f t="array" ref="H1494">IF(
MOD(ROW()-2,6)=0,
INDEX('Form Responses'!I:I,INT((ROW()-2)/6)+2),
"-- NA --"
)</f>
        <v>-- NA --</v>
      </c>
      <c r="I1494" s="32" t="str">
        <f t="array" ref="I1494">IF(
MOD(ROW()-2,6)=0,
INDEX('Form Responses'!J:J,INT((ROW()-2)/6)+2),
"-- NA --"
)</f>
        <v>-- NA --</v>
      </c>
      <c r="J1494" s="33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</row>
    <row r="1495">
      <c r="A1495" s="26">
        <v>1494.0</v>
      </c>
      <c r="B1495" s="6"/>
      <c r="C1495" s="26" t="s">
        <v>500</v>
      </c>
      <c r="D1495" s="26" t="str">
        <f t="array" ref="D14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24EC112</v>
      </c>
      <c r="E1495" s="32" t="str">
        <f t="array" ref="E14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PRADISHA M S </v>
      </c>
      <c r="F1495" s="26" t="str">
        <f t="array" ref="F14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495" s="26" t="str">
        <f t="array" ref="G14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495" s="26" t="str">
        <f t="array" ref="H1495">IF(
MOD(ROW()-2,6)=0,
INDEX('Form Responses'!I:I,INT((ROW()-2)/6)+2),
"-- NA --"
)</f>
        <v>-- NA --</v>
      </c>
      <c r="I1495" s="32" t="str">
        <f t="array" ref="I1495">IF(
MOD(ROW()-2,6)=0,
INDEX('Form Responses'!J:J,INT((ROW()-2)/6)+2),
"-- NA --"
)</f>
        <v>-- NA --</v>
      </c>
      <c r="J1495" s="6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</row>
    <row r="1496">
      <c r="A1496" s="26">
        <v>1495.0</v>
      </c>
      <c r="B1496" s="29" t="str">
        <f t="array" ref="B1496">INDEX('Form Responses'!$C:$C,INT((ROW()-2)/6)+2)</f>
        <v>Obscura</v>
      </c>
      <c r="C1496" s="31" t="s">
        <v>140</v>
      </c>
      <c r="D1496" s="26" t="str">
        <f t="array" ref="D14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25AD238</v>
      </c>
      <c r="E1496" s="32" t="str">
        <f t="array" ref="E14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VIJAI ROSHAN J P</v>
      </c>
      <c r="F1496" s="26" t="str">
        <f t="array" ref="F14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96" s="26" t="str">
        <f t="array" ref="G14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6" s="26">
        <f t="array" ref="H1496">IF(
MOD(ROW()-2,6)=0,
INDEX('Form Responses'!I:I,INT((ROW()-2)/6)+2),
"-- NA --"
)</f>
        <v>8148073669</v>
      </c>
      <c r="I1496" s="32" t="str">
        <f t="array" ref="I1496">IF(
MOD(ROW()-2,6)=0,
INDEX('Form Responses'!J:J,INT((ROW()-2)/6)+2),
"-- NA --"
)</f>
        <v>vijairoshan.j2025aids@sece.ac.in</v>
      </c>
      <c r="J1496" s="29" t="str">
        <f t="array" ref="J1496">INDEX('Form Responses'!$D:$D,INT((ROW()-2)/6)+2)</f>
        <v>Software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</row>
    <row r="1497">
      <c r="A1497" s="26">
        <v>1496.0</v>
      </c>
      <c r="B1497" s="33"/>
      <c r="C1497" s="26" t="s">
        <v>282</v>
      </c>
      <c r="D1497" s="26" t="str">
        <f t="array" ref="D14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25AD194</v>
      </c>
      <c r="E1497" s="32" t="str">
        <f t="array" ref="E14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Shamil S J</v>
      </c>
      <c r="F1497" s="26" t="str">
        <f t="array" ref="F14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97" s="26" t="str">
        <f t="array" ref="G14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7" s="26" t="str">
        <f t="array" ref="H1497">IF(
MOD(ROW()-2,6)=0,
INDEX('Form Responses'!I:I,INT((ROW()-2)/6)+2),
"-- NA --"
)</f>
        <v>-- NA --</v>
      </c>
      <c r="I1497" s="32" t="str">
        <f t="array" ref="I1497">IF(
MOD(ROW()-2,6)=0,
INDEX('Form Responses'!J:J,INT((ROW()-2)/6)+2),
"-- NA --"
)</f>
        <v>-- NA --</v>
      </c>
      <c r="J1497" s="33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</row>
    <row r="1498">
      <c r="A1498" s="26">
        <v>1497.0</v>
      </c>
      <c r="B1498" s="33"/>
      <c r="C1498" s="26" t="s">
        <v>385</v>
      </c>
      <c r="D1498" s="26" t="str">
        <f t="array" ref="D14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25CS132</v>
      </c>
      <c r="E1498" s="32" t="str">
        <f t="array" ref="E14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RIHAN SYED S</v>
      </c>
      <c r="F1498" s="26" t="str">
        <f t="array" ref="F14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98" s="26" t="str">
        <f t="array" ref="G14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498" s="26" t="str">
        <f t="array" ref="H1498">IF(
MOD(ROW()-2,6)=0,
INDEX('Form Responses'!I:I,INT((ROW()-2)/6)+2),
"-- NA --"
)</f>
        <v>-- NA --</v>
      </c>
      <c r="I1498" s="32" t="str">
        <f t="array" ref="I1498">IF(
MOD(ROW()-2,6)=0,
INDEX('Form Responses'!J:J,INT((ROW()-2)/6)+2),
"-- NA --"
)</f>
        <v>-- NA --</v>
      </c>
      <c r="J1498" s="33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</row>
    <row r="1499">
      <c r="A1499" s="26">
        <v>1498.0</v>
      </c>
      <c r="B1499" s="33"/>
      <c r="C1499" s="26" t="s">
        <v>425</v>
      </c>
      <c r="D1499" s="26" t="str">
        <f t="array" ref="D14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25AD237</v>
      </c>
      <c r="E1499" s="32" t="str">
        <f t="array" ref="E14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VIGNESH R</v>
      </c>
      <c r="F1499" s="26" t="str">
        <f t="array" ref="F14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499" s="26" t="str">
        <f t="array" ref="G14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499" s="26" t="str">
        <f t="array" ref="H1499">IF(
MOD(ROW()-2,6)=0,
INDEX('Form Responses'!I:I,INT((ROW()-2)/6)+2),
"-- NA --"
)</f>
        <v>-- NA --</v>
      </c>
      <c r="I1499" s="32" t="str">
        <f t="array" ref="I1499">IF(
MOD(ROW()-2,6)=0,
INDEX('Form Responses'!J:J,INT((ROW()-2)/6)+2),
"-- NA --"
)</f>
        <v>-- NA --</v>
      </c>
      <c r="J1499" s="33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</row>
    <row r="1500">
      <c r="A1500" s="26">
        <v>1499.0</v>
      </c>
      <c r="B1500" s="33"/>
      <c r="C1500" s="26" t="s">
        <v>464</v>
      </c>
      <c r="D1500" s="26" t="str">
        <f t="array" ref="D15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25AD251</v>
      </c>
      <c r="E1500" s="32" t="str">
        <f t="array" ref="E15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YOKHESH CHANDER L P</v>
      </c>
      <c r="F1500" s="26" t="str">
        <f t="array" ref="F15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00" s="26" t="str">
        <f t="array" ref="G15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00" s="26" t="str">
        <f t="array" ref="H1500">IF(
MOD(ROW()-2,6)=0,
INDEX('Form Responses'!I:I,INT((ROW()-2)/6)+2),
"-- NA --"
)</f>
        <v>-- NA --</v>
      </c>
      <c r="I1500" s="32" t="str">
        <f t="array" ref="I1500">IF(
MOD(ROW()-2,6)=0,
INDEX('Form Responses'!J:J,INT((ROW()-2)/6)+2),
"-- NA --"
)</f>
        <v>-- NA --</v>
      </c>
      <c r="J1500" s="33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</row>
    <row r="1501">
      <c r="A1501" s="26">
        <v>1500.0</v>
      </c>
      <c r="B1501" s="6"/>
      <c r="C1501" s="26" t="s">
        <v>500</v>
      </c>
      <c r="D1501" s="26" t="str">
        <f t="array" ref="D15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25AM050</v>
      </c>
      <c r="E1501" s="32" t="str">
        <f t="array" ref="E15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Karthika Devi S</v>
      </c>
      <c r="F1501" s="26" t="str">
        <f t="array" ref="F15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01" s="26" t="str">
        <f t="array" ref="G15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01" s="26" t="str">
        <f t="array" ref="H1501">IF(
MOD(ROW()-2,6)=0,
INDEX('Form Responses'!I:I,INT((ROW()-2)/6)+2),
"-- NA --"
)</f>
        <v>-- NA --</v>
      </c>
      <c r="I1501" s="32" t="str">
        <f t="array" ref="I1501">IF(
MOD(ROW()-2,6)=0,
INDEX('Form Responses'!J:J,INT((ROW()-2)/6)+2),
"-- NA --"
)</f>
        <v>-- NA --</v>
      </c>
      <c r="J1501" s="6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</row>
    <row r="1502">
      <c r="A1502" s="26">
        <v>1501.0</v>
      </c>
      <c r="B1502" s="29" t="str">
        <f t="array" ref="B1502">INDEX('Form Responses'!$C:$C,INT((ROW()-2)/6)+2)</f>
        <v>Inta-X</v>
      </c>
      <c r="C1502" s="31" t="s">
        <v>140</v>
      </c>
      <c r="D1502" s="26" t="str">
        <f t="array" ref="D15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24CS188 </v>
      </c>
      <c r="E1502" s="32" t="str">
        <f t="array" ref="E15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Ramya S</v>
      </c>
      <c r="F1502" s="26" t="str">
        <f t="array" ref="F15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2" s="26" t="str">
        <f t="array" ref="G15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02" s="26">
        <f t="array" ref="H1502">IF(
MOD(ROW()-2,6)=0,
INDEX('Form Responses'!I:I,INT((ROW()-2)/6)+2),
"-- NA --"
)</f>
        <v>6385588411</v>
      </c>
      <c r="I1502" s="32" t="str">
        <f t="array" ref="I1502">IF(
MOD(ROW()-2,6)=0,
INDEX('Form Responses'!J:J,INT((ROW()-2)/6)+2),
"-- NA --"
)</f>
        <v>ramya.s2024cse@sece.ac.in</v>
      </c>
      <c r="J1502" s="29" t="str">
        <f t="array" ref="J1502">INDEX('Form Responses'!$D:$D,INT((ROW()-2)/6)+2)</f>
        <v>Software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</row>
    <row r="1503">
      <c r="A1503" s="26">
        <v>1502.0</v>
      </c>
      <c r="B1503" s="33"/>
      <c r="C1503" s="26" t="s">
        <v>282</v>
      </c>
      <c r="D1503" s="26" t="str">
        <f t="array" ref="D15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24CS195</v>
      </c>
      <c r="E1503" s="32" t="str">
        <f t="array" ref="E15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Ridhanyaa Devie A S</v>
      </c>
      <c r="F1503" s="26" t="str">
        <f t="array" ref="F15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3" s="26" t="str">
        <f t="array" ref="G15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03" s="26" t="str">
        <f t="array" ref="H1503">IF(
MOD(ROW()-2,6)=0,
INDEX('Form Responses'!I:I,INT((ROW()-2)/6)+2),
"-- NA --"
)</f>
        <v>-- NA --</v>
      </c>
      <c r="I1503" s="32" t="str">
        <f t="array" ref="I1503">IF(
MOD(ROW()-2,6)=0,
INDEX('Form Responses'!J:J,INT((ROW()-2)/6)+2),
"-- NA --"
)</f>
        <v>-- NA --</v>
      </c>
      <c r="J1503" s="33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</row>
    <row r="1504">
      <c r="A1504" s="26">
        <v>1503.0</v>
      </c>
      <c r="B1504" s="33"/>
      <c r="C1504" s="26" t="s">
        <v>385</v>
      </c>
      <c r="D1504" s="26" t="str">
        <f t="array" ref="D15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24CS193</v>
      </c>
      <c r="E1504" s="32" t="str">
        <f t="array" ref="E15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Rethanya V</v>
      </c>
      <c r="F1504" s="26" t="str">
        <f t="array" ref="F15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4" s="26" t="str">
        <f t="array" ref="G15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04" s="26" t="str">
        <f t="array" ref="H1504">IF(
MOD(ROW()-2,6)=0,
INDEX('Form Responses'!I:I,INT((ROW()-2)/6)+2),
"-- NA --"
)</f>
        <v>-- NA --</v>
      </c>
      <c r="I1504" s="32" t="str">
        <f t="array" ref="I1504">IF(
MOD(ROW()-2,6)=0,
INDEX('Form Responses'!J:J,INT((ROW()-2)/6)+2),
"-- NA --"
)</f>
        <v>-- NA --</v>
      </c>
      <c r="J1504" s="33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</row>
    <row r="1505">
      <c r="A1505" s="26">
        <v>1504.0</v>
      </c>
      <c r="B1505" s="33"/>
      <c r="C1505" s="26" t="s">
        <v>425</v>
      </c>
      <c r="D1505" s="26" t="str">
        <f t="array" ref="D15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24CS170</v>
      </c>
      <c r="E1505" s="32" t="str">
        <f t="array" ref="E15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 P</v>
      </c>
      <c r="F1505" s="26" t="str">
        <f t="array" ref="F15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5" s="26" t="str">
        <f t="array" ref="G15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05" s="26" t="str">
        <f t="array" ref="H1505">IF(
MOD(ROW()-2,6)=0,
INDEX('Form Responses'!I:I,INT((ROW()-2)/6)+2),
"-- NA --"
)</f>
        <v>-- NA --</v>
      </c>
      <c r="I1505" s="32" t="str">
        <f t="array" ref="I1505">IF(
MOD(ROW()-2,6)=0,
INDEX('Form Responses'!J:J,INT((ROW()-2)/6)+2),
"-- NA --"
)</f>
        <v>-- NA --</v>
      </c>
      <c r="J1505" s="33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</row>
    <row r="1506">
      <c r="A1506" s="26">
        <v>1505.0</v>
      </c>
      <c r="B1506" s="33"/>
      <c r="C1506" s="26" t="s">
        <v>464</v>
      </c>
      <c r="D1506" s="26" t="str">
        <f t="array" ref="D15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 24AD040</v>
      </c>
      <c r="E1506" s="32" t="str">
        <f t="array" ref="E15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Dhanushree A  </v>
      </c>
      <c r="F1506" s="26" t="str">
        <f t="array" ref="F15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6" s="26" t="str">
        <f t="array" ref="G15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06" s="26" t="str">
        <f t="array" ref="H1506">IF(
MOD(ROW()-2,6)=0,
INDEX('Form Responses'!I:I,INT((ROW()-2)/6)+2),
"-- NA --"
)</f>
        <v>-- NA --</v>
      </c>
      <c r="I1506" s="32" t="str">
        <f t="array" ref="I1506">IF(
MOD(ROW()-2,6)=0,
INDEX('Form Responses'!J:J,INT((ROW()-2)/6)+2),
"-- NA --"
)</f>
        <v>-- NA --</v>
      </c>
      <c r="J1506" s="33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</row>
    <row r="1507">
      <c r="A1507" s="26">
        <v>1506.0</v>
      </c>
      <c r="B1507" s="6"/>
      <c r="C1507" s="26" t="s">
        <v>500</v>
      </c>
      <c r="D1507" s="26" t="str">
        <f t="array" ref="D15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24AD035</v>
      </c>
      <c r="E1507" s="32" t="str">
        <f t="array" ref="E15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Brindha Devi R </v>
      </c>
      <c r="F1507" s="26" t="str">
        <f t="array" ref="F15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7" s="26" t="str">
        <f t="array" ref="G15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07" s="26" t="str">
        <f t="array" ref="H1507">IF(
MOD(ROW()-2,6)=0,
INDEX('Form Responses'!I:I,INT((ROW()-2)/6)+2),
"-- NA --"
)</f>
        <v>-- NA --</v>
      </c>
      <c r="I1507" s="32" t="str">
        <f t="array" ref="I1507">IF(
MOD(ROW()-2,6)=0,
INDEX('Form Responses'!J:J,INT((ROW()-2)/6)+2),
"-- NA --"
)</f>
        <v>-- NA --</v>
      </c>
      <c r="J1507" s="6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</row>
    <row r="1508">
      <c r="A1508" s="26">
        <v>1507.0</v>
      </c>
      <c r="B1508" s="29" t="str">
        <f t="array" ref="B1508">INDEX('Form Responses'!$C:$C,INT((ROW()-2)/6)+2)</f>
        <v>BYTEBLENDERS</v>
      </c>
      <c r="C1508" s="31" t="s">
        <v>140</v>
      </c>
      <c r="D1508" s="26" t="str">
        <f t="array" ref="D15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24AM120</v>
      </c>
      <c r="E1508" s="32" t="str">
        <f t="array" ref="E15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VISWAJOTHI R</v>
      </c>
      <c r="F1508" s="26" t="str">
        <f t="array" ref="F15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8" s="26" t="str">
        <f t="array" ref="G15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08" s="26">
        <f t="array" ref="H1508">IF(
MOD(ROW()-2,6)=0,
INDEX('Form Responses'!I:I,INT((ROW()-2)/6)+2),
"-- NA --"
)</f>
        <v>9345554361</v>
      </c>
      <c r="I1508" s="32" t="str">
        <f t="array" ref="I1508">IF(
MOD(ROW()-2,6)=0,
INDEX('Form Responses'!J:J,INT((ROW()-2)/6)+2),
"-- NA --"
)</f>
        <v>viswajothi.r2024aiml@sece.ac.in</v>
      </c>
      <c r="J1508" s="29" t="str">
        <f t="array" ref="J1508">INDEX('Form Responses'!$D:$D,INT((ROW()-2)/6)+2)</f>
        <v>Software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</row>
    <row r="1509">
      <c r="A1509" s="26">
        <v>1508.0</v>
      </c>
      <c r="B1509" s="33"/>
      <c r="C1509" s="26" t="s">
        <v>282</v>
      </c>
      <c r="D1509" s="26" t="str">
        <f t="array" ref="D15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24AM119</v>
      </c>
      <c r="E1509" s="32" t="str">
        <f t="array" ref="E15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VISHVA KUMAR B</v>
      </c>
      <c r="F1509" s="26" t="str">
        <f t="array" ref="F15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09" s="26" t="str">
        <f t="array" ref="G15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09" s="26" t="str">
        <f t="array" ref="H1509">IF(
MOD(ROW()-2,6)=0,
INDEX('Form Responses'!I:I,INT((ROW()-2)/6)+2),
"-- NA --"
)</f>
        <v>-- NA --</v>
      </c>
      <c r="I1509" s="32" t="str">
        <f t="array" ref="I1509">IF(
MOD(ROW()-2,6)=0,
INDEX('Form Responses'!J:J,INT((ROW()-2)/6)+2),
"-- NA --"
)</f>
        <v>-- NA --</v>
      </c>
      <c r="J1509" s="33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</row>
    <row r="1510">
      <c r="A1510" s="26">
        <v>1509.0</v>
      </c>
      <c r="B1510" s="33"/>
      <c r="C1510" s="26" t="s">
        <v>385</v>
      </c>
      <c r="D1510" s="26" t="str">
        <f t="array" ref="D15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24AM007</v>
      </c>
      <c r="E1510" s="32" t="str">
        <f t="array" ref="E15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AMIRTHAVARSHINI S</v>
      </c>
      <c r="F1510" s="26" t="str">
        <f t="array" ref="F15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0" s="26" t="str">
        <f t="array" ref="G15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10" s="26" t="str">
        <f t="array" ref="H1510">IF(
MOD(ROW()-2,6)=0,
INDEX('Form Responses'!I:I,INT((ROW()-2)/6)+2),
"-- NA --"
)</f>
        <v>-- NA --</v>
      </c>
      <c r="I1510" s="32" t="str">
        <f t="array" ref="I1510">IF(
MOD(ROW()-2,6)=0,
INDEX('Form Responses'!J:J,INT((ROW()-2)/6)+2),
"-- NA --"
)</f>
        <v>-- NA --</v>
      </c>
      <c r="J1510" s="33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</row>
    <row r="1511">
      <c r="A1511" s="26">
        <v>1510.0</v>
      </c>
      <c r="B1511" s="33"/>
      <c r="C1511" s="26" t="s">
        <v>425</v>
      </c>
      <c r="D1511" s="26" t="str">
        <f t="array" ref="D15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24IT055</v>
      </c>
      <c r="E1511" s="32" t="str">
        <f t="array" ref="E15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SIVABHARATHI K</v>
      </c>
      <c r="F1511" s="26" t="str">
        <f t="array" ref="F15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1" s="26" t="str">
        <f t="array" ref="G15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511" s="26" t="str">
        <f t="array" ref="H1511">IF(
MOD(ROW()-2,6)=0,
INDEX('Form Responses'!I:I,INT((ROW()-2)/6)+2),
"-- NA --"
)</f>
        <v>-- NA --</v>
      </c>
      <c r="I1511" s="32" t="str">
        <f t="array" ref="I1511">IF(
MOD(ROW()-2,6)=0,
INDEX('Form Responses'!J:J,INT((ROW()-2)/6)+2),
"-- NA --"
)</f>
        <v>-- NA --</v>
      </c>
      <c r="J1511" s="33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</row>
    <row r="1512">
      <c r="A1512" s="26">
        <v>1511.0</v>
      </c>
      <c r="B1512" s="33"/>
      <c r="C1512" s="26" t="s">
        <v>464</v>
      </c>
      <c r="D1512" s="26" t="str">
        <f t="array" ref="D15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24IT002</v>
      </c>
      <c r="E1512" s="32" t="str">
        <f t="array" ref="E15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ABDUL KANI B </v>
      </c>
      <c r="F1512" s="26" t="str">
        <f t="array" ref="F15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2" s="26" t="str">
        <f t="array" ref="G15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512" s="26" t="str">
        <f t="array" ref="H1512">IF(
MOD(ROW()-2,6)=0,
INDEX('Form Responses'!I:I,INT((ROW()-2)/6)+2),
"-- NA --"
)</f>
        <v>-- NA --</v>
      </c>
      <c r="I1512" s="32" t="str">
        <f t="array" ref="I1512">IF(
MOD(ROW()-2,6)=0,
INDEX('Form Responses'!J:J,INT((ROW()-2)/6)+2),
"-- NA --"
)</f>
        <v>-- NA --</v>
      </c>
      <c r="J1512" s="33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</row>
    <row r="1513">
      <c r="A1513" s="26">
        <v>1512.0</v>
      </c>
      <c r="B1513" s="6"/>
      <c r="C1513" s="26" t="s">
        <v>500</v>
      </c>
      <c r="D1513" s="26" t="str">
        <f t="array" ref="D15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25AD143</v>
      </c>
      <c r="E1513" s="32" t="str">
        <f t="array" ref="E15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Pookuzhali G </v>
      </c>
      <c r="F1513" s="26" t="str">
        <f t="array" ref="F15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13" s="26" t="str">
        <f t="array" ref="G15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13" s="26" t="str">
        <f t="array" ref="H1513">IF(
MOD(ROW()-2,6)=0,
INDEX('Form Responses'!I:I,INT((ROW()-2)/6)+2),
"-- NA --"
)</f>
        <v>-- NA --</v>
      </c>
      <c r="I1513" s="32" t="str">
        <f t="array" ref="I1513">IF(
MOD(ROW()-2,6)=0,
INDEX('Form Responses'!J:J,INT((ROW()-2)/6)+2),
"-- NA --"
)</f>
        <v>-- NA --</v>
      </c>
      <c r="J1513" s="6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</row>
    <row r="1514">
      <c r="A1514" s="26">
        <v>1513.0</v>
      </c>
      <c r="B1514" s="29" t="str">
        <f t="array" ref="B1514">INDEX('Form Responses'!$C:$C,INT((ROW()-2)/6)+2)</f>
        <v>ByteForge</v>
      </c>
      <c r="C1514" s="31" t="s">
        <v>140</v>
      </c>
      <c r="D1514" s="26" t="str">
        <f t="array" ref="D15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24CS141</v>
      </c>
      <c r="E1514" s="32" t="str">
        <f t="array" ref="E15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MOHIT KUMAR KS </v>
      </c>
      <c r="F1514" s="26" t="str">
        <f t="array" ref="F15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4" s="26" t="str">
        <f t="array" ref="G15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4" s="26" t="str">
        <f t="array" ref="H1514">IF(
MOD(ROW()-2,6)=0,
INDEX('Form Responses'!I:I,INT((ROW()-2)/6)+2),
"-- NA --"
)</f>
        <v>80567 00244</v>
      </c>
      <c r="I1514" s="32" t="str">
        <f t="array" ref="I1514">IF(
MOD(ROW()-2,6)=0,
INDEX('Form Responses'!J:J,INT((ROW()-2)/6)+2),
"-- NA --"
)</f>
        <v>mohitKumar.ks2024@sece.ac.in</v>
      </c>
      <c r="J1514" s="29" t="str">
        <f t="array" ref="J1514">INDEX('Form Responses'!$D:$D,INT((ROW()-2)/6)+2)</f>
        <v>Software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</row>
    <row r="1515">
      <c r="A1515" s="26">
        <v>1514.0</v>
      </c>
      <c r="B1515" s="33"/>
      <c r="C1515" s="26" t="s">
        <v>282</v>
      </c>
      <c r="D1515" s="26" t="str">
        <f t="array" ref="D15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24CS161</v>
      </c>
      <c r="E1515" s="32" t="str">
        <f t="array" ref="E15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NISANTHU P</v>
      </c>
      <c r="F1515" s="26" t="str">
        <f t="array" ref="F15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5" s="26" t="str">
        <f t="array" ref="G15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5" s="26" t="str">
        <f t="array" ref="H1515">IF(
MOD(ROW()-2,6)=0,
INDEX('Form Responses'!I:I,INT((ROW()-2)/6)+2),
"-- NA --"
)</f>
        <v>-- NA --</v>
      </c>
      <c r="I1515" s="32" t="str">
        <f t="array" ref="I1515">IF(
MOD(ROW()-2,6)=0,
INDEX('Form Responses'!J:J,INT((ROW()-2)/6)+2),
"-- NA --"
)</f>
        <v>-- NA --</v>
      </c>
      <c r="J1515" s="33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</row>
    <row r="1516">
      <c r="A1516" s="26">
        <v>1515.0</v>
      </c>
      <c r="B1516" s="33"/>
      <c r="C1516" s="26" t="s">
        <v>385</v>
      </c>
      <c r="D1516" s="26" t="str">
        <f t="array" ref="D15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24CS149</v>
      </c>
      <c r="E1516" s="32" t="str">
        <f t="array" ref="E15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NANDITAA PS</v>
      </c>
      <c r="F1516" s="26" t="str">
        <f t="array" ref="F15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6" s="26" t="str">
        <f t="array" ref="G15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6" s="26" t="str">
        <f t="array" ref="H1516">IF(
MOD(ROW()-2,6)=0,
INDEX('Form Responses'!I:I,INT((ROW()-2)/6)+2),
"-- NA --"
)</f>
        <v>-- NA --</v>
      </c>
      <c r="I1516" s="32" t="str">
        <f t="array" ref="I1516">IF(
MOD(ROW()-2,6)=0,
INDEX('Form Responses'!J:J,INT((ROW()-2)/6)+2),
"-- NA --"
)</f>
        <v>-- NA --</v>
      </c>
      <c r="J1516" s="33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</row>
    <row r="1517">
      <c r="A1517" s="26">
        <v>1516.0</v>
      </c>
      <c r="B1517" s="33"/>
      <c r="C1517" s="26" t="s">
        <v>425</v>
      </c>
      <c r="D1517" s="26" t="str">
        <f t="array" ref="D15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24CS150</v>
      </c>
      <c r="E1517" s="32" t="str">
        <f t="array" ref="E15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NAVEEN KARTHIK B</v>
      </c>
      <c r="F1517" s="26" t="str">
        <f t="array" ref="F15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7" s="26" t="str">
        <f t="array" ref="G15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7" s="26" t="str">
        <f t="array" ref="H1517">IF(
MOD(ROW()-2,6)=0,
INDEX('Form Responses'!I:I,INT((ROW()-2)/6)+2),
"-- NA --"
)</f>
        <v>-- NA --</v>
      </c>
      <c r="I1517" s="32" t="str">
        <f t="array" ref="I1517">IF(
MOD(ROW()-2,6)=0,
INDEX('Form Responses'!J:J,INT((ROW()-2)/6)+2),
"-- NA --"
)</f>
        <v>-- NA --</v>
      </c>
      <c r="J1517" s="33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</row>
    <row r="1518">
      <c r="A1518" s="26">
        <v>1517.0</v>
      </c>
      <c r="B1518" s="33"/>
      <c r="C1518" s="26" t="s">
        <v>464</v>
      </c>
      <c r="D1518" s="26" t="str">
        <f t="array" ref="D15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24CS202</v>
      </c>
      <c r="E1518" s="32" t="str">
        <f t="array" ref="E15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SABITHRA M</v>
      </c>
      <c r="F1518" s="26" t="str">
        <f t="array" ref="F15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8" s="26" t="str">
        <f t="array" ref="G15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18" s="26" t="str">
        <f t="array" ref="H1518">IF(
MOD(ROW()-2,6)=0,
INDEX('Form Responses'!I:I,INT((ROW()-2)/6)+2),
"-- NA --"
)</f>
        <v>-- NA --</v>
      </c>
      <c r="I1518" s="32" t="str">
        <f t="array" ref="I1518">IF(
MOD(ROW()-2,6)=0,
INDEX('Form Responses'!J:J,INT((ROW()-2)/6)+2),
"-- NA --"
)</f>
        <v>-- NA --</v>
      </c>
      <c r="J1518" s="33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</row>
    <row r="1519">
      <c r="A1519" s="26">
        <v>1518.0</v>
      </c>
      <c r="B1519" s="6"/>
      <c r="C1519" s="26" t="s">
        <v>500</v>
      </c>
      <c r="D1519" s="26" t="str">
        <f t="array" ref="D15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24AM123</v>
      </c>
      <c r="E1519" s="32" t="str">
        <f t="array" ref="E15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YOGESHWARAN K</v>
      </c>
      <c r="F1519" s="26" t="str">
        <f t="array" ref="F15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19" s="26" t="str">
        <f t="array" ref="G15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19" s="26" t="str">
        <f t="array" ref="H1519">IF(
MOD(ROW()-2,6)=0,
INDEX('Form Responses'!I:I,INT((ROW()-2)/6)+2),
"-- NA --"
)</f>
        <v>-- NA --</v>
      </c>
      <c r="I1519" s="32" t="str">
        <f t="array" ref="I1519">IF(
MOD(ROW()-2,6)=0,
INDEX('Form Responses'!J:J,INT((ROW()-2)/6)+2),
"-- NA --"
)</f>
        <v>-- NA --</v>
      </c>
      <c r="J1519" s="6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</row>
    <row r="1520">
      <c r="A1520" s="26">
        <v>1519.0</v>
      </c>
      <c r="B1520" s="29" t="str">
        <f t="array" ref="B1520">INDEX('Form Responses'!$C:$C,INT((ROW()-2)/6)+2)</f>
        <v>SECURITY SENTINELS</v>
      </c>
      <c r="C1520" s="31" t="s">
        <v>140</v>
      </c>
      <c r="D1520" s="26" t="str">
        <f t="array" ref="D15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24SY063</v>
      </c>
      <c r="E1520" s="32" t="str">
        <f t="array" ref="E15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VINITHA M</v>
      </c>
      <c r="F1520" s="26" t="str">
        <f t="array" ref="F15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0" s="26" t="str">
        <f t="array" ref="G15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0" s="26">
        <f t="array" ref="H1520">IF(
MOD(ROW()-2,6)=0,
INDEX('Form Responses'!I:I,INT((ROW()-2)/6)+2),
"-- NA --"
)</f>
        <v>9566242006</v>
      </c>
      <c r="I1520" s="32" t="str">
        <f t="array" ref="I1520">IF(
MOD(ROW()-2,6)=0,
INDEX('Form Responses'!J:J,INT((ROW()-2)/6)+2),
"-- NA --"
)</f>
        <v>vinitha.m2024csecs@sece.ac.in</v>
      </c>
      <c r="J1520" s="29" t="str">
        <f t="array" ref="J1520">INDEX('Form Responses'!$D:$D,INT((ROW()-2)/6)+2)</f>
        <v>Software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</row>
    <row r="1521">
      <c r="A1521" s="26">
        <v>1520.0</v>
      </c>
      <c r="B1521" s="33"/>
      <c r="C1521" s="26" t="s">
        <v>282</v>
      </c>
      <c r="D1521" s="26" t="str">
        <f t="array" ref="D15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24SY054</v>
      </c>
      <c r="E1521" s="32" t="str">
        <f t="array" ref="E15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S</v>
      </c>
      <c r="F1521" s="26" t="str">
        <f t="array" ref="F15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1" s="26" t="str">
        <f t="array" ref="G15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1" s="26" t="str">
        <f t="array" ref="H1521">IF(
MOD(ROW()-2,6)=0,
INDEX('Form Responses'!I:I,INT((ROW()-2)/6)+2),
"-- NA --"
)</f>
        <v>-- NA --</v>
      </c>
      <c r="I1521" s="32" t="str">
        <f t="array" ref="I1521">IF(
MOD(ROW()-2,6)=0,
INDEX('Form Responses'!J:J,INT((ROW()-2)/6)+2),
"-- NA --"
)</f>
        <v>-- NA --</v>
      </c>
      <c r="J1521" s="33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</row>
    <row r="1522">
      <c r="A1522" s="26">
        <v>1521.0</v>
      </c>
      <c r="B1522" s="33"/>
      <c r="C1522" s="26" t="s">
        <v>385</v>
      </c>
      <c r="D1522" s="26" t="str">
        <f t="array" ref="D15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24SY060</v>
      </c>
      <c r="E1522" s="32" t="str">
        <f t="array" ref="E15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UMASANKARI M</v>
      </c>
      <c r="F1522" s="26" t="str">
        <f t="array" ref="F15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2" s="26" t="str">
        <f t="array" ref="G15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2" s="26" t="str">
        <f t="array" ref="H1522">IF(
MOD(ROW()-2,6)=0,
INDEX('Form Responses'!I:I,INT((ROW()-2)/6)+2),
"-- NA --"
)</f>
        <v>-- NA --</v>
      </c>
      <c r="I1522" s="32" t="str">
        <f t="array" ref="I1522">IF(
MOD(ROW()-2,6)=0,
INDEX('Form Responses'!J:J,INT((ROW()-2)/6)+2),
"-- NA --"
)</f>
        <v>-- NA --</v>
      </c>
      <c r="J1522" s="33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</row>
    <row r="1523">
      <c r="A1523" s="26">
        <v>1522.0</v>
      </c>
      <c r="B1523" s="33"/>
      <c r="C1523" s="26" t="s">
        <v>425</v>
      </c>
      <c r="D1523" s="26" t="str">
        <f t="array" ref="D15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24SY008</v>
      </c>
      <c r="E1523" s="32" t="str">
        <f t="array" ref="E15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BHAVADHARINI R</v>
      </c>
      <c r="F1523" s="26" t="str">
        <f t="array" ref="F15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3" s="26" t="str">
        <f t="array" ref="G15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3" s="26" t="str">
        <f t="array" ref="H1523">IF(
MOD(ROW()-2,6)=0,
INDEX('Form Responses'!I:I,INT((ROW()-2)/6)+2),
"-- NA --"
)</f>
        <v>-- NA --</v>
      </c>
      <c r="I1523" s="32" t="str">
        <f t="array" ref="I1523">IF(
MOD(ROW()-2,6)=0,
INDEX('Form Responses'!J:J,INT((ROW()-2)/6)+2),
"-- NA --"
)</f>
        <v>-- NA --</v>
      </c>
      <c r="J1523" s="33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</row>
    <row r="1524">
      <c r="A1524" s="26">
        <v>1523.0</v>
      </c>
      <c r="B1524" s="33"/>
      <c r="C1524" s="26" t="s">
        <v>464</v>
      </c>
      <c r="D1524" s="26" t="str">
        <f t="array" ref="D15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24SY025</v>
      </c>
      <c r="E1524" s="32" t="str">
        <f t="array" ref="E15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KEERTHI LAKSANA K</v>
      </c>
      <c r="F1524" s="26" t="str">
        <f t="array" ref="F15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4" s="26" t="str">
        <f t="array" ref="G15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4" s="26" t="str">
        <f t="array" ref="H1524">IF(
MOD(ROW()-2,6)=0,
INDEX('Form Responses'!I:I,INT((ROW()-2)/6)+2),
"-- NA --"
)</f>
        <v>-- NA --</v>
      </c>
      <c r="I1524" s="32" t="str">
        <f t="array" ref="I1524">IF(
MOD(ROW()-2,6)=0,
INDEX('Form Responses'!J:J,INT((ROW()-2)/6)+2),
"-- NA --"
)</f>
        <v>-- NA --</v>
      </c>
      <c r="J1524" s="33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</row>
    <row r="1525">
      <c r="A1525" s="26">
        <v>1524.0</v>
      </c>
      <c r="B1525" s="6"/>
      <c r="C1525" s="26" t="s">
        <v>500</v>
      </c>
      <c r="D1525" s="26" t="str">
        <f t="array" ref="D15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24SY009</v>
      </c>
      <c r="E1525" s="32" t="str">
        <f t="array" ref="E15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DEECHANYA S J</v>
      </c>
      <c r="F1525" s="26" t="str">
        <f t="array" ref="F15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25" s="26" t="str">
        <f t="array" ref="G15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25" s="26" t="str">
        <f t="array" ref="H1525">IF(
MOD(ROW()-2,6)=0,
INDEX('Form Responses'!I:I,INT((ROW()-2)/6)+2),
"-- NA --"
)</f>
        <v>-- NA --</v>
      </c>
      <c r="I1525" s="32" t="str">
        <f t="array" ref="I1525">IF(
MOD(ROW()-2,6)=0,
INDEX('Form Responses'!J:J,INT((ROW()-2)/6)+2),
"-- NA --"
)</f>
        <v>-- NA --</v>
      </c>
      <c r="J1525" s="6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</row>
    <row r="1526">
      <c r="A1526" s="26">
        <v>1525.0</v>
      </c>
      <c r="B1526" s="29" t="str">
        <f t="array" ref="B1526">INDEX('Form Responses'!$C:$C,INT((ROW()-2)/6)+2)</f>
        <v>MAVERICKS</v>
      </c>
      <c r="C1526" s="31" t="s">
        <v>140</v>
      </c>
      <c r="D1526" s="26" t="str">
        <f t="array" ref="D15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23AM032</v>
      </c>
      <c r="E1526" s="32" t="str">
        <f t="array" ref="E15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LOKITHA P</v>
      </c>
      <c r="F1526" s="26" t="str">
        <f t="array" ref="F15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26" s="26" t="str">
        <f t="array" ref="G15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26" s="26">
        <f t="array" ref="H1526">IF(
MOD(ROW()-2,6)=0,
INDEX('Form Responses'!I:I,INT((ROW()-2)/6)+2),
"-- NA --"
)</f>
        <v>9360001962</v>
      </c>
      <c r="I1526" s="32" t="str">
        <f t="array" ref="I1526">IF(
MOD(ROW()-2,6)=0,
INDEX('Form Responses'!J:J,INT((ROW()-2)/6)+2),
"-- NA --"
)</f>
        <v>lokitha.p2023aiml@sece.ac.in</v>
      </c>
      <c r="J1526" s="29" t="str">
        <f t="array" ref="J1526">INDEX('Form Responses'!$D:$D,INT((ROW()-2)/6)+2)</f>
        <v>Software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</row>
    <row r="1527">
      <c r="A1527" s="26">
        <v>1526.0</v>
      </c>
      <c r="B1527" s="33"/>
      <c r="C1527" s="26" t="s">
        <v>282</v>
      </c>
      <c r="D1527" s="26" t="str">
        <f t="array" ref="D15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23AM031</v>
      </c>
      <c r="E1527" s="32" t="str">
        <f t="array" ref="E15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KOUSHIKA V</v>
      </c>
      <c r="F1527" s="26" t="str">
        <f t="array" ref="F15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27" s="26" t="str">
        <f t="array" ref="G15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27" s="26" t="str">
        <f t="array" ref="H1527">IF(
MOD(ROW()-2,6)=0,
INDEX('Form Responses'!I:I,INT((ROW()-2)/6)+2),
"-- NA --"
)</f>
        <v>-- NA --</v>
      </c>
      <c r="I1527" s="32" t="str">
        <f t="array" ref="I1527">IF(
MOD(ROW()-2,6)=0,
INDEX('Form Responses'!J:J,INT((ROW()-2)/6)+2),
"-- NA --"
)</f>
        <v>-- NA --</v>
      </c>
      <c r="J1527" s="33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</row>
    <row r="1528">
      <c r="A1528" s="26">
        <v>1527.0</v>
      </c>
      <c r="B1528" s="33"/>
      <c r="C1528" s="26" t="s">
        <v>385</v>
      </c>
      <c r="D1528" s="26" t="str">
        <f t="array" ref="D15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23AM014</v>
      </c>
      <c r="E1528" s="32" t="str">
        <f t="array" ref="E15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S</v>
      </c>
      <c r="F1528" s="26" t="str">
        <f t="array" ref="F15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28" s="26" t="str">
        <f t="array" ref="G15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28" s="26" t="str">
        <f t="array" ref="H1528">IF(
MOD(ROW()-2,6)=0,
INDEX('Form Responses'!I:I,INT((ROW()-2)/6)+2),
"-- NA --"
)</f>
        <v>-- NA --</v>
      </c>
      <c r="I1528" s="32" t="str">
        <f t="array" ref="I1528">IF(
MOD(ROW()-2,6)=0,
INDEX('Form Responses'!J:J,INT((ROW()-2)/6)+2),
"-- NA --"
)</f>
        <v>-- NA --</v>
      </c>
      <c r="J1528" s="33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</row>
    <row r="1529">
      <c r="A1529" s="26">
        <v>1528.0</v>
      </c>
      <c r="B1529" s="33"/>
      <c r="C1529" s="26" t="s">
        <v>425</v>
      </c>
      <c r="D1529" s="26" t="str">
        <f t="array" ref="D15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23AM301</v>
      </c>
      <c r="E1529" s="32" t="str">
        <f t="array" ref="E15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HARIHARPRADEEP J</v>
      </c>
      <c r="F1529" s="26" t="str">
        <f t="array" ref="F15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29" s="26" t="str">
        <f t="array" ref="G15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29" s="26" t="str">
        <f t="array" ref="H1529">IF(
MOD(ROW()-2,6)=0,
INDEX('Form Responses'!I:I,INT((ROW()-2)/6)+2),
"-- NA --"
)</f>
        <v>-- NA --</v>
      </c>
      <c r="I1529" s="32" t="str">
        <f t="array" ref="I1529">IF(
MOD(ROW()-2,6)=0,
INDEX('Form Responses'!J:J,INT((ROW()-2)/6)+2),
"-- NA --"
)</f>
        <v>-- NA --</v>
      </c>
      <c r="J1529" s="33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>
      <c r="A1530" s="26">
        <v>1529.0</v>
      </c>
      <c r="B1530" s="33"/>
      <c r="C1530" s="26" t="s">
        <v>464</v>
      </c>
      <c r="D1530" s="26" t="str">
        <f t="array" ref="D15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23AM063</v>
      </c>
      <c r="E1530" s="32" t="str">
        <f t="array" ref="E15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YAZHINI R</v>
      </c>
      <c r="F1530" s="26" t="str">
        <f t="array" ref="F15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30" s="26" t="str">
        <f t="array" ref="G15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30" s="26" t="str">
        <f t="array" ref="H1530">IF(
MOD(ROW()-2,6)=0,
INDEX('Form Responses'!I:I,INT((ROW()-2)/6)+2),
"-- NA --"
)</f>
        <v>-- NA --</v>
      </c>
      <c r="I1530" s="32" t="str">
        <f t="array" ref="I1530">IF(
MOD(ROW()-2,6)=0,
INDEX('Form Responses'!J:J,INT((ROW()-2)/6)+2),
"-- NA --"
)</f>
        <v>-- NA --</v>
      </c>
      <c r="J1530" s="33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</row>
    <row r="1531">
      <c r="A1531" s="26">
        <v>1530.0</v>
      </c>
      <c r="B1531" s="6"/>
      <c r="C1531" s="26" t="s">
        <v>500</v>
      </c>
      <c r="D1531" s="26" t="str">
        <f t="array" ref="D15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23CB060</v>
      </c>
      <c r="E1531" s="32" t="str">
        <f t="array" ref="E15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VISHALI M</v>
      </c>
      <c r="F1531" s="26" t="str">
        <f t="array" ref="F15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31" s="26" t="str">
        <f t="array" ref="G15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531" s="26" t="str">
        <f t="array" ref="H1531">IF(
MOD(ROW()-2,6)=0,
INDEX('Form Responses'!I:I,INT((ROW()-2)/6)+2),
"-- NA --"
)</f>
        <v>-- NA --</v>
      </c>
      <c r="I1531" s="32" t="str">
        <f t="array" ref="I1531">IF(
MOD(ROW()-2,6)=0,
INDEX('Form Responses'!J:J,INT((ROW()-2)/6)+2),
"-- NA --"
)</f>
        <v>-- NA --</v>
      </c>
      <c r="J1531" s="6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</row>
    <row r="1532">
      <c r="A1532" s="26">
        <v>1531.0</v>
      </c>
      <c r="B1532" s="29" t="str">
        <f t="array" ref="B1532">INDEX('Form Responses'!$C:$C,INT((ROW()-2)/6)+2)</f>
        <v>The Orchestrators</v>
      </c>
      <c r="C1532" s="31" t="s">
        <v>140</v>
      </c>
      <c r="D1532" s="26" t="str">
        <f t="array" ref="D15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25AM104</v>
      </c>
      <c r="E1532" s="32" t="str">
        <f t="array" ref="E15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SRINITHI R</v>
      </c>
      <c r="F1532" s="26" t="str">
        <f t="array" ref="F15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32" s="26" t="str">
        <f t="array" ref="G15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32" s="26" t="str">
        <f t="array" ref="H1532">IF(
MOD(ROW()-2,6)=0,
INDEX('Form Responses'!I:I,INT((ROW()-2)/6)+2),
"-- NA --"
)</f>
        <v>+91 93617 79326</v>
      </c>
      <c r="I1532" s="32" t="str">
        <f t="array" ref="I1532">IF(
MOD(ROW()-2,6)=0,
INDEX('Form Responses'!J:J,INT((ROW()-2)/6)+2),
"-- NA --"
)</f>
        <v>srinithi.r2025aiml@sece.ac.in</v>
      </c>
      <c r="J1532" s="29" t="str">
        <f t="array" ref="J1532">INDEX('Form Responses'!$D:$D,INT((ROW()-2)/6)+2)</f>
        <v>Software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</row>
    <row r="1533">
      <c r="A1533" s="26">
        <v>1532.0</v>
      </c>
      <c r="B1533" s="33"/>
      <c r="C1533" s="26" t="s">
        <v>282</v>
      </c>
      <c r="D1533" s="26" t="str">
        <f t="array" ref="D15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25AM181</v>
      </c>
      <c r="E1533" s="32" t="str">
        <f t="array" ref="E15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SAMYUKTA R</v>
      </c>
      <c r="F1533" s="26" t="str">
        <f t="array" ref="F15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33" s="26" t="str">
        <f t="array" ref="G15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33" s="26" t="str">
        <f t="array" ref="H1533">IF(
MOD(ROW()-2,6)=0,
INDEX('Form Responses'!I:I,INT((ROW()-2)/6)+2),
"-- NA --"
)</f>
        <v>-- NA --</v>
      </c>
      <c r="I1533" s="32" t="str">
        <f t="array" ref="I1533">IF(
MOD(ROW()-2,6)=0,
INDEX('Form Responses'!J:J,INT((ROW()-2)/6)+2),
"-- NA --"
)</f>
        <v>-- NA --</v>
      </c>
      <c r="J1533" s="33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</row>
    <row r="1534">
      <c r="A1534" s="26">
        <v>1533.0</v>
      </c>
      <c r="B1534" s="33"/>
      <c r="C1534" s="26" t="s">
        <v>385</v>
      </c>
      <c r="D1534" s="26" t="str">
        <f t="array" ref="D15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25AD141 </v>
      </c>
      <c r="E1534" s="32" t="str">
        <f t="array" ref="E15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PAVITHRAN P N</v>
      </c>
      <c r="F1534" s="26" t="str">
        <f t="array" ref="F15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34" s="26" t="str">
        <f t="array" ref="G15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34" s="26" t="str">
        <f t="array" ref="H1534">IF(
MOD(ROW()-2,6)=0,
INDEX('Form Responses'!I:I,INT((ROW()-2)/6)+2),
"-- NA --"
)</f>
        <v>-- NA --</v>
      </c>
      <c r="I1534" s="32" t="str">
        <f t="array" ref="I1534">IF(
MOD(ROW()-2,6)=0,
INDEX('Form Responses'!J:J,INT((ROW()-2)/6)+2),
"-- NA --"
)</f>
        <v>-- NA --</v>
      </c>
      <c r="J1534" s="33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</row>
    <row r="1535">
      <c r="A1535" s="26">
        <v>1534.0</v>
      </c>
      <c r="B1535" s="33"/>
      <c r="C1535" s="26" t="s">
        <v>425</v>
      </c>
      <c r="D1535" s="26" t="str">
        <f t="array" ref="D15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25AD104</v>
      </c>
      <c r="E1535" s="32" t="str">
        <f t="array" ref="E15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KIRUBASHINI V</v>
      </c>
      <c r="F1535" s="26" t="str">
        <f t="array" ref="F15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35" s="26" t="str">
        <f t="array" ref="G15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35" s="26" t="str">
        <f t="array" ref="H1535">IF(
MOD(ROW()-2,6)=0,
INDEX('Form Responses'!I:I,INT((ROW()-2)/6)+2),
"-- NA --"
)</f>
        <v>-- NA --</v>
      </c>
      <c r="I1535" s="32" t="str">
        <f t="array" ref="I1535">IF(
MOD(ROW()-2,6)=0,
INDEX('Form Responses'!J:J,INT((ROW()-2)/6)+2),
"-- NA --"
)</f>
        <v>-- NA --</v>
      </c>
      <c r="J1535" s="33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</row>
    <row r="1536">
      <c r="A1536" s="26">
        <v>1535.0</v>
      </c>
      <c r="B1536" s="33"/>
      <c r="C1536" s="26" t="s">
        <v>464</v>
      </c>
      <c r="D1536" s="26" t="str">
        <f t="array" ref="D15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25AM084</v>
      </c>
      <c r="E1536" s="32" t="str">
        <f t="array" ref="E15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SALMON ANGELO S</v>
      </c>
      <c r="F1536" s="26" t="str">
        <f t="array" ref="F15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36" s="26" t="str">
        <f t="array" ref="G15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36" s="26" t="str">
        <f t="array" ref="H1536">IF(
MOD(ROW()-2,6)=0,
INDEX('Form Responses'!I:I,INT((ROW()-2)/6)+2),
"-- NA --"
)</f>
        <v>-- NA --</v>
      </c>
      <c r="I1536" s="32" t="str">
        <f t="array" ref="I1536">IF(
MOD(ROW()-2,6)=0,
INDEX('Form Responses'!J:J,INT((ROW()-2)/6)+2),
"-- NA --"
)</f>
        <v>-- NA --</v>
      </c>
      <c r="J1536" s="33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</row>
    <row r="1537">
      <c r="A1537" s="26">
        <v>1536.0</v>
      </c>
      <c r="B1537" s="6"/>
      <c r="C1537" s="26" t="s">
        <v>500</v>
      </c>
      <c r="D1537" s="26" t="str">
        <f t="array" ref="D15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23AD088</v>
      </c>
      <c r="E1537" s="32" t="str">
        <f t="array" ref="E15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NITHIN PRANAV</v>
      </c>
      <c r="F1537" s="26" t="str">
        <f t="array" ref="F15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537" s="26" t="str">
        <f t="array" ref="G15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37" s="26" t="str">
        <f t="array" ref="H1537">IF(
MOD(ROW()-2,6)=0,
INDEX('Form Responses'!I:I,INT((ROW()-2)/6)+2),
"-- NA --"
)</f>
        <v>-- NA --</v>
      </c>
      <c r="I1537" s="32" t="str">
        <f t="array" ref="I1537">IF(
MOD(ROW()-2,6)=0,
INDEX('Form Responses'!J:J,INT((ROW()-2)/6)+2),
"-- NA --"
)</f>
        <v>-- NA --</v>
      </c>
      <c r="J1537" s="6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</row>
    <row r="1538">
      <c r="A1538" s="26">
        <v>1537.0</v>
      </c>
      <c r="B1538" s="29" t="str">
        <f t="array" ref="B1538">INDEX('Form Responses'!$C:$C,INT((ROW()-2)/6)+2)</f>
        <v>LOGIDEVS</v>
      </c>
      <c r="C1538" s="31" t="s">
        <v>140</v>
      </c>
      <c r="D1538" s="26" t="str">
        <f t="array" ref="D15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24CS144</v>
      </c>
      <c r="E1538" s="32" t="str">
        <f t="array" ref="E15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MUGESH R</v>
      </c>
      <c r="F1538" s="26" t="str">
        <f t="array" ref="F15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38" s="26" t="str">
        <f t="array" ref="G15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38" s="26">
        <f t="array" ref="H1538">IF(
MOD(ROW()-2,6)=0,
INDEX('Form Responses'!I:I,INT((ROW()-2)/6)+2),
"-- NA --"
)</f>
        <v>9342525421</v>
      </c>
      <c r="I1538" s="32" t="str">
        <f t="array" ref="I1538">IF(
MOD(ROW()-2,6)=0,
INDEX('Form Responses'!J:J,INT((ROW()-2)/6)+2),
"-- NA --"
)</f>
        <v>mugesh.r2024cse@sece.ac.in</v>
      </c>
      <c r="J1538" s="29" t="str">
        <f t="array" ref="J1538">INDEX('Form Responses'!$D:$D,INT((ROW()-2)/6)+2)</f>
        <v>Hardware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</row>
    <row r="1539">
      <c r="A1539" s="26">
        <v>1538.0</v>
      </c>
      <c r="B1539" s="33"/>
      <c r="C1539" s="26" t="s">
        <v>282</v>
      </c>
      <c r="D1539" s="26" t="str">
        <f t="array" ref="D15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24CS147</v>
      </c>
      <c r="E1539" s="32" t="str">
        <f t="array" ref="E15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NAGUL A</v>
      </c>
      <c r="F1539" s="26" t="str">
        <f t="array" ref="F15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39" s="26" t="str">
        <f t="array" ref="G15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39" s="26" t="str">
        <f t="array" ref="H1539">IF(
MOD(ROW()-2,6)=0,
INDEX('Form Responses'!I:I,INT((ROW()-2)/6)+2),
"-- NA --"
)</f>
        <v>-- NA --</v>
      </c>
      <c r="I1539" s="32" t="str">
        <f t="array" ref="I1539">IF(
MOD(ROW()-2,6)=0,
INDEX('Form Responses'!J:J,INT((ROW()-2)/6)+2),
"-- NA --"
)</f>
        <v>-- NA --</v>
      </c>
      <c r="J1539" s="33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</row>
    <row r="1540">
      <c r="A1540" s="26">
        <v>1539.0</v>
      </c>
      <c r="B1540" s="33"/>
      <c r="C1540" s="26" t="s">
        <v>385</v>
      </c>
      <c r="D1540" s="26" t="str">
        <f t="array" ref="D15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24CS207</v>
      </c>
      <c r="E1540" s="32" t="str">
        <f t="array" ref="E15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SAIRAM D</v>
      </c>
      <c r="F1540" s="26" t="str">
        <f t="array" ref="F15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0" s="26" t="str">
        <f t="array" ref="G15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40" s="26" t="str">
        <f t="array" ref="H1540">IF(
MOD(ROW()-2,6)=0,
INDEX('Form Responses'!I:I,INT((ROW()-2)/6)+2),
"-- NA --"
)</f>
        <v>-- NA --</v>
      </c>
      <c r="I1540" s="32" t="str">
        <f t="array" ref="I1540">IF(
MOD(ROW()-2,6)=0,
INDEX('Form Responses'!J:J,INT((ROW()-2)/6)+2),
"-- NA --"
)</f>
        <v>-- NA --</v>
      </c>
      <c r="J1540" s="33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</row>
    <row r="1541">
      <c r="A1541" s="26">
        <v>1540.0</v>
      </c>
      <c r="B1541" s="33"/>
      <c r="C1541" s="26" t="s">
        <v>425</v>
      </c>
      <c r="D1541" s="26" t="str">
        <f t="array" ref="D15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24CS184</v>
      </c>
      <c r="E1541" s="32" t="str">
        <f t="array" ref="E15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PUVIARASU S E</v>
      </c>
      <c r="F1541" s="26" t="str">
        <f t="array" ref="F15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1" s="26" t="str">
        <f t="array" ref="G15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41" s="26" t="str">
        <f t="array" ref="H1541">IF(
MOD(ROW()-2,6)=0,
INDEX('Form Responses'!I:I,INT((ROW()-2)/6)+2),
"-- NA --"
)</f>
        <v>-- NA --</v>
      </c>
      <c r="I1541" s="32" t="str">
        <f t="array" ref="I1541">IF(
MOD(ROW()-2,6)=0,
INDEX('Form Responses'!J:J,INT((ROW()-2)/6)+2),
"-- NA --"
)</f>
        <v>-- NA --</v>
      </c>
      <c r="J1541" s="33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</row>
    <row r="1542">
      <c r="A1542" s="26">
        <v>1541.0</v>
      </c>
      <c r="B1542" s="33"/>
      <c r="C1542" s="26" t="s">
        <v>464</v>
      </c>
      <c r="D1542" s="26" t="str">
        <f t="array" ref="D15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24CC051</v>
      </c>
      <c r="E1542" s="32" t="str">
        <f t="array" ref="E15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SHRUTHILAYA N S</v>
      </c>
      <c r="F1542" s="26" t="str">
        <f t="array" ref="F15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2" s="26" t="str">
        <f t="array" ref="G15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42" s="26" t="str">
        <f t="array" ref="H1542">IF(
MOD(ROW()-2,6)=0,
INDEX('Form Responses'!I:I,INT((ROW()-2)/6)+2),
"-- NA --"
)</f>
        <v>-- NA --</v>
      </c>
      <c r="I1542" s="32" t="str">
        <f t="array" ref="I1542">IF(
MOD(ROW()-2,6)=0,
INDEX('Form Responses'!J:J,INT((ROW()-2)/6)+2),
"-- NA --"
)</f>
        <v>-- NA --</v>
      </c>
      <c r="J1542" s="33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</row>
    <row r="1543">
      <c r="A1543" s="26">
        <v>1542.0</v>
      </c>
      <c r="B1543" s="6"/>
      <c r="C1543" s="26" t="s">
        <v>500</v>
      </c>
      <c r="D1543" s="26" t="str">
        <f t="array" ref="D15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24CC040</v>
      </c>
      <c r="E1543" s="32" t="str">
        <f t="array" ref="E15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PRATHEKSHA S</v>
      </c>
      <c r="F1543" s="26" t="str">
        <f t="array" ref="F15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3" s="26" t="str">
        <f t="array" ref="G15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43" s="26" t="str">
        <f t="array" ref="H1543">IF(
MOD(ROW()-2,6)=0,
INDEX('Form Responses'!I:I,INT((ROW()-2)/6)+2),
"-- NA --"
)</f>
        <v>-- NA --</v>
      </c>
      <c r="I1543" s="32" t="str">
        <f t="array" ref="I1543">IF(
MOD(ROW()-2,6)=0,
INDEX('Form Responses'!J:J,INT((ROW()-2)/6)+2),
"-- NA --"
)</f>
        <v>-- NA --</v>
      </c>
      <c r="J1543" s="6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</row>
    <row r="1544">
      <c r="A1544" s="26">
        <v>1543.0</v>
      </c>
      <c r="B1544" s="29" t="str">
        <f t="array" ref="B1544">INDEX('Form Responses'!$C:$C,INT((ROW()-2)/6)+2)</f>
        <v>DIGITAL PIRATES</v>
      </c>
      <c r="C1544" s="31" t="s">
        <v>140</v>
      </c>
      <c r="D1544" s="26" t="str">
        <f t="array" ref="D15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24SY057</v>
      </c>
      <c r="E1544" s="32" t="str">
        <f t="array" ref="E15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SURYAGANTHAN R</v>
      </c>
      <c r="F1544" s="26" t="str">
        <f t="array" ref="F15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4" s="26" t="str">
        <f t="array" ref="G15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44" s="26">
        <f t="array" ref="H1544">IF(
MOD(ROW()-2,6)=0,
INDEX('Form Responses'!I:I,INT((ROW()-2)/6)+2),
"-- NA --"
)</f>
        <v>6381926572</v>
      </c>
      <c r="I1544" s="32" t="str">
        <f t="array" ref="I1544">IF(
MOD(ROW()-2,6)=0,
INDEX('Form Responses'!J:J,INT((ROW()-2)/6)+2),
"-- NA --"
)</f>
        <v>suryaganthan.r2024csecs@sece.ac.in</v>
      </c>
      <c r="J1544" s="29" t="str">
        <f t="array" ref="J1544">INDEX('Form Responses'!$D:$D,INT((ROW()-2)/6)+2)</f>
        <v>Software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</row>
    <row r="1545">
      <c r="A1545" s="26">
        <v>1544.0</v>
      </c>
      <c r="B1545" s="33"/>
      <c r="C1545" s="26" t="s">
        <v>282</v>
      </c>
      <c r="D1545" s="26" t="str">
        <f t="array" ref="D15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24SY046</v>
      </c>
      <c r="E1545" s="32" t="str">
        <f t="array" ref="E15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SHABHIKA S</v>
      </c>
      <c r="F1545" s="26" t="str">
        <f t="array" ref="F15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5" s="26" t="str">
        <f t="array" ref="G15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45" s="26" t="str">
        <f t="array" ref="H1545">IF(
MOD(ROW()-2,6)=0,
INDEX('Form Responses'!I:I,INT((ROW()-2)/6)+2),
"-- NA --"
)</f>
        <v>-- NA --</v>
      </c>
      <c r="I1545" s="32" t="str">
        <f t="array" ref="I1545">IF(
MOD(ROW()-2,6)=0,
INDEX('Form Responses'!J:J,INT((ROW()-2)/6)+2),
"-- NA --"
)</f>
        <v>-- NA --</v>
      </c>
      <c r="J1545" s="33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</row>
    <row r="1546">
      <c r="A1546" s="26">
        <v>1545.0</v>
      </c>
      <c r="B1546" s="33"/>
      <c r="C1546" s="26" t="s">
        <v>385</v>
      </c>
      <c r="D1546" s="26" t="str">
        <f t="array" ref="D15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24CS009 </v>
      </c>
      <c r="E1546" s="32" t="str">
        <f t="array" ref="E15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AISHWARYA S R</v>
      </c>
      <c r="F1546" s="26" t="str">
        <f t="array" ref="F15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6" s="26" t="str">
        <f t="array" ref="G15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46" s="26" t="str">
        <f t="array" ref="H1546">IF(
MOD(ROW()-2,6)=0,
INDEX('Form Responses'!I:I,INT((ROW()-2)/6)+2),
"-- NA --"
)</f>
        <v>-- NA --</v>
      </c>
      <c r="I1546" s="32" t="str">
        <f t="array" ref="I1546">IF(
MOD(ROW()-2,6)=0,
INDEX('Form Responses'!J:J,INT((ROW()-2)/6)+2),
"-- NA --"
)</f>
        <v>-- NA --</v>
      </c>
      <c r="J1546" s="33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</row>
    <row r="1547">
      <c r="A1547" s="26">
        <v>1546.0</v>
      </c>
      <c r="B1547" s="33"/>
      <c r="C1547" s="26" t="s">
        <v>425</v>
      </c>
      <c r="D1547" s="26" t="str">
        <f t="array" ref="D15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24CS007</v>
      </c>
      <c r="E1547" s="32" t="str">
        <f t="array" ref="E15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AHMED RIFAZ M</v>
      </c>
      <c r="F1547" s="26" t="str">
        <f t="array" ref="F15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7" s="26" t="str">
        <f t="array" ref="G15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47" s="26" t="str">
        <f t="array" ref="H1547">IF(
MOD(ROW()-2,6)=0,
INDEX('Form Responses'!I:I,INT((ROW()-2)/6)+2),
"-- NA --"
)</f>
        <v>-- NA --</v>
      </c>
      <c r="I1547" s="32" t="str">
        <f t="array" ref="I1547">IF(
MOD(ROW()-2,6)=0,
INDEX('Form Responses'!J:J,INT((ROW()-2)/6)+2),
"-- NA --"
)</f>
        <v>-- NA --</v>
      </c>
      <c r="J1547" s="33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</row>
    <row r="1548">
      <c r="A1548" s="26">
        <v>1547.0</v>
      </c>
      <c r="B1548" s="33"/>
      <c r="C1548" s="26" t="s">
        <v>464</v>
      </c>
      <c r="D1548" s="26" t="str">
        <f t="array" ref="D15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24SY005</v>
      </c>
      <c r="E1548" s="32" t="str">
        <f t="array" ref="E15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ASWIN M S</v>
      </c>
      <c r="F1548" s="26" t="str">
        <f t="array" ref="F15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8" s="26" t="str">
        <f t="array" ref="G15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48" s="26" t="str">
        <f t="array" ref="H1548">IF(
MOD(ROW()-2,6)=0,
INDEX('Form Responses'!I:I,INT((ROW()-2)/6)+2),
"-- NA --"
)</f>
        <v>-- NA --</v>
      </c>
      <c r="I1548" s="32" t="str">
        <f t="array" ref="I1548">IF(
MOD(ROW()-2,6)=0,
INDEX('Form Responses'!J:J,INT((ROW()-2)/6)+2),
"-- NA --"
)</f>
        <v>-- NA --</v>
      </c>
      <c r="J1548" s="33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</row>
    <row r="1549">
      <c r="A1549" s="26">
        <v>1548.0</v>
      </c>
      <c r="B1549" s="6"/>
      <c r="C1549" s="26" t="s">
        <v>500</v>
      </c>
      <c r="D1549" s="26" t="str">
        <f t="array" ref="D15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24CS206</v>
      </c>
      <c r="E1549" s="32" t="str">
        <f t="array" ref="E15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SAI KRISHNAN S</v>
      </c>
      <c r="F1549" s="26" t="str">
        <f t="array" ref="F15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49" s="26" t="str">
        <f t="array" ref="G15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49" s="26" t="str">
        <f t="array" ref="H1549">IF(
MOD(ROW()-2,6)=0,
INDEX('Form Responses'!I:I,INT((ROW()-2)/6)+2),
"-- NA --"
)</f>
        <v>-- NA --</v>
      </c>
      <c r="I1549" s="32" t="str">
        <f t="array" ref="I1549">IF(
MOD(ROW()-2,6)=0,
INDEX('Form Responses'!J:J,INT((ROW()-2)/6)+2),
"-- NA --"
)</f>
        <v>-- NA --</v>
      </c>
      <c r="J1549" s="6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</row>
    <row r="1550">
      <c r="A1550" s="26">
        <v>1549.0</v>
      </c>
      <c r="B1550" s="29" t="str">
        <f t="array" ref="B1550">INDEX('Form Responses'!$C:$C,INT((ROW()-2)/6)+2)</f>
        <v>CATALYST CREW</v>
      </c>
      <c r="C1550" s="31" t="s">
        <v>140</v>
      </c>
      <c r="D1550" s="26" t="str">
        <f t="array" ref="D15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24AM001 </v>
      </c>
      <c r="E1550" s="32" t="str">
        <f t="array" ref="E15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 S ABINIVAS </v>
      </c>
      <c r="F1550" s="26" t="str">
        <f t="array" ref="F15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0" s="26" t="str">
        <f t="array" ref="G15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50" s="26">
        <f t="array" ref="H1550">IF(
MOD(ROW()-2,6)=0,
INDEX('Form Responses'!I:I,INT((ROW()-2)/6)+2),
"-- NA --"
)</f>
        <v>9080903521</v>
      </c>
      <c r="I1550" s="32" t="str">
        <f t="array" ref="I1550">IF(
MOD(ROW()-2,6)=0,
INDEX('Form Responses'!J:J,INT((ROW()-2)/6)+2),
"-- NA --"
)</f>
        <v>abinivas.gs2024aiml@sece.ac.in</v>
      </c>
      <c r="J1550" s="29" t="str">
        <f t="array" ref="J1550">INDEX('Form Responses'!$D:$D,INT((ROW()-2)/6)+2)</f>
        <v>Software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</row>
    <row r="1551">
      <c r="A1551" s="26">
        <v>1550.0</v>
      </c>
      <c r="B1551" s="33"/>
      <c r="C1551" s="26" t="s">
        <v>282</v>
      </c>
      <c r="D1551" s="26" t="str">
        <f t="array" ref="D15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24AM024</v>
      </c>
      <c r="E1551" s="32" t="str">
        <f t="array" ref="E15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Enoch Jason J</v>
      </c>
      <c r="F1551" s="26" t="str">
        <f t="array" ref="F15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1" s="26" t="str">
        <f t="array" ref="G15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51" s="26" t="str">
        <f t="array" ref="H1551">IF(
MOD(ROW()-2,6)=0,
INDEX('Form Responses'!I:I,INT((ROW()-2)/6)+2),
"-- NA --"
)</f>
        <v>-- NA --</v>
      </c>
      <c r="I1551" s="32" t="str">
        <f t="array" ref="I1551">IF(
MOD(ROW()-2,6)=0,
INDEX('Form Responses'!J:J,INT((ROW()-2)/6)+2),
"-- NA --"
)</f>
        <v>-- NA --</v>
      </c>
      <c r="J1551" s="33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</row>
    <row r="1552">
      <c r="A1552" s="26">
        <v>1551.0</v>
      </c>
      <c r="B1552" s="33"/>
      <c r="C1552" s="26" t="s">
        <v>385</v>
      </c>
      <c r="D1552" s="26" t="str">
        <f t="array" ref="D15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24CS012</v>
      </c>
      <c r="E1552" s="32" t="str">
        <f t="array" ref="E15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Akilesh Saravanan</v>
      </c>
      <c r="F1552" s="26" t="str">
        <f t="array" ref="F15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2" s="26" t="str">
        <f t="array" ref="G15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52" s="26" t="str">
        <f t="array" ref="H1552">IF(
MOD(ROW()-2,6)=0,
INDEX('Form Responses'!I:I,INT((ROW()-2)/6)+2),
"-- NA --"
)</f>
        <v>-- NA --</v>
      </c>
      <c r="I1552" s="32" t="str">
        <f t="array" ref="I1552">IF(
MOD(ROW()-2,6)=0,
INDEX('Form Responses'!J:J,INT((ROW()-2)/6)+2),
"-- NA --"
)</f>
        <v>-- NA --</v>
      </c>
      <c r="J1552" s="33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</row>
    <row r="1553">
      <c r="A1553" s="26">
        <v>1552.0</v>
      </c>
      <c r="B1553" s="33"/>
      <c r="C1553" s="26" t="s">
        <v>425</v>
      </c>
      <c r="D1553" s="26" t="str">
        <f t="array" ref="D15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24CS043</v>
      </c>
      <c r="E1553" s="32" t="str">
        <f t="array" ref="E15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Deepan G</v>
      </c>
      <c r="F1553" s="26" t="str">
        <f t="array" ref="F15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3" s="26" t="str">
        <f t="array" ref="G15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53" s="26" t="str">
        <f t="array" ref="H1553">IF(
MOD(ROW()-2,6)=0,
INDEX('Form Responses'!I:I,INT((ROW()-2)/6)+2),
"-- NA --"
)</f>
        <v>-- NA --</v>
      </c>
      <c r="I1553" s="32" t="str">
        <f t="array" ref="I1553">IF(
MOD(ROW()-2,6)=0,
INDEX('Form Responses'!J:J,INT((ROW()-2)/6)+2),
"-- NA --"
)</f>
        <v>-- NA --</v>
      </c>
      <c r="J1553" s="33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</row>
    <row r="1554">
      <c r="A1554" s="26">
        <v>1553.0</v>
      </c>
      <c r="B1554" s="33"/>
      <c r="C1554" s="26" t="s">
        <v>464</v>
      </c>
      <c r="D1554" s="26" t="str">
        <f t="array" ref="D15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24CB064</v>
      </c>
      <c r="E1554" s="32" t="str">
        <f t="array" ref="E15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Visnu Visalini K K</v>
      </c>
      <c r="F1554" s="26" t="str">
        <f t="array" ref="F15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4" s="26" t="str">
        <f t="array" ref="G15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554" s="26" t="str">
        <f t="array" ref="H1554">IF(
MOD(ROW()-2,6)=0,
INDEX('Form Responses'!I:I,INT((ROW()-2)/6)+2),
"-- NA --"
)</f>
        <v>-- NA --</v>
      </c>
      <c r="I1554" s="32" t="str">
        <f t="array" ref="I1554">IF(
MOD(ROW()-2,6)=0,
INDEX('Form Responses'!J:J,INT((ROW()-2)/6)+2),
"-- NA --"
)</f>
        <v>-- NA --</v>
      </c>
      <c r="J1554" s="33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</row>
    <row r="1555">
      <c r="A1555" s="26">
        <v>1554.0</v>
      </c>
      <c r="B1555" s="6"/>
      <c r="C1555" s="26" t="s">
        <v>500</v>
      </c>
      <c r="D1555" s="26" t="str">
        <f t="array" ref="D15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24CC045</v>
      </c>
      <c r="E1555" s="32" t="str">
        <f t="array" ref="E15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Sadhana V</v>
      </c>
      <c r="F1555" s="26" t="str">
        <f t="array" ref="F15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5" s="26" t="str">
        <f t="array" ref="G15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55" s="26" t="str">
        <f t="array" ref="H1555">IF(
MOD(ROW()-2,6)=0,
INDEX('Form Responses'!I:I,INT((ROW()-2)/6)+2),
"-- NA --"
)</f>
        <v>-- NA --</v>
      </c>
      <c r="I1555" s="32" t="str">
        <f t="array" ref="I1555">IF(
MOD(ROW()-2,6)=0,
INDEX('Form Responses'!J:J,INT((ROW()-2)/6)+2),
"-- NA --"
)</f>
        <v>-- NA --</v>
      </c>
      <c r="J1555" s="6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</row>
    <row r="1556">
      <c r="A1556" s="26">
        <v>1555.0</v>
      </c>
      <c r="B1556" s="29" t="str">
        <f t="array" ref="B1556">INDEX('Form Responses'!$C:$C,INT((ROW()-2)/6)+2)</f>
        <v>Kinetiq</v>
      </c>
      <c r="C1556" s="31" t="s">
        <v>140</v>
      </c>
      <c r="D1556" s="26" t="str">
        <f t="array" ref="D15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24CC008</v>
      </c>
      <c r="E1556" s="32" t="str">
        <f t="array" ref="E15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BOOPANA M</v>
      </c>
      <c r="F1556" s="26" t="str">
        <f t="array" ref="F15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6" s="26" t="str">
        <f t="array" ref="G15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56" s="26">
        <f t="array" ref="H1556">IF(
MOD(ROW()-2,6)=0,
INDEX('Form Responses'!I:I,INT((ROW()-2)/6)+2),
"-- NA --"
)</f>
        <v>8148016372</v>
      </c>
      <c r="I1556" s="32" t="str">
        <f t="array" ref="I1556">IF(
MOD(ROW()-2,6)=0,
INDEX('Form Responses'!J:J,INT((ROW()-2)/6)+2),
"-- NA --"
)</f>
        <v>boopana.m2024cce@sece.ac.in</v>
      </c>
      <c r="J1556" s="29" t="str">
        <f t="array" ref="J1556">INDEX('Form Responses'!$D:$D,INT((ROW()-2)/6)+2)</f>
        <v>Software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</row>
    <row r="1557">
      <c r="A1557" s="26">
        <v>1556.0</v>
      </c>
      <c r="B1557" s="33"/>
      <c r="C1557" s="26" t="s">
        <v>282</v>
      </c>
      <c r="D1557" s="26" t="str">
        <f t="array" ref="D15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24EE015</v>
      </c>
      <c r="E1557" s="32" t="str">
        <f t="array" ref="E15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 HARAN R</v>
      </c>
      <c r="F1557" s="26" t="str">
        <f t="array" ref="F15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7" s="26" t="str">
        <f t="array" ref="G15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557" s="26" t="str">
        <f t="array" ref="H1557">IF(
MOD(ROW()-2,6)=0,
INDEX('Form Responses'!I:I,INT((ROW()-2)/6)+2),
"-- NA --"
)</f>
        <v>-- NA --</v>
      </c>
      <c r="I1557" s="32" t="str">
        <f t="array" ref="I1557">IF(
MOD(ROW()-2,6)=0,
INDEX('Form Responses'!J:J,INT((ROW()-2)/6)+2),
"-- NA --"
)</f>
        <v>-- NA --</v>
      </c>
      <c r="J1557" s="33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</row>
    <row r="1558">
      <c r="A1558" s="26">
        <v>1557.0</v>
      </c>
      <c r="B1558" s="33"/>
      <c r="C1558" s="26" t="s">
        <v>385</v>
      </c>
      <c r="D1558" s="26" t="str">
        <f t="array" ref="D15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24EE018</v>
      </c>
      <c r="E1558" s="32" t="str">
        <f t="array" ref="E15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 S</v>
      </c>
      <c r="F1558" s="26" t="str">
        <f t="array" ref="F15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8" s="26" t="str">
        <f t="array" ref="G15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EEE</v>
      </c>
      <c r="H1558" s="26" t="str">
        <f t="array" ref="H1558">IF(
MOD(ROW()-2,6)=0,
INDEX('Form Responses'!I:I,INT((ROW()-2)/6)+2),
"-- NA --"
)</f>
        <v>-- NA --</v>
      </c>
      <c r="I1558" s="32" t="str">
        <f t="array" ref="I1558">IF(
MOD(ROW()-2,6)=0,
INDEX('Form Responses'!J:J,INT((ROW()-2)/6)+2),
"-- NA --"
)</f>
        <v>-- NA --</v>
      </c>
      <c r="J1558" s="33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</row>
    <row r="1559">
      <c r="A1559" s="26">
        <v>1558.0</v>
      </c>
      <c r="B1559" s="33"/>
      <c r="C1559" s="26" t="s">
        <v>425</v>
      </c>
      <c r="D1559" s="26" t="str">
        <f t="array" ref="D15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24CC010</v>
      </c>
      <c r="E1559" s="32" t="str">
        <f t="array" ref="E15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DEEPIGA R S</v>
      </c>
      <c r="F1559" s="26" t="str">
        <f t="array" ref="F15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59" s="26" t="str">
        <f t="array" ref="G15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59" s="26" t="str">
        <f t="array" ref="H1559">IF(
MOD(ROW()-2,6)=0,
INDEX('Form Responses'!I:I,INT((ROW()-2)/6)+2),
"-- NA --"
)</f>
        <v>-- NA --</v>
      </c>
      <c r="I1559" s="32" t="str">
        <f t="array" ref="I1559">IF(
MOD(ROW()-2,6)=0,
INDEX('Form Responses'!J:J,INT((ROW()-2)/6)+2),
"-- NA --"
)</f>
        <v>-- NA --</v>
      </c>
      <c r="J1559" s="33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</row>
    <row r="1560">
      <c r="A1560" s="26">
        <v>1559.0</v>
      </c>
      <c r="B1560" s="33"/>
      <c r="C1560" s="26" t="s">
        <v>464</v>
      </c>
      <c r="D1560" s="26" t="str">
        <f t="array" ref="D15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24EC064</v>
      </c>
      <c r="E1560" s="32" t="str">
        <f t="array" ref="E15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JOSHUA ISRAEL S</v>
      </c>
      <c r="F1560" s="26" t="str">
        <f t="array" ref="F15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0" s="26" t="str">
        <f t="array" ref="G15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60" s="26" t="str">
        <f t="array" ref="H1560">IF(
MOD(ROW()-2,6)=0,
INDEX('Form Responses'!I:I,INT((ROW()-2)/6)+2),
"-- NA --"
)</f>
        <v>-- NA --</v>
      </c>
      <c r="I1560" s="32" t="str">
        <f t="array" ref="I1560">IF(
MOD(ROW()-2,6)=0,
INDEX('Form Responses'!J:J,INT((ROW()-2)/6)+2),
"-- NA --"
)</f>
        <v>-- NA --</v>
      </c>
      <c r="J1560" s="33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</row>
    <row r="1561">
      <c r="A1561" s="26">
        <v>1560.0</v>
      </c>
      <c r="B1561" s="6"/>
      <c r="C1561" s="26" t="s">
        <v>500</v>
      </c>
      <c r="D1561" s="26" t="str">
        <f t="array" ref="D15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24CS157</v>
      </c>
      <c r="E1561" s="32" t="str">
        <f t="array" ref="E15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NETHRA S</v>
      </c>
      <c r="F1561" s="26" t="str">
        <f t="array" ref="F15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1" s="26" t="str">
        <f t="array" ref="G15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61" s="26" t="str">
        <f t="array" ref="H1561">IF(
MOD(ROW()-2,6)=0,
INDEX('Form Responses'!I:I,INT((ROW()-2)/6)+2),
"-- NA --"
)</f>
        <v>-- NA --</v>
      </c>
      <c r="I1561" s="32" t="str">
        <f t="array" ref="I1561">IF(
MOD(ROW()-2,6)=0,
INDEX('Form Responses'!J:J,INT((ROW()-2)/6)+2),
"-- NA --"
)</f>
        <v>-- NA --</v>
      </c>
      <c r="J1561" s="6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</row>
    <row r="1562">
      <c r="A1562" s="26">
        <v>1561.0</v>
      </c>
      <c r="B1562" s="29" t="str">
        <f t="array" ref="B1562">INDEX('Form Responses'!$C:$C,INT((ROW()-2)/6)+2)</f>
        <v>VISION X 2</v>
      </c>
      <c r="C1562" s="31" t="s">
        <v>140</v>
      </c>
      <c r="D1562" s="26" t="str">
        <f t="array" ref="D15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24AD044</v>
      </c>
      <c r="E1562" s="32" t="str">
        <f t="array" ref="E15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DHARSHINI PRIYA R</v>
      </c>
      <c r="F1562" s="26" t="str">
        <f t="array" ref="F15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2" s="26" t="str">
        <f t="array" ref="G15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62" s="26">
        <f t="array" ref="H1562">IF(
MOD(ROW()-2,6)=0,
INDEX('Form Responses'!I:I,INT((ROW()-2)/6)+2),
"-- NA --"
)</f>
        <v>9789308941</v>
      </c>
      <c r="I1562" s="32" t="str">
        <f t="array" ref="I1562">IF(
MOD(ROW()-2,6)=0,
INDEX('Form Responses'!J:J,INT((ROW()-2)/6)+2),
"-- NA --"
)</f>
        <v>dharshinipriya.r2024aids@sece.ac.in</v>
      </c>
      <c r="J1562" s="29" t="str">
        <f t="array" ref="J1562">INDEX('Form Responses'!$D:$D,INT((ROW()-2)/6)+2)</f>
        <v>Software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</row>
    <row r="1563">
      <c r="A1563" s="26">
        <v>1562.0</v>
      </c>
      <c r="B1563" s="33"/>
      <c r="C1563" s="26" t="s">
        <v>282</v>
      </c>
      <c r="D1563" s="26" t="str">
        <f t="array" ref="D15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25AD164</v>
      </c>
      <c r="E1563" s="32" t="str">
        <f t="array" ref="E15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RAMANISRI S</v>
      </c>
      <c r="F1563" s="26" t="str">
        <f t="array" ref="F15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63" s="26" t="str">
        <f t="array" ref="G15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63" s="26" t="str">
        <f t="array" ref="H1563">IF(
MOD(ROW()-2,6)=0,
INDEX('Form Responses'!I:I,INT((ROW()-2)/6)+2),
"-- NA --"
)</f>
        <v>-- NA --</v>
      </c>
      <c r="I1563" s="32" t="str">
        <f t="array" ref="I1563">IF(
MOD(ROW()-2,6)=0,
INDEX('Form Responses'!J:J,INT((ROW()-2)/6)+2),
"-- NA --"
)</f>
        <v>-- NA --</v>
      </c>
      <c r="J1563" s="33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</row>
    <row r="1564">
      <c r="A1564" s="26">
        <v>1563.0</v>
      </c>
      <c r="B1564" s="33"/>
      <c r="C1564" s="26" t="s">
        <v>385</v>
      </c>
      <c r="D1564" s="26" t="str">
        <f t="array" ref="D15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25AD133</v>
      </c>
      <c r="E1564" s="32" t="str">
        <f t="array" ref="E15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NILANISRI B</v>
      </c>
      <c r="F1564" s="26" t="str">
        <f t="array" ref="F15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64" s="26" t="str">
        <f t="array" ref="G15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64" s="26" t="str">
        <f t="array" ref="H1564">IF(
MOD(ROW()-2,6)=0,
INDEX('Form Responses'!I:I,INT((ROW()-2)/6)+2),
"-- NA --"
)</f>
        <v>-- NA --</v>
      </c>
      <c r="I1564" s="32" t="str">
        <f t="array" ref="I1564">IF(
MOD(ROW()-2,6)=0,
INDEX('Form Responses'!J:J,INT((ROW()-2)/6)+2),
"-- NA --"
)</f>
        <v>-- NA --</v>
      </c>
      <c r="J1564" s="33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>
      <c r="A1565" s="26">
        <v>1564.0</v>
      </c>
      <c r="B1565" s="33"/>
      <c r="C1565" s="26" t="s">
        <v>425</v>
      </c>
      <c r="D1565" s="26" t="str">
        <f t="array" ref="D15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25AD129</v>
      </c>
      <c r="E1565" s="32" t="str">
        <f t="array" ref="E15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NETHRA V</v>
      </c>
      <c r="F1565" s="26" t="str">
        <f t="array" ref="F15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65" s="26" t="str">
        <f t="array" ref="G15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65" s="26" t="str">
        <f t="array" ref="H1565">IF(
MOD(ROW()-2,6)=0,
INDEX('Form Responses'!I:I,INT((ROW()-2)/6)+2),
"-- NA --"
)</f>
        <v>-- NA --</v>
      </c>
      <c r="I1565" s="32" t="str">
        <f t="array" ref="I1565">IF(
MOD(ROW()-2,6)=0,
INDEX('Form Responses'!J:J,INT((ROW()-2)/6)+2),
"-- NA --"
)</f>
        <v>-- NA --</v>
      </c>
      <c r="J1565" s="33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</row>
    <row r="1566">
      <c r="A1566" s="26">
        <v>1565.0</v>
      </c>
      <c r="B1566" s="33"/>
      <c r="C1566" s="26" t="s">
        <v>464</v>
      </c>
      <c r="D1566" s="26" t="str">
        <f t="array" ref="D15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25SY014</v>
      </c>
      <c r="E1566" s="32" t="str">
        <f t="array" ref="E15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DHARSHAN S</v>
      </c>
      <c r="F1566" s="26" t="str">
        <f t="array" ref="F15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66" s="26" t="str">
        <f t="array" ref="G15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66" s="26" t="str">
        <f t="array" ref="H1566">IF(
MOD(ROW()-2,6)=0,
INDEX('Form Responses'!I:I,INT((ROW()-2)/6)+2),
"-- NA --"
)</f>
        <v>-- NA --</v>
      </c>
      <c r="I1566" s="32" t="str">
        <f t="array" ref="I1566">IF(
MOD(ROW()-2,6)=0,
INDEX('Form Responses'!J:J,INT((ROW()-2)/6)+2),
"-- NA --"
)</f>
        <v>-- NA --</v>
      </c>
      <c r="J1566" s="33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</row>
    <row r="1567">
      <c r="A1567" s="26">
        <v>1566.0</v>
      </c>
      <c r="B1567" s="6"/>
      <c r="C1567" s="26" t="s">
        <v>500</v>
      </c>
      <c r="D1567" s="26" t="str">
        <f t="array" ref="D15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25SY029</v>
      </c>
      <c r="E1567" s="32" t="str">
        <f t="array" ref="E15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 KOUSHAL </v>
      </c>
      <c r="F1567" s="26" t="str">
        <f t="array" ref="F15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67" s="26" t="str">
        <f t="array" ref="G15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(CYS)</v>
      </c>
      <c r="H1567" s="26" t="str">
        <f t="array" ref="H1567">IF(
MOD(ROW()-2,6)=0,
INDEX('Form Responses'!I:I,INT((ROW()-2)/6)+2),
"-- NA --"
)</f>
        <v>-- NA --</v>
      </c>
      <c r="I1567" s="32" t="str">
        <f t="array" ref="I1567">IF(
MOD(ROW()-2,6)=0,
INDEX('Form Responses'!J:J,INT((ROW()-2)/6)+2),
"-- NA --"
)</f>
        <v>-- NA --</v>
      </c>
      <c r="J1567" s="6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</row>
    <row r="1568">
      <c r="A1568" s="26">
        <v>1567.0</v>
      </c>
      <c r="B1568" s="29" t="str">
        <f t="array" ref="B1568">INDEX('Form Responses'!$C:$C,INT((ROW()-2)/6)+2)</f>
        <v>Fortune-14</v>
      </c>
      <c r="C1568" s="31" t="s">
        <v>140</v>
      </c>
      <c r="D1568" s="26" t="str">
        <f t="array" ref="D15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24CS302</v>
      </c>
      <c r="E1568" s="32" t="str">
        <f t="array" ref="E15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ABINIVESH M</v>
      </c>
      <c r="F1568" s="26" t="str">
        <f t="array" ref="F15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8" s="26" t="str">
        <f t="array" ref="G15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68" s="26">
        <f t="array" ref="H1568">IF(
MOD(ROW()-2,6)=0,
INDEX('Form Responses'!I:I,INT((ROW()-2)/6)+2),
"-- NA --"
)</f>
        <v>9361937819</v>
      </c>
      <c r="I1568" s="32" t="str">
        <f t="array" ref="I1568">IF(
MOD(ROW()-2,6)=0,
INDEX('Form Responses'!J:J,INT((ROW()-2)/6)+2),
"-- NA --"
)</f>
        <v>abinivesh.m2024lcse@sece.ac.in</v>
      </c>
      <c r="J1568" s="29" t="str">
        <f t="array" ref="J1568">INDEX('Form Responses'!$D:$D,INT((ROW()-2)/6)+2)</f>
        <v>Software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</row>
    <row r="1569">
      <c r="A1569" s="26">
        <v>1568.0</v>
      </c>
      <c r="B1569" s="33"/>
      <c r="C1569" s="26" t="s">
        <v>282</v>
      </c>
      <c r="D1569" s="26" t="str">
        <f t="array" ref="D15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24CS004</v>
      </c>
      <c r="E1569" s="32" t="str">
        <f t="array" ref="E15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ABI SHREE R</v>
      </c>
      <c r="F1569" s="26" t="str">
        <f t="array" ref="F15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69" s="26" t="str">
        <f t="array" ref="G15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69" s="26" t="str">
        <f t="array" ref="H1569">IF(
MOD(ROW()-2,6)=0,
INDEX('Form Responses'!I:I,INT((ROW()-2)/6)+2),
"-- NA --"
)</f>
        <v>-- NA --</v>
      </c>
      <c r="I1569" s="32" t="str">
        <f t="array" ref="I1569">IF(
MOD(ROW()-2,6)=0,
INDEX('Form Responses'!J:J,INT((ROW()-2)/6)+2),
"-- NA --"
)</f>
        <v>-- NA --</v>
      </c>
      <c r="J1569" s="33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</row>
    <row r="1570">
      <c r="A1570" s="26">
        <v>1569.0</v>
      </c>
      <c r="B1570" s="33"/>
      <c r="C1570" s="26" t="s">
        <v>385</v>
      </c>
      <c r="D1570" s="26" t="str">
        <f t="array" ref="D15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24CS028</v>
      </c>
      <c r="E1570" s="32" t="str">
        <f t="array" ref="E15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BALASURYA S</v>
      </c>
      <c r="F1570" s="26" t="str">
        <f t="array" ref="F15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70" s="26" t="str">
        <f t="array" ref="G15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70" s="26" t="str">
        <f t="array" ref="H1570">IF(
MOD(ROW()-2,6)=0,
INDEX('Form Responses'!I:I,INT((ROW()-2)/6)+2),
"-- NA --"
)</f>
        <v>-- NA --</v>
      </c>
      <c r="I1570" s="32" t="str">
        <f t="array" ref="I1570">IF(
MOD(ROW()-2,6)=0,
INDEX('Form Responses'!J:J,INT((ROW()-2)/6)+2),
"-- NA --"
)</f>
        <v>-- NA --</v>
      </c>
      <c r="J1570" s="33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</row>
    <row r="1571">
      <c r="A1571" s="26">
        <v>1570.0</v>
      </c>
      <c r="B1571" s="33"/>
      <c r="C1571" s="26" t="s">
        <v>425</v>
      </c>
      <c r="D1571" s="26" t="str">
        <f t="array" ref="D15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24CS066</v>
      </c>
      <c r="E1571" s="32" t="str">
        <f t="array" ref="E15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GOBIKA S</v>
      </c>
      <c r="F1571" s="26" t="str">
        <f t="array" ref="F15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71" s="26" t="str">
        <f t="array" ref="G15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71" s="26" t="str">
        <f t="array" ref="H1571">IF(
MOD(ROW()-2,6)=0,
INDEX('Form Responses'!I:I,INT((ROW()-2)/6)+2),
"-- NA --"
)</f>
        <v>-- NA --</v>
      </c>
      <c r="I1571" s="32" t="str">
        <f t="array" ref="I1571">IF(
MOD(ROW()-2,6)=0,
INDEX('Form Responses'!J:J,INT((ROW()-2)/6)+2),
"-- NA --"
)</f>
        <v>-- NA --</v>
      </c>
      <c r="J1571" s="33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</row>
    <row r="1572">
      <c r="A1572" s="26">
        <v>1571.0</v>
      </c>
      <c r="B1572" s="33"/>
      <c r="C1572" s="26" t="s">
        <v>464</v>
      </c>
      <c r="D1572" s="26" t="str">
        <f t="array" ref="D15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24EC026</v>
      </c>
      <c r="E1572" s="32" t="str">
        <f t="array" ref="E15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BRIDLEEN P</v>
      </c>
      <c r="F1572" s="26" t="str">
        <f t="array" ref="F15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72" s="26" t="str">
        <f t="array" ref="G15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72" s="26" t="str">
        <f t="array" ref="H1572">IF(
MOD(ROW()-2,6)=0,
INDEX('Form Responses'!I:I,INT((ROW()-2)/6)+2),
"-- NA --"
)</f>
        <v>-- NA --</v>
      </c>
      <c r="I1572" s="32" t="str">
        <f t="array" ref="I1572">IF(
MOD(ROW()-2,6)=0,
INDEX('Form Responses'!J:J,INT((ROW()-2)/6)+2),
"-- NA --"
)</f>
        <v>-- NA --</v>
      </c>
      <c r="J1572" s="33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</row>
    <row r="1573">
      <c r="A1573" s="26">
        <v>1572.0</v>
      </c>
      <c r="B1573" s="6"/>
      <c r="C1573" s="26" t="s">
        <v>500</v>
      </c>
      <c r="D1573" s="26" t="str">
        <f t="array" ref="D15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24EC046</v>
      </c>
      <c r="E1573" s="32" t="str">
        <f t="array" ref="E15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GURU PRASSANNA P</v>
      </c>
      <c r="F1573" s="26" t="str">
        <f t="array" ref="F15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73" s="26" t="str">
        <f t="array" ref="G15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73" s="26" t="str">
        <f t="array" ref="H1573">IF(
MOD(ROW()-2,6)=0,
INDEX('Form Responses'!I:I,INT((ROW()-2)/6)+2),
"-- NA --"
)</f>
        <v>-- NA --</v>
      </c>
      <c r="I1573" s="32" t="str">
        <f t="array" ref="I1573">IF(
MOD(ROW()-2,6)=0,
INDEX('Form Responses'!J:J,INT((ROW()-2)/6)+2),
"-- NA --"
)</f>
        <v>-- NA --</v>
      </c>
      <c r="J1573" s="6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</row>
    <row r="1574">
      <c r="A1574" s="26">
        <v>1573.0</v>
      </c>
      <c r="B1574" s="29" t="str">
        <f t="array" ref="B1574">INDEX('Form Responses'!$C:$C,INT((ROW()-2)/6)+2)</f>
        <v>FUTURE FUSION</v>
      </c>
      <c r="C1574" s="31" t="s">
        <v>140</v>
      </c>
      <c r="D1574" s="26" t="str">
        <f t="array" ref="D15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25AD125</v>
      </c>
      <c r="E1574" s="32" t="str">
        <f t="array" ref="E15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NANDHINI R</v>
      </c>
      <c r="F1574" s="26" t="str">
        <f t="array" ref="F15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4" s="26" t="str">
        <f t="array" ref="G15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74" s="26" t="str">
        <f t="array" ref="H1574">IF(
MOD(ROW()-2,6)=0,
INDEX('Form Responses'!I:I,INT((ROW()-2)/6)+2),
"-- NA --"
)</f>
        <v>79049 42350</v>
      </c>
      <c r="I1574" s="32" t="str">
        <f t="array" ref="I1574">IF(
MOD(ROW()-2,6)=0,
INDEX('Form Responses'!J:J,INT((ROW()-2)/6)+2),
"-- NA --"
)</f>
        <v>nandhini.r2025aids@sece.ac.in</v>
      </c>
      <c r="J1574" s="29" t="str">
        <f t="array" ref="J1574">INDEX('Form Responses'!$D:$D,INT((ROW()-2)/6)+2)</f>
        <v>Hardware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</row>
    <row r="1575">
      <c r="A1575" s="26">
        <v>1574.0</v>
      </c>
      <c r="B1575" s="33"/>
      <c r="C1575" s="26" t="s">
        <v>282</v>
      </c>
      <c r="D1575" s="26" t="str">
        <f t="array" ref="D15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25CS194</v>
      </c>
      <c r="E1575" s="32" t="str">
        <f t="array" ref="E15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SANDHANAKUMAR B</v>
      </c>
      <c r="F1575" s="26" t="str">
        <f t="array" ref="F15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5" s="26" t="str">
        <f t="array" ref="G15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75" s="26" t="str">
        <f t="array" ref="H1575">IF(
MOD(ROW()-2,6)=0,
INDEX('Form Responses'!I:I,INT((ROW()-2)/6)+2),
"-- NA --"
)</f>
        <v>-- NA --</v>
      </c>
      <c r="I1575" s="32" t="str">
        <f t="array" ref="I1575">IF(
MOD(ROW()-2,6)=0,
INDEX('Form Responses'!J:J,INT((ROW()-2)/6)+2),
"-- NA --"
)</f>
        <v>-- NA --</v>
      </c>
      <c r="J1575" s="33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</row>
    <row r="1576">
      <c r="A1576" s="26">
        <v>1575.0</v>
      </c>
      <c r="B1576" s="33"/>
      <c r="C1576" s="26" t="s">
        <v>385</v>
      </c>
      <c r="D1576" s="26" t="str">
        <f t="array" ref="D15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25AD081</v>
      </c>
      <c r="E1576" s="32" t="str">
        <f t="array" ref="E15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JEEVAN A</v>
      </c>
      <c r="F1576" s="26" t="str">
        <f t="array" ref="F15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6" s="26" t="str">
        <f t="array" ref="G15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76" s="26" t="str">
        <f t="array" ref="H1576">IF(
MOD(ROW()-2,6)=0,
INDEX('Form Responses'!I:I,INT((ROW()-2)/6)+2),
"-- NA --"
)</f>
        <v>-- NA --</v>
      </c>
      <c r="I1576" s="32" t="str">
        <f t="array" ref="I1576">IF(
MOD(ROW()-2,6)=0,
INDEX('Form Responses'!J:J,INT((ROW()-2)/6)+2),
"-- NA --"
)</f>
        <v>-- NA --</v>
      </c>
      <c r="J1576" s="33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</row>
    <row r="1577">
      <c r="A1577" s="26">
        <v>1576.0</v>
      </c>
      <c r="B1577" s="33"/>
      <c r="C1577" s="26" t="s">
        <v>425</v>
      </c>
      <c r="D1577" s="26" t="str">
        <f t="array" ref="D15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25CS227</v>
      </c>
      <c r="E1577" s="32" t="str">
        <f t="array" ref="E15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SUJEETHKUMAR A</v>
      </c>
      <c r="F1577" s="26" t="str">
        <f t="array" ref="F15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7" s="26" t="str">
        <f t="array" ref="G15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77" s="26" t="str">
        <f t="array" ref="H1577">IF(
MOD(ROW()-2,6)=0,
INDEX('Form Responses'!I:I,INT((ROW()-2)/6)+2),
"-- NA --"
)</f>
        <v>-- NA --</v>
      </c>
      <c r="I1577" s="32" t="str">
        <f t="array" ref="I1577">IF(
MOD(ROW()-2,6)=0,
INDEX('Form Responses'!J:J,INT((ROW()-2)/6)+2),
"-- NA --"
)</f>
        <v>-- NA --</v>
      </c>
      <c r="J1577" s="33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</row>
    <row r="1578">
      <c r="A1578" s="26">
        <v>1577.0</v>
      </c>
      <c r="B1578" s="33"/>
      <c r="C1578" s="26" t="s">
        <v>464</v>
      </c>
      <c r="D1578" s="26" t="str">
        <f t="array" ref="D15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25AD118</v>
      </c>
      <c r="E1578" s="32" t="str">
        <f t="array" ref="E15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MANJUSHA SA</v>
      </c>
      <c r="F1578" s="26" t="str">
        <f t="array" ref="F15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8" s="26" t="str">
        <f t="array" ref="G15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78" s="26" t="str">
        <f t="array" ref="H1578">IF(
MOD(ROW()-2,6)=0,
INDEX('Form Responses'!I:I,INT((ROW()-2)/6)+2),
"-- NA --"
)</f>
        <v>-- NA --</v>
      </c>
      <c r="I1578" s="32" t="str">
        <f t="array" ref="I1578">IF(
MOD(ROW()-2,6)=0,
INDEX('Form Responses'!J:J,INT((ROW()-2)/6)+2),
"-- NA --"
)</f>
        <v>-- NA --</v>
      </c>
      <c r="J1578" s="33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</row>
    <row r="1579">
      <c r="A1579" s="26">
        <v>1578.0</v>
      </c>
      <c r="B1579" s="6"/>
      <c r="C1579" s="26" t="s">
        <v>500</v>
      </c>
      <c r="D1579" s="26" t="str">
        <f t="array" ref="D15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25ME014</v>
      </c>
      <c r="E1579" s="32" t="str">
        <f t="array" ref="E15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MANIKANDAN A</v>
      </c>
      <c r="F1579" s="26" t="str">
        <f t="array" ref="F15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579" s="26" t="str">
        <f t="array" ref="G15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579" s="26" t="str">
        <f t="array" ref="H1579">IF(
MOD(ROW()-2,6)=0,
INDEX('Form Responses'!I:I,INT((ROW()-2)/6)+2),
"-- NA --"
)</f>
        <v>-- NA --</v>
      </c>
      <c r="I1579" s="32" t="str">
        <f t="array" ref="I1579">IF(
MOD(ROW()-2,6)=0,
INDEX('Form Responses'!J:J,INT((ROW()-2)/6)+2),
"-- NA --"
)</f>
        <v>-- NA --</v>
      </c>
      <c r="J1579" s="6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</row>
    <row r="1580">
      <c r="A1580" s="26">
        <v>1579.0</v>
      </c>
      <c r="B1580" s="29" t="str">
        <f t="array" ref="B1580">INDEX('Form Responses'!$C:$C,INT((ROW()-2)/6)+2)</f>
        <v>Innov</v>
      </c>
      <c r="C1580" s="31" t="s">
        <v>140</v>
      </c>
      <c r="D1580" s="26" t="str">
        <f t="array" ref="D15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24AD171 </v>
      </c>
      <c r="E1580" s="32" t="str">
        <f t="array" ref="E15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RAKSANAA.S </v>
      </c>
      <c r="F1580" s="26" t="str">
        <f t="array" ref="F15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0" s="26" t="str">
        <f t="array" ref="G15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80" s="26">
        <f t="array" ref="H1580">IF(
MOD(ROW()-2,6)=0,
INDEX('Form Responses'!I:I,INT((ROW()-2)/6)+2),
"-- NA --"
)</f>
        <v>9742647285</v>
      </c>
      <c r="I1580" s="32" t="str">
        <f t="array" ref="I1580">IF(
MOD(ROW()-2,6)=0,
INDEX('Form Responses'!J:J,INT((ROW()-2)/6)+2),
"-- NA --"
)</f>
        <v>raksanaa.s2024aids@sece.ac.in</v>
      </c>
      <c r="J1580" s="29" t="str">
        <f t="array" ref="J1580">INDEX('Form Responses'!$D:$D,INT((ROW()-2)/6)+2)</f>
        <v>Software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</row>
    <row r="1581">
      <c r="A1581" s="26">
        <v>1580.0</v>
      </c>
      <c r="B1581" s="33"/>
      <c r="C1581" s="26" t="s">
        <v>282</v>
      </c>
      <c r="D1581" s="26" t="str">
        <f t="array" ref="D15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24CS073</v>
      </c>
      <c r="E1581" s="32" t="str">
        <f t="array" ref="E15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HARINI.C</v>
      </c>
      <c r="F1581" s="26" t="str">
        <f t="array" ref="F15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1" s="26" t="str">
        <f t="array" ref="G15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1" s="26" t="str">
        <f t="array" ref="H1581">IF(
MOD(ROW()-2,6)=0,
INDEX('Form Responses'!I:I,INT((ROW()-2)/6)+2),
"-- NA --"
)</f>
        <v>-- NA --</v>
      </c>
      <c r="I1581" s="32" t="str">
        <f t="array" ref="I1581">IF(
MOD(ROW()-2,6)=0,
INDEX('Form Responses'!J:J,INT((ROW()-2)/6)+2),
"-- NA --"
)</f>
        <v>-- NA --</v>
      </c>
      <c r="J1581" s="33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</row>
    <row r="1582">
      <c r="A1582" s="26">
        <v>1581.0</v>
      </c>
      <c r="B1582" s="33"/>
      <c r="C1582" s="26" t="s">
        <v>385</v>
      </c>
      <c r="D1582" s="26" t="str">
        <f t="array" ref="D15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24CS128</v>
      </c>
      <c r="E1582" s="32" t="str">
        <f t="array" ref="E15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MANASADEVICHAPAGAIN</v>
      </c>
      <c r="F1582" s="26" t="str">
        <f t="array" ref="F15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2" s="26" t="str">
        <f t="array" ref="G15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2" s="26" t="str">
        <f t="array" ref="H1582">IF(
MOD(ROW()-2,6)=0,
INDEX('Form Responses'!I:I,INT((ROW()-2)/6)+2),
"-- NA --"
)</f>
        <v>-- NA --</v>
      </c>
      <c r="I1582" s="32" t="str">
        <f t="array" ref="I1582">IF(
MOD(ROW()-2,6)=0,
INDEX('Form Responses'!J:J,INT((ROW()-2)/6)+2),
"-- NA --"
)</f>
        <v>-- NA --</v>
      </c>
      <c r="J1582" s="33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</row>
    <row r="1583">
      <c r="A1583" s="26">
        <v>1582.0</v>
      </c>
      <c r="B1583" s="33"/>
      <c r="C1583" s="26" t="s">
        <v>425</v>
      </c>
      <c r="D1583" s="26" t="str">
        <f t="array" ref="D15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  24CS098 </v>
      </c>
      <c r="E1583" s="32" t="str">
        <f t="array" ref="E15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JUMAANAHBASHEETH</v>
      </c>
      <c r="F1583" s="26" t="str">
        <f t="array" ref="F15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3" s="26" t="str">
        <f t="array" ref="G15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3" s="26" t="str">
        <f t="array" ref="H1583">IF(
MOD(ROW()-2,6)=0,
INDEX('Form Responses'!I:I,INT((ROW()-2)/6)+2),
"-- NA --"
)</f>
        <v>-- NA --</v>
      </c>
      <c r="I1583" s="32" t="str">
        <f t="array" ref="I1583">IF(
MOD(ROW()-2,6)=0,
INDEX('Form Responses'!J:J,INT((ROW()-2)/6)+2),
"-- NA --"
)</f>
        <v>-- NA --</v>
      </c>
      <c r="J1583" s="33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</row>
    <row r="1584">
      <c r="A1584" s="26">
        <v>1583.0</v>
      </c>
      <c r="B1584" s="33"/>
      <c r="C1584" s="26" t="s">
        <v>464</v>
      </c>
      <c r="D1584" s="26" t="str">
        <f t="array" ref="D15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24CS095</v>
      </c>
      <c r="E1584" s="32" t="str">
        <f t="array" ref="E15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JEFFJEROMEJABEZ</v>
      </c>
      <c r="F1584" s="26" t="str">
        <f t="array" ref="F15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4" s="26" t="str">
        <f t="array" ref="G15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4" s="26" t="str">
        <f t="array" ref="H1584">IF(
MOD(ROW()-2,6)=0,
INDEX('Form Responses'!I:I,INT((ROW()-2)/6)+2),
"-- NA --"
)</f>
        <v>-- NA --</v>
      </c>
      <c r="I1584" s="32" t="str">
        <f t="array" ref="I1584">IF(
MOD(ROW()-2,6)=0,
INDEX('Form Responses'!J:J,INT((ROW()-2)/6)+2),
"-- NA --"
)</f>
        <v>-- NA --</v>
      </c>
      <c r="J1584" s="33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</row>
    <row r="1585">
      <c r="A1585" s="26">
        <v>1584.0</v>
      </c>
      <c r="B1585" s="6"/>
      <c r="C1585" s="26" t="s">
        <v>500</v>
      </c>
      <c r="D1585" s="26" t="str">
        <f t="array" ref="D15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24CS317</v>
      </c>
      <c r="E1585" s="32" t="str">
        <f t="array" ref="E15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Sujay S</v>
      </c>
      <c r="F1585" s="26" t="str">
        <f t="array" ref="F15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5" s="26" t="str">
        <f t="array" ref="G15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5" s="26" t="str">
        <f t="array" ref="H1585">IF(
MOD(ROW()-2,6)=0,
INDEX('Form Responses'!I:I,INT((ROW()-2)/6)+2),
"-- NA --"
)</f>
        <v>-- NA --</v>
      </c>
      <c r="I1585" s="32" t="str">
        <f t="array" ref="I1585">IF(
MOD(ROW()-2,6)=0,
INDEX('Form Responses'!J:J,INT((ROW()-2)/6)+2),
"-- NA --"
)</f>
        <v>-- NA --</v>
      </c>
      <c r="J1585" s="6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</row>
    <row r="1586">
      <c r="A1586" s="26">
        <v>1585.0</v>
      </c>
      <c r="B1586" s="29" t="str">
        <f t="array" ref="B1586">INDEX('Form Responses'!$C:$C,INT((ROW()-2)/6)+2)</f>
        <v>SMART CRAFTERS</v>
      </c>
      <c r="C1586" s="31" t="s">
        <v>140</v>
      </c>
      <c r="D1586" s="26" t="str">
        <f t="array" ref="D15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24EC063</v>
      </c>
      <c r="E1586" s="32" t="str">
        <f t="array" ref="E15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JEYASURIYA J </v>
      </c>
      <c r="F1586" s="26" t="str">
        <f t="array" ref="F15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6" s="26" t="str">
        <f t="array" ref="G15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86" s="26">
        <f t="array" ref="H1586">IF(
MOD(ROW()-2,6)=0,
INDEX('Form Responses'!I:I,INT((ROW()-2)/6)+2),
"-- NA --"
)</f>
        <v>7305066479</v>
      </c>
      <c r="I1586" s="32" t="str">
        <f t="array" ref="I1586">IF(
MOD(ROW()-2,6)=0,
INDEX('Form Responses'!J:J,INT((ROW()-2)/6)+2),
"-- NA --"
)</f>
        <v>jeyasuriya.j2024ece@sece.ac.in</v>
      </c>
      <c r="J1586" s="29" t="str">
        <f t="array" ref="J1586">INDEX('Form Responses'!$D:$D,INT((ROW()-2)/6)+2)</f>
        <v>Software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</row>
    <row r="1587">
      <c r="A1587" s="26">
        <v>1586.0</v>
      </c>
      <c r="B1587" s="33"/>
      <c r="C1587" s="26" t="s">
        <v>282</v>
      </c>
      <c r="D1587" s="26" t="str">
        <f t="array" ref="D15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24AD212</v>
      </c>
      <c r="E1587" s="32" t="str">
        <f t="array" ref="E15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SREEJA NAIR M S</v>
      </c>
      <c r="F1587" s="26" t="str">
        <f t="array" ref="F15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7" s="26" t="str">
        <f t="array" ref="G15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87" s="26" t="str">
        <f t="array" ref="H1587">IF(
MOD(ROW()-2,6)=0,
INDEX('Form Responses'!I:I,INT((ROW()-2)/6)+2),
"-- NA --"
)</f>
        <v>-- NA --</v>
      </c>
      <c r="I1587" s="32" t="str">
        <f t="array" ref="I1587">IF(
MOD(ROW()-2,6)=0,
INDEX('Form Responses'!J:J,INT((ROW()-2)/6)+2),
"-- NA --"
)</f>
        <v>-- NA --</v>
      </c>
      <c r="J1587" s="33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</row>
    <row r="1588">
      <c r="A1588" s="26">
        <v>1587.0</v>
      </c>
      <c r="B1588" s="33"/>
      <c r="C1588" s="26" t="s">
        <v>385</v>
      </c>
      <c r="D1588" s="26" t="str">
        <f t="array" ref="D15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24AM072</v>
      </c>
      <c r="E1588" s="32" t="str">
        <f t="array" ref="E15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PRIYAVARSHINI V</v>
      </c>
      <c r="F1588" s="26" t="str">
        <f t="array" ref="F15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8" s="26" t="str">
        <f t="array" ref="G15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88" s="26" t="str">
        <f t="array" ref="H1588">IF(
MOD(ROW()-2,6)=0,
INDEX('Form Responses'!I:I,INT((ROW()-2)/6)+2),
"-- NA --"
)</f>
        <v>-- NA --</v>
      </c>
      <c r="I1588" s="32" t="str">
        <f t="array" ref="I1588">IF(
MOD(ROW()-2,6)=0,
INDEX('Form Responses'!J:J,INT((ROW()-2)/6)+2),
"-- NA --"
)</f>
        <v>-- NA --</v>
      </c>
      <c r="J1588" s="33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</row>
    <row r="1589">
      <c r="A1589" s="26">
        <v>1588.0</v>
      </c>
      <c r="B1589" s="33"/>
      <c r="C1589" s="26" t="s">
        <v>425</v>
      </c>
      <c r="D1589" s="26" t="str">
        <f t="array" ref="D15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24CS077</v>
      </c>
      <c r="E1589" s="32" t="str">
        <f t="array" ref="E15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HARIPRIYAN A</v>
      </c>
      <c r="F1589" s="26" t="str">
        <f t="array" ref="F15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89" s="26" t="str">
        <f t="array" ref="G15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89" s="26" t="str">
        <f t="array" ref="H1589">IF(
MOD(ROW()-2,6)=0,
INDEX('Form Responses'!I:I,INT((ROW()-2)/6)+2),
"-- NA --"
)</f>
        <v>-- NA --</v>
      </c>
      <c r="I1589" s="32" t="str">
        <f t="array" ref="I1589">IF(
MOD(ROW()-2,6)=0,
INDEX('Form Responses'!J:J,INT((ROW()-2)/6)+2),
"-- NA --"
)</f>
        <v>-- NA --</v>
      </c>
      <c r="J1589" s="33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</row>
    <row r="1590">
      <c r="A1590" s="26">
        <v>1589.0</v>
      </c>
      <c r="B1590" s="33"/>
      <c r="C1590" s="26" t="s">
        <v>464</v>
      </c>
      <c r="D1590" s="26" t="str">
        <f t="array" ref="D15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24CS175</v>
      </c>
      <c r="E1590" s="32" t="str">
        <f t="array" ref="E15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PRADEEP P</v>
      </c>
      <c r="F1590" s="26" t="str">
        <f t="array" ref="F15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0" s="26" t="str">
        <f t="array" ref="G15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590" s="26" t="str">
        <f t="array" ref="H1590">IF(
MOD(ROW()-2,6)=0,
INDEX('Form Responses'!I:I,INT((ROW()-2)/6)+2),
"-- NA --"
)</f>
        <v>-- NA --</v>
      </c>
      <c r="I1590" s="32" t="str">
        <f t="array" ref="I1590">IF(
MOD(ROW()-2,6)=0,
INDEX('Form Responses'!J:J,INT((ROW()-2)/6)+2),
"-- NA --"
)</f>
        <v>-- NA --</v>
      </c>
      <c r="J1590" s="33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</row>
    <row r="1591">
      <c r="A1591" s="26">
        <v>1590.0</v>
      </c>
      <c r="B1591" s="6"/>
      <c r="C1591" s="26" t="s">
        <v>500</v>
      </c>
      <c r="D1591" s="26" t="str">
        <f t="array" ref="D15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24CC043</v>
      </c>
      <c r="E1591" s="32" t="str">
        <f t="array" ref="E15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PRIYANKA T M</v>
      </c>
      <c r="F1591" s="26" t="str">
        <f t="array" ref="F15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1" s="26" t="str">
        <f t="array" ref="G15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591" s="26" t="str">
        <f t="array" ref="H1591">IF(
MOD(ROW()-2,6)=0,
INDEX('Form Responses'!I:I,INT((ROW()-2)/6)+2),
"-- NA --"
)</f>
        <v>-- NA --</v>
      </c>
      <c r="I1591" s="32" t="str">
        <f t="array" ref="I1591">IF(
MOD(ROW()-2,6)=0,
INDEX('Form Responses'!J:J,INT((ROW()-2)/6)+2),
"-- NA --"
)</f>
        <v>-- NA --</v>
      </c>
      <c r="J1591" s="6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</row>
    <row r="1592">
      <c r="A1592" s="26">
        <v>1591.0</v>
      </c>
      <c r="B1592" s="29" t="str">
        <f t="array" ref="B1592">INDEX('Form Responses'!$C:$C,INT((ROW()-2)/6)+2)</f>
        <v>HEISENBERG</v>
      </c>
      <c r="C1592" s="31" t="s">
        <v>140</v>
      </c>
      <c r="D1592" s="26" t="str">
        <f t="array" ref="D15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24AM087</v>
      </c>
      <c r="E1592" s="32" t="str">
        <f t="array" ref="E15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SANJIT M</v>
      </c>
      <c r="F1592" s="26" t="str">
        <f t="array" ref="F15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2" s="26" t="str">
        <f t="array" ref="G15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92" s="26">
        <f t="array" ref="H1592">IF(
MOD(ROW()-2,6)=0,
INDEX('Form Responses'!I:I,INT((ROW()-2)/6)+2),
"-- NA --"
)</f>
        <v>7339201525</v>
      </c>
      <c r="I1592" s="32" t="str">
        <f t="array" ref="I1592">IF(
MOD(ROW()-2,6)=0,
INDEX('Form Responses'!J:J,INT((ROW()-2)/6)+2),
"-- NA --"
)</f>
        <v>Sanjit.m2024aiml@sece.ac.in</v>
      </c>
      <c r="J1592" s="29" t="str">
        <f t="array" ref="J1592">INDEX('Form Responses'!$D:$D,INT((ROW()-2)/6)+2)</f>
        <v>Software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</row>
    <row r="1593">
      <c r="A1593" s="26">
        <v>1592.0</v>
      </c>
      <c r="B1593" s="33"/>
      <c r="C1593" s="26" t="s">
        <v>282</v>
      </c>
      <c r="D1593" s="26" t="str">
        <f t="array" ref="D15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24AM082</v>
      </c>
      <c r="E1593" s="32" t="str">
        <f t="array" ref="E15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SAHANAA K</v>
      </c>
      <c r="F1593" s="26" t="str">
        <f t="array" ref="F15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3" s="26" t="str">
        <f t="array" ref="G15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93" s="26" t="str">
        <f t="array" ref="H1593">IF(
MOD(ROW()-2,6)=0,
INDEX('Form Responses'!I:I,INT((ROW()-2)/6)+2),
"-- NA --"
)</f>
        <v>-- NA --</v>
      </c>
      <c r="I1593" s="32" t="str">
        <f t="array" ref="I1593">IF(
MOD(ROW()-2,6)=0,
INDEX('Form Responses'!J:J,INT((ROW()-2)/6)+2),
"-- NA --"
)</f>
        <v>-- NA --</v>
      </c>
      <c r="J1593" s="33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</row>
    <row r="1594">
      <c r="A1594" s="26">
        <v>1593.0</v>
      </c>
      <c r="B1594" s="33"/>
      <c r="C1594" s="26" t="s">
        <v>385</v>
      </c>
      <c r="D1594" s="26" t="str">
        <f t="array" ref="D15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24AM125</v>
      </c>
      <c r="E1594" s="32" t="str">
        <f t="array" ref="E15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ZIDANE ASHIK</v>
      </c>
      <c r="F1594" s="26" t="str">
        <f t="array" ref="F15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4" s="26" t="str">
        <f t="array" ref="G15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94" s="26" t="str">
        <f t="array" ref="H1594">IF(
MOD(ROW()-2,6)=0,
INDEX('Form Responses'!I:I,INT((ROW()-2)/6)+2),
"-- NA --"
)</f>
        <v>-- NA --</v>
      </c>
      <c r="I1594" s="32" t="str">
        <f t="array" ref="I1594">IF(
MOD(ROW()-2,6)=0,
INDEX('Form Responses'!J:J,INT((ROW()-2)/6)+2),
"-- NA --"
)</f>
        <v>-- NA --</v>
      </c>
      <c r="J1594" s="33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</row>
    <row r="1595">
      <c r="A1595" s="26">
        <v>1594.0</v>
      </c>
      <c r="B1595" s="33"/>
      <c r="C1595" s="26" t="s">
        <v>425</v>
      </c>
      <c r="D1595" s="26" t="str">
        <f t="array" ref="D15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24AM118</v>
      </c>
      <c r="E1595" s="32" t="str">
        <f t="array" ref="E15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VISHNU PRIYAN PR</v>
      </c>
      <c r="F1595" s="26" t="str">
        <f t="array" ref="F15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5" s="26" t="str">
        <f t="array" ref="G15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595" s="26" t="str">
        <f t="array" ref="H1595">IF(
MOD(ROW()-2,6)=0,
INDEX('Form Responses'!I:I,INT((ROW()-2)/6)+2),
"-- NA --"
)</f>
        <v>-- NA --</v>
      </c>
      <c r="I1595" s="32" t="str">
        <f t="array" ref="I1595">IF(
MOD(ROW()-2,6)=0,
INDEX('Form Responses'!J:J,INT((ROW()-2)/6)+2),
"-- NA --"
)</f>
        <v>-- NA --</v>
      </c>
      <c r="J1595" s="33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</row>
    <row r="1596">
      <c r="A1596" s="26">
        <v>1595.0</v>
      </c>
      <c r="B1596" s="33"/>
      <c r="C1596" s="26" t="s">
        <v>464</v>
      </c>
      <c r="D1596" s="26" t="str">
        <f t="array" ref="D15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24CM029</v>
      </c>
      <c r="E1596" s="32" t="str">
        <f t="array" ref="E15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POOJITHA SK</v>
      </c>
      <c r="F1596" s="26" t="str">
        <f t="array" ref="F15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6" s="26" t="str">
        <f t="array" ref="G15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596" s="26" t="str">
        <f t="array" ref="H1596">IF(
MOD(ROW()-2,6)=0,
INDEX('Form Responses'!I:I,INT((ROW()-2)/6)+2),
"-- NA --"
)</f>
        <v>-- NA --</v>
      </c>
      <c r="I1596" s="32" t="str">
        <f t="array" ref="I1596">IF(
MOD(ROW()-2,6)=0,
INDEX('Form Responses'!J:J,INT((ROW()-2)/6)+2),
"-- NA --"
)</f>
        <v>-- NA --</v>
      </c>
      <c r="J1596" s="33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</row>
    <row r="1597">
      <c r="A1597" s="26">
        <v>1596.0</v>
      </c>
      <c r="B1597" s="6"/>
      <c r="C1597" s="26" t="s">
        <v>500</v>
      </c>
      <c r="D1597" s="26" t="str">
        <f t="array" ref="D15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24AD154</v>
      </c>
      <c r="E1597" s="32" t="str">
        <f t="array" ref="E15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PRAGALYA s</v>
      </c>
      <c r="F1597" s="26" t="str">
        <f t="array" ref="F15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7" s="26" t="str">
        <f t="array" ref="G15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597" s="26" t="str">
        <f t="array" ref="H1597">IF(
MOD(ROW()-2,6)=0,
INDEX('Form Responses'!I:I,INT((ROW()-2)/6)+2),
"-- NA --"
)</f>
        <v>-- NA --</v>
      </c>
      <c r="I1597" s="32" t="str">
        <f t="array" ref="I1597">IF(
MOD(ROW()-2,6)=0,
INDEX('Form Responses'!J:J,INT((ROW()-2)/6)+2),
"-- NA --"
)</f>
        <v>-- NA --</v>
      </c>
      <c r="J1597" s="6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</row>
    <row r="1598">
      <c r="A1598" s="26">
        <v>1597.0</v>
      </c>
      <c r="B1598" s="29" t="str">
        <f t="array" ref="B1598">INDEX('Form Responses'!$C:$C,INT((ROW()-2)/6)+2)</f>
        <v>THE WHITES</v>
      </c>
      <c r="C1598" s="31" t="s">
        <v>140</v>
      </c>
      <c r="D1598" s="26" t="str">
        <f t="array" ref="D15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24EC120</v>
      </c>
      <c r="E1598" s="32" t="str">
        <f t="array" ref="E15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PRAVEEN KANTH P</v>
      </c>
      <c r="F1598" s="26" t="str">
        <f t="array" ref="F15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8" s="26" t="str">
        <f t="array" ref="G15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98" s="26">
        <f t="array" ref="H1598">IF(
MOD(ROW()-2,6)=0,
INDEX('Form Responses'!I:I,INT((ROW()-2)/6)+2),
"-- NA --"
)</f>
        <v>6379759869</v>
      </c>
      <c r="I1598" s="32" t="str">
        <f t="array" ref="I1598">IF(
MOD(ROW()-2,6)=0,
INDEX('Form Responses'!J:J,INT((ROW()-2)/6)+2),
"-- NA --"
)</f>
        <v>praveenkanth.p2024ece@sece.ac.in</v>
      </c>
      <c r="J1598" s="29" t="str">
        <f t="array" ref="J1598">INDEX('Form Responses'!$D:$D,INT((ROW()-2)/6)+2)</f>
        <v>Hardware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</row>
    <row r="1599">
      <c r="A1599" s="26">
        <v>1598.0</v>
      </c>
      <c r="B1599" s="33"/>
      <c r="C1599" s="26" t="s">
        <v>282</v>
      </c>
      <c r="D1599" s="26" t="str">
        <f t="array" ref="D15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24EC123</v>
      </c>
      <c r="E1599" s="32" t="str">
        <f t="array" ref="E15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PRIYAN U</v>
      </c>
      <c r="F1599" s="26" t="str">
        <f t="array" ref="F15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599" s="26" t="str">
        <f t="array" ref="G15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599" s="26" t="str">
        <f t="array" ref="H1599">IF(
MOD(ROW()-2,6)=0,
INDEX('Form Responses'!I:I,INT((ROW()-2)/6)+2),
"-- NA --"
)</f>
        <v>-- NA --</v>
      </c>
      <c r="I1599" s="32" t="str">
        <f t="array" ref="I1599">IF(
MOD(ROW()-2,6)=0,
INDEX('Form Responses'!J:J,INT((ROW()-2)/6)+2),
"-- NA --"
)</f>
        <v>-- NA --</v>
      </c>
      <c r="J1599" s="33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</row>
    <row r="1600">
      <c r="A1600" s="26">
        <v>1599.0</v>
      </c>
      <c r="B1600" s="33"/>
      <c r="C1600" s="26" t="s">
        <v>385</v>
      </c>
      <c r="D1600" s="26" t="str">
        <f t="array" ref="D16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24EC095</v>
      </c>
      <c r="E1600" s="32" t="str">
        <f t="array" ref="E16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MOUNISH S</v>
      </c>
      <c r="F1600" s="26" t="str">
        <f t="array" ref="F16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0" s="26" t="str">
        <f t="array" ref="G16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00" s="26" t="str">
        <f t="array" ref="H1600">IF(
MOD(ROW()-2,6)=0,
INDEX('Form Responses'!I:I,INT((ROW()-2)/6)+2),
"-- NA --"
)</f>
        <v>-- NA --</v>
      </c>
      <c r="I1600" s="32" t="str">
        <f t="array" ref="I1600">IF(
MOD(ROW()-2,6)=0,
INDEX('Form Responses'!J:J,INT((ROW()-2)/6)+2),
"-- NA --"
)</f>
        <v>-- NA --</v>
      </c>
      <c r="J1600" s="33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</row>
    <row r="1601">
      <c r="A1601" s="26">
        <v>1600.0</v>
      </c>
      <c r="B1601" s="33"/>
      <c r="C1601" s="26" t="s">
        <v>425</v>
      </c>
      <c r="D1601" s="26" t="str">
        <f t="array" ref="D16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24IT024</v>
      </c>
      <c r="E1601" s="32" t="str">
        <f t="array" ref="E16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MADAN PA</v>
      </c>
      <c r="F1601" s="26" t="str">
        <f t="array" ref="F16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1" s="26" t="str">
        <f t="array" ref="G16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IT</v>
      </c>
      <c r="H1601" s="26" t="str">
        <f t="array" ref="H1601">IF(
MOD(ROW()-2,6)=0,
INDEX('Form Responses'!I:I,INT((ROW()-2)/6)+2),
"-- NA --"
)</f>
        <v>-- NA --</v>
      </c>
      <c r="I1601" s="32" t="str">
        <f t="array" ref="I1601">IF(
MOD(ROW()-2,6)=0,
INDEX('Form Responses'!J:J,INT((ROW()-2)/6)+2),
"-- NA --"
)</f>
        <v>-- NA --</v>
      </c>
      <c r="J1601" s="33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</row>
    <row r="1602">
      <c r="A1602" s="26">
        <v>1601.0</v>
      </c>
      <c r="B1602" s="33"/>
      <c r="C1602" s="26" t="s">
        <v>464</v>
      </c>
      <c r="D1602" s="26" t="str">
        <f t="array" ref="D16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24CS104</v>
      </c>
      <c r="E1602" s="32" t="str">
        <f t="array" ref="E16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KANISHKA S</v>
      </c>
      <c r="F1602" s="26" t="str">
        <f t="array" ref="F16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2" s="26" t="str">
        <f t="array" ref="G16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02" s="26" t="str">
        <f t="array" ref="H1602">IF(
MOD(ROW()-2,6)=0,
INDEX('Form Responses'!I:I,INT((ROW()-2)/6)+2),
"-- NA --"
)</f>
        <v>-- NA --</v>
      </c>
      <c r="I1602" s="32" t="str">
        <f t="array" ref="I1602">IF(
MOD(ROW()-2,6)=0,
INDEX('Form Responses'!J:J,INT((ROW()-2)/6)+2),
"-- NA --"
)</f>
        <v>-- NA --</v>
      </c>
      <c r="J1602" s="33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</row>
    <row r="1603">
      <c r="A1603" s="26">
        <v>1602.0</v>
      </c>
      <c r="B1603" s="6"/>
      <c r="C1603" s="26" t="s">
        <v>500</v>
      </c>
      <c r="D1603" s="26" t="str">
        <f t="array" ref="D16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25EC147</v>
      </c>
      <c r="E1603" s="32" t="str">
        <f t="array" ref="E16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SASMITA V</v>
      </c>
      <c r="F1603" s="26" t="str">
        <f t="array" ref="F16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03" s="26" t="str">
        <f t="array" ref="G16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03" s="26" t="str">
        <f t="array" ref="H1603">IF(
MOD(ROW()-2,6)=0,
INDEX('Form Responses'!I:I,INT((ROW()-2)/6)+2),
"-- NA --"
)</f>
        <v>-- NA --</v>
      </c>
      <c r="I1603" s="32" t="str">
        <f t="array" ref="I1603">IF(
MOD(ROW()-2,6)=0,
INDEX('Form Responses'!J:J,INT((ROW()-2)/6)+2),
"-- NA --"
)</f>
        <v>-- NA --</v>
      </c>
      <c r="J1603" s="6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</row>
    <row r="1604">
      <c r="A1604" s="26">
        <v>1603.0</v>
      </c>
      <c r="B1604" s="29" t="str">
        <f t="array" ref="B1604">INDEX('Form Responses'!$C:$C,INT((ROW()-2)/6)+2)</f>
        <v>NOVACORE</v>
      </c>
      <c r="C1604" s="31" t="s">
        <v>140</v>
      </c>
      <c r="D1604" s="26" t="str">
        <f t="array" ref="D16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24AD080</v>
      </c>
      <c r="E1604" s="32" t="str">
        <f t="array" ref="E16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Jayanarayan Menon Nettath</v>
      </c>
      <c r="F1604" s="26" t="str">
        <f t="array" ref="F16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4" s="26" t="str">
        <f t="array" ref="G16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04" s="26">
        <f t="array" ref="H1604">IF(
MOD(ROW()-2,6)=0,
INDEX('Form Responses'!I:I,INT((ROW()-2)/6)+2),
"-- NA --"
)</f>
        <v>8754229862</v>
      </c>
      <c r="I1604" s="32" t="str">
        <f t="array" ref="I1604">IF(
MOD(ROW()-2,6)=0,
INDEX('Form Responses'!J:J,INT((ROW()-2)/6)+2),
"-- NA --"
)</f>
        <v>jayanarayanmenonnettath.2024aids@sece.ac.in</v>
      </c>
      <c r="J1604" s="29" t="str">
        <f t="array" ref="J1604">INDEX('Form Responses'!$D:$D,INT((ROW()-2)/6)+2)</f>
        <v>Software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</row>
    <row r="1605">
      <c r="A1605" s="26">
        <v>1604.0</v>
      </c>
      <c r="B1605" s="33"/>
      <c r="C1605" s="26" t="s">
        <v>282</v>
      </c>
      <c r="D1605" s="26" t="str">
        <f t="array" ref="D16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24AD139</v>
      </c>
      <c r="E1605" s="32" t="str">
        <f t="array" ref="E16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Naren Krishna Perumal A</v>
      </c>
      <c r="F1605" s="26" t="str">
        <f t="array" ref="F16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5" s="26" t="str">
        <f t="array" ref="G16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05" s="26" t="str">
        <f t="array" ref="H1605">IF(
MOD(ROW()-2,6)=0,
INDEX('Form Responses'!I:I,INT((ROW()-2)/6)+2),
"-- NA --"
)</f>
        <v>-- NA --</v>
      </c>
      <c r="I1605" s="32" t="str">
        <f t="array" ref="I1605">IF(
MOD(ROW()-2,6)=0,
INDEX('Form Responses'!J:J,INT((ROW()-2)/6)+2),
"-- NA --"
)</f>
        <v>-- NA --</v>
      </c>
      <c r="J1605" s="33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</row>
    <row r="1606">
      <c r="A1606" s="26">
        <v>1605.0</v>
      </c>
      <c r="B1606" s="33"/>
      <c r="C1606" s="26" t="s">
        <v>385</v>
      </c>
      <c r="D1606" s="26" t="str">
        <f t="array" ref="D16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24AD170</v>
      </c>
      <c r="E1606" s="32" t="str">
        <f t="array" ref="E16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Rahul R</v>
      </c>
      <c r="F1606" s="26" t="str">
        <f t="array" ref="F16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6" s="26" t="str">
        <f t="array" ref="G16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06" s="26" t="str">
        <f t="array" ref="H1606">IF(
MOD(ROW()-2,6)=0,
INDEX('Form Responses'!I:I,INT((ROW()-2)/6)+2),
"-- NA --"
)</f>
        <v>-- NA --</v>
      </c>
      <c r="I1606" s="32" t="str">
        <f t="array" ref="I1606">IF(
MOD(ROW()-2,6)=0,
INDEX('Form Responses'!J:J,INT((ROW()-2)/6)+2),
"-- NA --"
)</f>
        <v>-- NA --</v>
      </c>
      <c r="J1606" s="33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</row>
    <row r="1607">
      <c r="A1607" s="26">
        <v>1606.0</v>
      </c>
      <c r="B1607" s="33"/>
      <c r="C1607" s="26" t="s">
        <v>425</v>
      </c>
      <c r="D1607" s="26" t="str">
        <f t="array" ref="D16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24CS180</v>
      </c>
      <c r="E1607" s="32" t="str">
        <f t="array" ref="E16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Priyadarshini AS</v>
      </c>
      <c r="F1607" s="26" t="str">
        <f t="array" ref="F16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7" s="26" t="str">
        <f t="array" ref="G16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07" s="26" t="str">
        <f t="array" ref="H1607">IF(
MOD(ROW()-2,6)=0,
INDEX('Form Responses'!I:I,INT((ROW()-2)/6)+2),
"-- NA --"
)</f>
        <v>-- NA --</v>
      </c>
      <c r="I1607" s="32" t="str">
        <f t="array" ref="I1607">IF(
MOD(ROW()-2,6)=0,
INDEX('Form Responses'!J:J,INT((ROW()-2)/6)+2),
"-- NA --"
)</f>
        <v>-- NA --</v>
      </c>
      <c r="J1607" s="33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</row>
    <row r="1608">
      <c r="A1608" s="26">
        <v>1607.0</v>
      </c>
      <c r="B1608" s="33"/>
      <c r="C1608" s="26" t="s">
        <v>464</v>
      </c>
      <c r="D1608" s="26" t="str">
        <f t="array" ref="D16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24CC046</v>
      </c>
      <c r="E1608" s="32" t="str">
        <f t="array" ref="E16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Sakthi Kamalam G</v>
      </c>
      <c r="F1608" s="26" t="str">
        <f t="array" ref="F16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8" s="26" t="str">
        <f t="array" ref="G16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608" s="26" t="str">
        <f t="array" ref="H1608">IF(
MOD(ROW()-2,6)=0,
INDEX('Form Responses'!I:I,INT((ROW()-2)/6)+2),
"-- NA --"
)</f>
        <v>-- NA --</v>
      </c>
      <c r="I1608" s="32" t="str">
        <f t="array" ref="I1608">IF(
MOD(ROW()-2,6)=0,
INDEX('Form Responses'!J:J,INT((ROW()-2)/6)+2),
"-- NA --"
)</f>
        <v>-- NA --</v>
      </c>
      <c r="J1608" s="33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</row>
    <row r="1609">
      <c r="A1609" s="26">
        <v>1608.0</v>
      </c>
      <c r="B1609" s="6"/>
      <c r="C1609" s="26" t="s">
        <v>500</v>
      </c>
      <c r="D1609" s="26" t="str">
        <f t="array" ref="D16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24EC175</v>
      </c>
      <c r="E1609" s="32" t="str">
        <f t="array" ref="E16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Thrishna M</v>
      </c>
      <c r="F1609" s="26" t="str">
        <f t="array" ref="F16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09" s="26" t="str">
        <f t="array" ref="G16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09" s="26" t="str">
        <f t="array" ref="H1609">IF(
MOD(ROW()-2,6)=0,
INDEX('Form Responses'!I:I,INT((ROW()-2)/6)+2),
"-- NA --"
)</f>
        <v>-- NA --</v>
      </c>
      <c r="I1609" s="32" t="str">
        <f t="array" ref="I1609">IF(
MOD(ROW()-2,6)=0,
INDEX('Form Responses'!J:J,INT((ROW()-2)/6)+2),
"-- NA --"
)</f>
        <v>-- NA --</v>
      </c>
      <c r="J1609" s="6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</row>
    <row r="1610">
      <c r="A1610" s="26">
        <v>1609.0</v>
      </c>
      <c r="B1610" s="29" t="str">
        <f t="array" ref="B1610">INDEX('Form Responses'!$C:$C,INT((ROW()-2)/6)+2)</f>
        <v>OMNISCIENTOPS</v>
      </c>
      <c r="C1610" s="31" t="s">
        <v>140</v>
      </c>
      <c r="D1610" s="26" t="str">
        <f t="array" ref="D16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24AD107</v>
      </c>
      <c r="E1610" s="32" t="str">
        <f t="array" ref="E16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Kungumapriyaa M</v>
      </c>
      <c r="F1610" s="26" t="str">
        <f t="array" ref="F16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10" s="26" t="str">
        <f t="array" ref="G16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0" s="26">
        <f t="array" ref="H1610">IF(
MOD(ROW()-2,6)=0,
INDEX('Form Responses'!I:I,INT((ROW()-2)/6)+2),
"-- NA --"
)</f>
        <v>7867896369</v>
      </c>
      <c r="I1610" s="32" t="str">
        <f t="array" ref="I1610">IF(
MOD(ROW()-2,6)=0,
INDEX('Form Responses'!J:J,INT((ROW()-2)/6)+2),
"-- NA --"
)</f>
        <v>kungumapriyaa.m2024aids@sece.ac.in</v>
      </c>
      <c r="J1610" s="29" t="str">
        <f t="array" ref="J1610">INDEX('Form Responses'!$D:$D,INT((ROW()-2)/6)+2)</f>
        <v>Software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</row>
    <row r="1611">
      <c r="A1611" s="26">
        <v>1610.0</v>
      </c>
      <c r="B1611" s="33"/>
      <c r="C1611" s="26" t="s">
        <v>282</v>
      </c>
      <c r="D1611" s="26" t="str">
        <f t="array" ref="D16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24AD081</v>
      </c>
      <c r="E1611" s="32" t="str">
        <f t="array" ref="E16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JAYANTH E</v>
      </c>
      <c r="F1611" s="26" t="str">
        <f t="array" ref="F16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11" s="26" t="str">
        <f t="array" ref="G16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1" s="26" t="str">
        <f t="array" ref="H1611">IF(
MOD(ROW()-2,6)=0,
INDEX('Form Responses'!I:I,INT((ROW()-2)/6)+2),
"-- NA --"
)</f>
        <v>-- NA --</v>
      </c>
      <c r="I1611" s="32" t="str">
        <f t="array" ref="I1611">IF(
MOD(ROW()-2,6)=0,
INDEX('Form Responses'!J:J,INT((ROW()-2)/6)+2),
"-- NA --"
)</f>
        <v>-- NA --</v>
      </c>
      <c r="J1611" s="33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</row>
    <row r="1612">
      <c r="A1612" s="26">
        <v>1611.0</v>
      </c>
      <c r="B1612" s="33"/>
      <c r="C1612" s="26" t="s">
        <v>385</v>
      </c>
      <c r="D1612" s="26" t="str">
        <f t="array" ref="D16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24AD155</v>
      </c>
      <c r="E1612" s="32" t="str">
        <f t="array" ref="E16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PRAMOD K</v>
      </c>
      <c r="F1612" s="26" t="str">
        <f t="array" ref="F16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12" s="26" t="str">
        <f t="array" ref="G16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2" s="26" t="str">
        <f t="array" ref="H1612">IF(
MOD(ROW()-2,6)=0,
INDEX('Form Responses'!I:I,INT((ROW()-2)/6)+2),
"-- NA --"
)</f>
        <v>-- NA --</v>
      </c>
      <c r="I1612" s="32" t="str">
        <f t="array" ref="I1612">IF(
MOD(ROW()-2,6)=0,
INDEX('Form Responses'!J:J,INT((ROW()-2)/6)+2),
"-- NA --"
)</f>
        <v>-- NA --</v>
      </c>
      <c r="J1612" s="33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</row>
    <row r="1613">
      <c r="A1613" s="26">
        <v>1612.0</v>
      </c>
      <c r="B1613" s="33"/>
      <c r="C1613" s="26" t="s">
        <v>425</v>
      </c>
      <c r="D1613" s="26" t="str">
        <f t="array" ref="D16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23AD074</v>
      </c>
      <c r="E1613" s="32" t="str">
        <f t="array" ref="E16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MITHUN M</v>
      </c>
      <c r="F1613" s="26" t="str">
        <f t="array" ref="F16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613" s="26" t="str">
        <f t="array" ref="G16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3" s="26" t="str">
        <f t="array" ref="H1613">IF(
MOD(ROW()-2,6)=0,
INDEX('Form Responses'!I:I,INT((ROW()-2)/6)+2),
"-- NA --"
)</f>
        <v>-- NA --</v>
      </c>
      <c r="I1613" s="32" t="str">
        <f t="array" ref="I1613">IF(
MOD(ROW()-2,6)=0,
INDEX('Form Responses'!J:J,INT((ROW()-2)/6)+2),
"-- NA --"
)</f>
        <v>-- NA --</v>
      </c>
      <c r="J1613" s="33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</row>
    <row r="1614">
      <c r="A1614" s="26">
        <v>1613.0</v>
      </c>
      <c r="B1614" s="33"/>
      <c r="C1614" s="26" t="s">
        <v>464</v>
      </c>
      <c r="D1614" s="26" t="str">
        <f t="array" ref="D16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23EC151</v>
      </c>
      <c r="E1614" s="32" t="str">
        <f t="array" ref="E16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SOUJANYA S</v>
      </c>
      <c r="F1614" s="26" t="str">
        <f t="array" ref="F16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614" s="26" t="str">
        <f t="array" ref="G16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14" s="26" t="str">
        <f t="array" ref="H1614">IF(
MOD(ROW()-2,6)=0,
INDEX('Form Responses'!I:I,INT((ROW()-2)/6)+2),
"-- NA --"
)</f>
        <v>-- NA --</v>
      </c>
      <c r="I1614" s="32" t="str">
        <f t="array" ref="I1614">IF(
MOD(ROW()-2,6)=0,
INDEX('Form Responses'!J:J,INT((ROW()-2)/6)+2),
"-- NA --"
)</f>
        <v>-- NA --</v>
      </c>
      <c r="J1614" s="33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</row>
    <row r="1615">
      <c r="A1615" s="26">
        <v>1614.0</v>
      </c>
      <c r="B1615" s="6"/>
      <c r="C1615" s="26" t="s">
        <v>500</v>
      </c>
      <c r="D1615" s="26" t="str">
        <f t="array" ref="D16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25AD206</v>
      </c>
      <c r="E1615" s="32" t="str">
        <f t="array" ref="E16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VIJAY SACHIN</v>
      </c>
      <c r="F1615" s="26" t="str">
        <f t="array" ref="F16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15" s="26" t="str">
        <f t="array" ref="G16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5" s="26" t="str">
        <f t="array" ref="H1615">IF(
MOD(ROW()-2,6)=0,
INDEX('Form Responses'!I:I,INT((ROW()-2)/6)+2),
"-- NA --"
)</f>
        <v>-- NA --</v>
      </c>
      <c r="I1615" s="32" t="str">
        <f t="array" ref="I1615">IF(
MOD(ROW()-2,6)=0,
INDEX('Form Responses'!J:J,INT((ROW()-2)/6)+2),
"-- NA --"
)</f>
        <v>-- NA --</v>
      </c>
      <c r="J1615" s="6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</row>
    <row r="1616">
      <c r="A1616" s="26">
        <v>1615.0</v>
      </c>
      <c r="B1616" s="29" t="str">
        <f t="array" ref="B1616">INDEX('Form Responses'!$C:$C,INT((ROW()-2)/6)+2)</f>
        <v>Team CodeX</v>
      </c>
      <c r="C1616" s="31" t="s">
        <v>140</v>
      </c>
      <c r="D1616" s="26" t="str">
        <f t="array" ref="D16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25CC048</v>
      </c>
      <c r="E1616" s="32" t="str">
        <f t="array" ref="E16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SATHURVIKA R </v>
      </c>
      <c r="F1616" s="26" t="str">
        <f t="array" ref="F16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16" s="26" t="str">
        <f t="array" ref="G16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616" s="26">
        <f t="array" ref="H1616">IF(
MOD(ROW()-2,6)=0,
INDEX('Form Responses'!I:I,INT((ROW()-2)/6)+2),
"-- NA --"
)</f>
        <v>8825899610</v>
      </c>
      <c r="I1616" s="32" t="str">
        <f t="array" ref="I1616">IF(
MOD(ROW()-2,6)=0,
INDEX('Form Responses'!J:J,INT((ROW()-2)/6)+2),
"-- NA --"
)</f>
        <v>sathurvika.r2025cce@sece.ac.in</v>
      </c>
      <c r="J1616" s="29" t="str">
        <f t="array" ref="J1616">INDEX('Form Responses'!$D:$D,INT((ROW()-2)/6)+2)</f>
        <v>Hardware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</row>
    <row r="1617">
      <c r="A1617" s="26">
        <v>1616.0</v>
      </c>
      <c r="B1617" s="33"/>
      <c r="C1617" s="26" t="s">
        <v>282</v>
      </c>
      <c r="D1617" s="26" t="str">
        <f t="array" ref="D16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25CC044</v>
      </c>
      <c r="E1617" s="32" t="str">
        <f t="array" ref="E16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SAMYUKTHA P</v>
      </c>
      <c r="F1617" s="26" t="str">
        <f t="array" ref="F16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17" s="26" t="str">
        <f t="array" ref="G16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CCE</v>
      </c>
      <c r="H1617" s="26" t="str">
        <f t="array" ref="H1617">IF(
MOD(ROW()-2,6)=0,
INDEX('Form Responses'!I:I,INT((ROW()-2)/6)+2),
"-- NA --"
)</f>
        <v>-- NA --</v>
      </c>
      <c r="I1617" s="32" t="str">
        <f t="array" ref="I1617">IF(
MOD(ROW()-2,6)=0,
INDEX('Form Responses'!J:J,INT((ROW()-2)/6)+2),
"-- NA --"
)</f>
        <v>-- NA --</v>
      </c>
      <c r="J1617" s="33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</row>
    <row r="1618">
      <c r="A1618" s="26">
        <v>1617.0</v>
      </c>
      <c r="B1618" s="33"/>
      <c r="C1618" s="26" t="s">
        <v>385</v>
      </c>
      <c r="D1618" s="26" t="str">
        <f t="array" ref="D161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25EC139</v>
      </c>
      <c r="E1618" s="32" t="str">
        <f t="array" ref="E161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RUPESH NS</v>
      </c>
      <c r="F1618" s="26" t="str">
        <f t="array" ref="F161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18" s="26" t="str">
        <f t="array" ref="G161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18" s="26" t="str">
        <f t="array" ref="H1618">IF(
MOD(ROW()-2,6)=0,
INDEX('Form Responses'!I:I,INT((ROW()-2)/6)+2),
"-- NA --"
)</f>
        <v>-- NA --</v>
      </c>
      <c r="I1618" s="32" t="str">
        <f t="array" ref="I1618">IF(
MOD(ROW()-2,6)=0,
INDEX('Form Responses'!J:J,INT((ROW()-2)/6)+2),
"-- NA --"
)</f>
        <v>-- NA --</v>
      </c>
      <c r="J1618" s="33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</row>
    <row r="1619">
      <c r="A1619" s="26">
        <v>1618.0</v>
      </c>
      <c r="B1619" s="33"/>
      <c r="C1619" s="26" t="s">
        <v>425</v>
      </c>
      <c r="D1619" s="26" t="str">
        <f t="array" ref="D161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25AM105</v>
      </c>
      <c r="E1619" s="32" t="str">
        <f t="array" ref="E161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SUDHAN AC</v>
      </c>
      <c r="F1619" s="26" t="str">
        <f t="array" ref="F161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19" s="26" t="str">
        <f t="array" ref="G161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19" s="26" t="str">
        <f t="array" ref="H1619">IF(
MOD(ROW()-2,6)=0,
INDEX('Form Responses'!I:I,INT((ROW()-2)/6)+2),
"-- NA --"
)</f>
        <v>-- NA --</v>
      </c>
      <c r="I1619" s="32" t="str">
        <f t="array" ref="I1619">IF(
MOD(ROW()-2,6)=0,
INDEX('Form Responses'!J:J,INT((ROW()-2)/6)+2),
"-- NA --"
)</f>
        <v>-- NA --</v>
      </c>
      <c r="J1619" s="33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</row>
    <row r="1620">
      <c r="A1620" s="26">
        <v>1619.0</v>
      </c>
      <c r="B1620" s="33"/>
      <c r="C1620" s="26" t="s">
        <v>464</v>
      </c>
      <c r="D1620" s="26" t="str">
        <f t="array" ref="D162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25EC153</v>
      </c>
      <c r="E1620" s="32" t="str">
        <f t="array" ref="E162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SIVAKARTHIK RS</v>
      </c>
      <c r="F1620" s="26" t="str">
        <f t="array" ref="F162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20" s="26" t="str">
        <f t="array" ref="G162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20" s="26" t="str">
        <f t="array" ref="H1620">IF(
MOD(ROW()-2,6)=0,
INDEX('Form Responses'!I:I,INT((ROW()-2)/6)+2),
"-- NA --"
)</f>
        <v>-- NA --</v>
      </c>
      <c r="I1620" s="32" t="str">
        <f t="array" ref="I1620">IF(
MOD(ROW()-2,6)=0,
INDEX('Form Responses'!J:J,INT((ROW()-2)/6)+2),
"-- NA --"
)</f>
        <v>-- NA --</v>
      </c>
      <c r="J1620" s="33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</row>
    <row r="1621">
      <c r="A1621" s="26">
        <v>1620.0</v>
      </c>
      <c r="B1621" s="6"/>
      <c r="C1621" s="26" t="s">
        <v>500</v>
      </c>
      <c r="D1621" s="26" t="str">
        <f t="array" ref="D162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25EC142</v>
      </c>
      <c r="E1621" s="32" t="str">
        <f t="array" ref="E162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SANJAY CHARI S</v>
      </c>
      <c r="F1621" s="26" t="str">
        <f t="array" ref="F162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21" s="26" t="str">
        <f t="array" ref="G162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21" s="26" t="str">
        <f t="array" ref="H1621">IF(
MOD(ROW()-2,6)=0,
INDEX('Form Responses'!I:I,INT((ROW()-2)/6)+2),
"-- NA --"
)</f>
        <v>-- NA --</v>
      </c>
      <c r="I1621" s="32" t="str">
        <f t="array" ref="I1621">IF(
MOD(ROW()-2,6)=0,
INDEX('Form Responses'!J:J,INT((ROW()-2)/6)+2),
"-- NA --"
)</f>
        <v>-- NA --</v>
      </c>
      <c r="J1621" s="6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</row>
    <row r="1622">
      <c r="A1622" s="26">
        <v>1621.0</v>
      </c>
      <c r="B1622" s="29" t="str">
        <f t="array" ref="B1622">INDEX('Form Responses'!$C:$C,INT((ROW()-2)/6)+2)</f>
        <v>Team Ekalavya</v>
      </c>
      <c r="C1622" s="31" t="s">
        <v>140</v>
      </c>
      <c r="D1622" s="26" t="str">
        <f t="array" ref="D162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24CB009</v>
      </c>
      <c r="E1622" s="32" t="str">
        <f t="array" ref="E162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Dhanwanth DJ</v>
      </c>
      <c r="F1622" s="26" t="str">
        <f t="array" ref="F162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2" s="26" t="str">
        <f t="array" ref="G162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22" s="26">
        <f t="array" ref="H1622">IF(
MOD(ROW()-2,6)=0,
INDEX('Form Responses'!I:I,INT((ROW()-2)/6)+2),
"-- NA --"
)</f>
        <v>8870261306</v>
      </c>
      <c r="I1622" s="32" t="str">
        <f t="array" ref="I1622">IF(
MOD(ROW()-2,6)=0,
INDEX('Form Responses'!J:J,INT((ROW()-2)/6)+2),
"-- NA --"
)</f>
        <v>dhanwanth.dj2024csbs@sece.ac.in</v>
      </c>
      <c r="J1622" s="29" t="str">
        <f t="array" ref="J1622">INDEX('Form Responses'!$D:$D,INT((ROW()-2)/6)+2)</f>
        <v>Software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</row>
    <row r="1623">
      <c r="A1623" s="26">
        <v>1622.0</v>
      </c>
      <c r="B1623" s="33"/>
      <c r="C1623" s="26" t="s">
        <v>282</v>
      </c>
      <c r="D1623" s="26" t="str">
        <f t="array" ref="D162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24CB015 </v>
      </c>
      <c r="E1623" s="32" t="str">
        <f t="array" ref="E162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Harishni S.S </v>
      </c>
      <c r="F1623" s="26" t="str">
        <f t="array" ref="F162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3" s="26" t="str">
        <f t="array" ref="G162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23" s="26" t="str">
        <f t="array" ref="H1623">IF(
MOD(ROW()-2,6)=0,
INDEX('Form Responses'!I:I,INT((ROW()-2)/6)+2),
"-- NA --"
)</f>
        <v>-- NA --</v>
      </c>
      <c r="I1623" s="32" t="str">
        <f t="array" ref="I1623">IF(
MOD(ROW()-2,6)=0,
INDEX('Form Responses'!J:J,INT((ROW()-2)/6)+2),
"-- NA --"
)</f>
        <v>-- NA --</v>
      </c>
      <c r="J1623" s="33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</row>
    <row r="1624">
      <c r="A1624" s="26">
        <v>1623.0</v>
      </c>
      <c r="B1624" s="33"/>
      <c r="C1624" s="26" t="s">
        <v>385</v>
      </c>
      <c r="D1624" s="26" t="str">
        <f t="array" ref="D162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24CB025</v>
      </c>
      <c r="E1624" s="32" t="str">
        <f t="array" ref="E162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Midulaa S </v>
      </c>
      <c r="F1624" s="26" t="str">
        <f t="array" ref="F162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4" s="26" t="str">
        <f t="array" ref="G162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24" s="26" t="str">
        <f t="array" ref="H1624">IF(
MOD(ROW()-2,6)=0,
INDEX('Form Responses'!I:I,INT((ROW()-2)/6)+2),
"-- NA --"
)</f>
        <v>-- NA --</v>
      </c>
      <c r="I1624" s="32" t="str">
        <f t="array" ref="I1624">IF(
MOD(ROW()-2,6)=0,
INDEX('Form Responses'!J:J,INT((ROW()-2)/6)+2),
"-- NA --"
)</f>
        <v>-- NA --</v>
      </c>
      <c r="J1624" s="33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</row>
    <row r="1625">
      <c r="A1625" s="26">
        <v>1624.0</v>
      </c>
      <c r="B1625" s="33"/>
      <c r="C1625" s="26" t="s">
        <v>425</v>
      </c>
      <c r="D1625" s="26" t="str">
        <f t="array" ref="D162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24CB027</v>
      </c>
      <c r="E1625" s="32" t="str">
        <f t="array" ref="E162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Namisha D</v>
      </c>
      <c r="F1625" s="26" t="str">
        <f t="array" ref="F162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5" s="26" t="str">
        <f t="array" ref="G162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25" s="26" t="str">
        <f t="array" ref="H1625">IF(
MOD(ROW()-2,6)=0,
INDEX('Form Responses'!I:I,INT((ROW()-2)/6)+2),
"-- NA --"
)</f>
        <v>-- NA --</v>
      </c>
      <c r="I1625" s="32" t="str">
        <f t="array" ref="I1625">IF(
MOD(ROW()-2,6)=0,
INDEX('Form Responses'!J:J,INT((ROW()-2)/6)+2),
"-- NA --"
)</f>
        <v>-- NA --</v>
      </c>
      <c r="J1625" s="33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</row>
    <row r="1626">
      <c r="A1626" s="26">
        <v>1625.0</v>
      </c>
      <c r="B1626" s="33"/>
      <c r="C1626" s="26" t="s">
        <v>464</v>
      </c>
      <c r="D1626" s="26" t="str">
        <f t="array" ref="D162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24AD030</v>
      </c>
      <c r="E1626" s="32" t="str">
        <f t="array" ref="E162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Barath Roshan S</v>
      </c>
      <c r="F1626" s="26" t="str">
        <f t="array" ref="F162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6" s="26" t="str">
        <f t="array" ref="G162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26" s="26" t="str">
        <f t="array" ref="H1626">IF(
MOD(ROW()-2,6)=0,
INDEX('Form Responses'!I:I,INT((ROW()-2)/6)+2),
"-- NA --"
)</f>
        <v>-- NA --</v>
      </c>
      <c r="I1626" s="32" t="str">
        <f t="array" ref="I1626">IF(
MOD(ROW()-2,6)=0,
INDEX('Form Responses'!J:J,INT((ROW()-2)/6)+2),
"-- NA --"
)</f>
        <v>-- NA --</v>
      </c>
      <c r="J1626" s="33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</row>
    <row r="1627">
      <c r="A1627" s="26">
        <v>1626.0</v>
      </c>
      <c r="B1627" s="6"/>
      <c r="C1627" s="26" t="s">
        <v>500</v>
      </c>
      <c r="D1627" s="26" t="str">
        <f t="array" ref="D162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24CB021</v>
      </c>
      <c r="E1627" s="32" t="str">
        <f t="array" ref="E162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Karthik K</v>
      </c>
      <c r="F1627" s="26" t="str">
        <f t="array" ref="F162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7" s="26" t="str">
        <f t="array" ref="G162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CSBS</v>
      </c>
      <c r="H1627" s="26" t="str">
        <f t="array" ref="H1627">IF(
MOD(ROW()-2,6)=0,
INDEX('Form Responses'!I:I,INT((ROW()-2)/6)+2),
"-- NA --"
)</f>
        <v>-- NA --</v>
      </c>
      <c r="I1627" s="32" t="str">
        <f t="array" ref="I1627">IF(
MOD(ROW()-2,6)=0,
INDEX('Form Responses'!J:J,INT((ROW()-2)/6)+2),
"-- NA --"
)</f>
        <v>-- NA --</v>
      </c>
      <c r="J1627" s="6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</row>
    <row r="1628">
      <c r="A1628" s="26">
        <v>1627.0</v>
      </c>
      <c r="B1628" s="29" t="str">
        <f t="array" ref="B1628">INDEX('Form Responses'!$C:$C,INT((ROW()-2)/6)+2)</f>
        <v>Survex</v>
      </c>
      <c r="C1628" s="31" t="s">
        <v>140</v>
      </c>
      <c r="D1628" s="26" t="str">
        <f t="array" ref="D162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24CS249</v>
      </c>
      <c r="E1628" s="32" t="str">
        <f t="array" ref="E162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TAMILSELVAN P</v>
      </c>
      <c r="F1628" s="26" t="str">
        <f t="array" ref="F162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8" s="26" t="str">
        <f t="array" ref="G162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28" s="26">
        <f t="array" ref="H1628">IF(
MOD(ROW()-2,6)=0,
INDEX('Form Responses'!I:I,INT((ROW()-2)/6)+2),
"-- NA --"
)</f>
        <v>8838358477</v>
      </c>
      <c r="I1628" s="32" t="str">
        <f t="array" ref="I1628">IF(
MOD(ROW()-2,6)=0,
INDEX('Form Responses'!J:J,INT((ROW()-2)/6)+2),
"-- NA --"
)</f>
        <v>tamilselvan.p2024cse@sece.ac.in</v>
      </c>
      <c r="J1628" s="29" t="str">
        <f t="array" ref="J1628">INDEX('Form Responses'!$D:$D,INT((ROW()-2)/6)+2)</f>
        <v>Software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</row>
    <row r="1629">
      <c r="A1629" s="26">
        <v>1628.0</v>
      </c>
      <c r="B1629" s="33"/>
      <c r="C1629" s="26" t="s">
        <v>282</v>
      </c>
      <c r="D1629" s="26" t="str">
        <f t="array" ref="D162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24CS248</v>
      </c>
      <c r="E1629" s="32" t="str">
        <f t="array" ref="E162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Suryaprakash S</v>
      </c>
      <c r="F1629" s="26" t="str">
        <f t="array" ref="F162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29" s="26" t="str">
        <f t="array" ref="G162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29" s="26" t="str">
        <f t="array" ref="H1629">IF(
MOD(ROW()-2,6)=0,
INDEX('Form Responses'!I:I,INT((ROW()-2)/6)+2),
"-- NA --"
)</f>
        <v>-- NA --</v>
      </c>
      <c r="I1629" s="32" t="str">
        <f t="array" ref="I1629">IF(
MOD(ROW()-2,6)=0,
INDEX('Form Responses'!J:J,INT((ROW()-2)/6)+2),
"-- NA --"
)</f>
        <v>-- NA --</v>
      </c>
      <c r="J1629" s="33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</row>
    <row r="1630">
      <c r="A1630" s="26">
        <v>1629.0</v>
      </c>
      <c r="B1630" s="33"/>
      <c r="C1630" s="26" t="s">
        <v>385</v>
      </c>
      <c r="D1630" s="26" t="str">
        <f t="array" ref="D163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24CS230</v>
      </c>
      <c r="E1630" s="32" t="str">
        <f t="array" ref="E163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Sowmya C</v>
      </c>
      <c r="F1630" s="26" t="str">
        <f t="array" ref="F163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0" s="26" t="str">
        <f t="array" ref="G163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30" s="26" t="str">
        <f t="array" ref="H1630">IF(
MOD(ROW()-2,6)=0,
INDEX('Form Responses'!I:I,INT((ROW()-2)/6)+2),
"-- NA --"
)</f>
        <v>-- NA --</v>
      </c>
      <c r="I1630" s="32" t="str">
        <f t="array" ref="I1630">IF(
MOD(ROW()-2,6)=0,
INDEX('Form Responses'!J:J,INT((ROW()-2)/6)+2),
"-- NA --"
)</f>
        <v>-- NA --</v>
      </c>
      <c r="J1630" s="33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</row>
    <row r="1631">
      <c r="A1631" s="26">
        <v>1630.0</v>
      </c>
      <c r="B1631" s="33"/>
      <c r="C1631" s="26" t="s">
        <v>425</v>
      </c>
      <c r="D1631" s="26" t="str">
        <f t="array" ref="D163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24CS210</v>
      </c>
      <c r="E1631" s="32" t="str">
        <f t="array" ref="E163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Sangamitra P</v>
      </c>
      <c r="F1631" s="26" t="str">
        <f t="array" ref="F163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1" s="26" t="str">
        <f t="array" ref="G163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31" s="26" t="str">
        <f t="array" ref="H1631">IF(
MOD(ROW()-2,6)=0,
INDEX('Form Responses'!I:I,INT((ROW()-2)/6)+2),
"-- NA --"
)</f>
        <v>-- NA --</v>
      </c>
      <c r="I1631" s="32" t="str">
        <f t="array" ref="I1631">IF(
MOD(ROW()-2,6)=0,
INDEX('Form Responses'!J:J,INT((ROW()-2)/6)+2),
"-- NA --"
)</f>
        <v>-- NA --</v>
      </c>
      <c r="J1631" s="33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</row>
    <row r="1632">
      <c r="A1632" s="26">
        <v>1631.0</v>
      </c>
      <c r="B1632" s="33"/>
      <c r="C1632" s="26" t="s">
        <v>464</v>
      </c>
      <c r="D1632" s="26" t="str">
        <f t="array" ref="D163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24CS241</v>
      </c>
      <c r="E1632" s="32" t="str">
        <f t="array" ref="E163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Sugatha G</v>
      </c>
      <c r="F1632" s="26" t="str">
        <f t="array" ref="F163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2" s="26" t="str">
        <f t="array" ref="G163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32" s="26" t="str">
        <f t="array" ref="H1632">IF(
MOD(ROW()-2,6)=0,
INDEX('Form Responses'!I:I,INT((ROW()-2)/6)+2),
"-- NA --"
)</f>
        <v>-- NA --</v>
      </c>
      <c r="I1632" s="32" t="str">
        <f t="array" ref="I1632">IF(
MOD(ROW()-2,6)=0,
INDEX('Form Responses'!J:J,INT((ROW()-2)/6)+2),
"-- NA --"
)</f>
        <v>-- NA --</v>
      </c>
      <c r="J1632" s="33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</row>
    <row r="1633">
      <c r="A1633" s="26">
        <v>1632.0</v>
      </c>
      <c r="B1633" s="6"/>
      <c r="C1633" s="26" t="s">
        <v>500</v>
      </c>
      <c r="D1633" s="26" t="str">
        <f t="array" ref="D163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24AM076</v>
      </c>
      <c r="E1633" s="32" t="str">
        <f t="array" ref="E163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Reegan Ferdinand K</v>
      </c>
      <c r="F1633" s="26" t="str">
        <f t="array" ref="F163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3" s="26" t="str">
        <f t="array" ref="G163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 (AIML)</v>
      </c>
      <c r="H1633" s="26" t="str">
        <f t="array" ref="H1633">IF(
MOD(ROW()-2,6)=0,
INDEX('Form Responses'!I:I,INT((ROW()-2)/6)+2),
"-- NA --"
)</f>
        <v>-- NA --</v>
      </c>
      <c r="I1633" s="32" t="str">
        <f t="array" ref="I1633">IF(
MOD(ROW()-2,6)=0,
INDEX('Form Responses'!J:J,INT((ROW()-2)/6)+2),
"-- NA --"
)</f>
        <v>-- NA --</v>
      </c>
      <c r="J1633" s="6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</row>
    <row r="1634">
      <c r="A1634" s="26">
        <v>1633.0</v>
      </c>
      <c r="B1634" s="29" t="str">
        <f t="array" ref="B1634">INDEX('Form Responses'!$C:$C,INT((ROW()-2)/6)+2)</f>
        <v>Team TechSankalp</v>
      </c>
      <c r="C1634" s="31" t="s">
        <v>140</v>
      </c>
      <c r="D1634" s="26" t="str">
        <f t="array" ref="D163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23EC055</v>
      </c>
      <c r="E1634" s="32" t="str">
        <f t="array" ref="E163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Kaielash B</v>
      </c>
      <c r="F1634" s="26" t="str">
        <f t="array" ref="F163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634" s="26" t="str">
        <f t="array" ref="G163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34" s="26">
        <f t="array" ref="H1634">IF(
MOD(ROW()-2,6)=0,
INDEX('Form Responses'!I:I,INT((ROW()-2)/6)+2),
"-- NA --"
)</f>
        <v>8072251461</v>
      </c>
      <c r="I1634" s="32" t="str">
        <f t="array" ref="I1634">IF(
MOD(ROW()-2,6)=0,
INDEX('Form Responses'!J:J,INT((ROW()-2)/6)+2),
"-- NA --"
)</f>
        <v>kaielash.b2023ece@sece.ac.in</v>
      </c>
      <c r="J1634" s="29" t="str">
        <f t="array" ref="J1634">INDEX('Form Responses'!$D:$D,INT((ROW()-2)/6)+2)</f>
        <v>Hardware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</row>
    <row r="1635">
      <c r="A1635" s="26">
        <v>1634.0</v>
      </c>
      <c r="B1635" s="33"/>
      <c r="C1635" s="26" t="s">
        <v>282</v>
      </c>
      <c r="D1635" s="26" t="str">
        <f t="array" ref="D163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23EC029</v>
      </c>
      <c r="E1635" s="32" t="str">
        <f t="array" ref="E163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Enbarasu S</v>
      </c>
      <c r="F1635" s="26" t="str">
        <f t="array" ref="F163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IV</v>
      </c>
      <c r="G1635" s="26" t="str">
        <f t="array" ref="G163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35" s="26" t="str">
        <f t="array" ref="H1635">IF(
MOD(ROW()-2,6)=0,
INDEX('Form Responses'!I:I,INT((ROW()-2)/6)+2),
"-- NA --"
)</f>
        <v>-- NA --</v>
      </c>
      <c r="I1635" s="32" t="str">
        <f t="array" ref="I1635">IF(
MOD(ROW()-2,6)=0,
INDEX('Form Responses'!J:J,INT((ROW()-2)/6)+2),
"-- NA --"
)</f>
        <v>-- NA --</v>
      </c>
      <c r="J1635" s="33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</row>
    <row r="1636">
      <c r="A1636" s="26">
        <v>1635.0</v>
      </c>
      <c r="B1636" s="33"/>
      <c r="C1636" s="26" t="s">
        <v>385</v>
      </c>
      <c r="D1636" s="26" t="str">
        <f t="array" ref="D163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24AD012</v>
      </c>
      <c r="E1636" s="32" t="str">
        <f t="array" ref="E163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Aishwarya J</v>
      </c>
      <c r="F1636" s="26" t="str">
        <f t="array" ref="F163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6" s="26" t="str">
        <f t="array" ref="G163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AI &amp; DS</v>
      </c>
      <c r="H1636" s="26" t="str">
        <f t="array" ref="H1636">IF(
MOD(ROW()-2,6)=0,
INDEX('Form Responses'!I:I,INT((ROW()-2)/6)+2),
"-- NA --"
)</f>
        <v>-- NA --</v>
      </c>
      <c r="I1636" s="32" t="str">
        <f t="array" ref="I1636">IF(
MOD(ROW()-2,6)=0,
INDEX('Form Responses'!J:J,INT((ROW()-2)/6)+2),
"-- NA --"
)</f>
        <v>-- NA --</v>
      </c>
      <c r="J1636" s="33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</row>
    <row r="1637">
      <c r="A1637" s="26">
        <v>1636.0</v>
      </c>
      <c r="B1637" s="33"/>
      <c r="C1637" s="26" t="s">
        <v>425</v>
      </c>
      <c r="D1637" s="26" t="str">
        <f t="array" ref="D163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24AD038</v>
      </c>
      <c r="E1637" s="32" t="str">
        <f t="array" ref="E163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Deepika T</v>
      </c>
      <c r="F1637" s="26" t="str">
        <f t="array" ref="F163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III</v>
      </c>
      <c r="G1637" s="26" t="str">
        <f t="array" ref="G163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ECE</v>
      </c>
      <c r="H1637" s="26" t="str">
        <f t="array" ref="H1637">IF(
MOD(ROW()-2,6)=0,
INDEX('Form Responses'!I:I,INT((ROW()-2)/6)+2),
"-- NA --"
)</f>
        <v>-- NA --</v>
      </c>
      <c r="I1637" s="32" t="str">
        <f t="array" ref="I1637">IF(
MOD(ROW()-2,6)=0,
INDEX('Form Responses'!J:J,INT((ROW()-2)/6)+2),
"-- NA --"
)</f>
        <v>-- NA --</v>
      </c>
      <c r="J1637" s="33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</row>
    <row r="1638">
      <c r="A1638" s="26">
        <v>1637.0</v>
      </c>
      <c r="B1638" s="33"/>
      <c r="C1638" s="26" t="s">
        <v>464</v>
      </c>
      <c r="D1638" s="26" t="str">
        <f t="array" ref="D163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25CS303</v>
      </c>
      <c r="E1638" s="32" t="str">
        <f t="array" ref="E163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Kathir.N S</v>
      </c>
      <c r="F1638" s="26" t="str">
        <f t="array" ref="F163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38" s="26" t="str">
        <f t="array" ref="G163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CSE</v>
      </c>
      <c r="H1638" s="26" t="str">
        <f t="array" ref="H1638">IF(
MOD(ROW()-2,6)=0,
INDEX('Form Responses'!I:I,INT((ROW()-2)/6)+2),
"-- NA --"
)</f>
        <v>-- NA --</v>
      </c>
      <c r="I1638" s="32" t="str">
        <f t="array" ref="I1638">IF(
MOD(ROW()-2,6)=0,
INDEX('Form Responses'!J:J,INT((ROW()-2)/6)+2),
"-- NA --"
)</f>
        <v>-- NA --</v>
      </c>
      <c r="J1638" s="33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</row>
    <row r="1639">
      <c r="A1639" s="26">
        <v>1638.0</v>
      </c>
      <c r="B1639" s="6"/>
      <c r="C1639" s="26" t="s">
        <v>500</v>
      </c>
      <c r="D1639" s="26" t="str">
        <f t="array" ref="D163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25ME013</v>
      </c>
      <c r="E1639" s="32" t="str">
        <f t="array" ref="E163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Kamalesh N</v>
      </c>
      <c r="F1639" s="26" t="str">
        <f t="array" ref="F163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II</v>
      </c>
      <c r="G1639" s="26" t="str">
        <f t="array" ref="G163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MECH</v>
      </c>
      <c r="H1639" s="26" t="str">
        <f t="array" ref="H1639">IF(
MOD(ROW()-2,6)=0,
INDEX('Form Responses'!I:I,INT((ROW()-2)/6)+2),
"-- NA --"
)</f>
        <v>-- NA --</v>
      </c>
      <c r="I1639" s="32" t="str">
        <f t="array" ref="I1639">IF(
MOD(ROW()-2,6)=0,
INDEX('Form Responses'!J:J,INT((ROW()-2)/6)+2),
"-- NA --"
)</f>
        <v>-- NA --</v>
      </c>
      <c r="J1639" s="6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>
      <c r="A1640" s="26">
        <v>1639.0</v>
      </c>
      <c r="B1640" s="29" t="str">
        <f t="array" ref="B1640">INDEX('Form Responses'!$C:$C,INT((ROW()-2)/6)+2)</f>
        <v/>
      </c>
      <c r="C1640" s="31" t="s">
        <v>140</v>
      </c>
      <c r="D1640" s="26" t="str">
        <f t="array" ref="D164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0" s="32" t="str">
        <f t="array" ref="E164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0" s="26" t="str">
        <f t="array" ref="F164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0" s="26" t="str">
        <f t="array" ref="G164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0" s="26" t="str">
        <f t="array" ref="H1640">IF(
MOD(ROW()-2,6)=0,
INDEX('Form Responses'!I:I,INT((ROW()-2)/6)+2),
"-- NA --"
)</f>
        <v/>
      </c>
      <c r="I1640" s="32" t="str">
        <f t="array" ref="I1640">IF(
MOD(ROW()-2,6)=0,
INDEX('Form Responses'!J:J,INT((ROW()-2)/6)+2),
"-- NA --"
)</f>
        <v/>
      </c>
      <c r="J1640" s="29" t="str">
        <f t="array" ref="J1640">INDEX('Form Responses'!$D:$D,INT((ROW()-2)/6)+2)</f>
        <v/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</row>
    <row r="1641">
      <c r="A1641" s="26">
        <v>1640.0</v>
      </c>
      <c r="B1641" s="33"/>
      <c r="C1641" s="26" t="s">
        <v>282</v>
      </c>
      <c r="D1641" s="26" t="str">
        <f t="array" ref="D164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1" s="32" t="str">
        <f t="array" ref="E164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1" s="26" t="str">
        <f t="array" ref="F164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1" s="26" t="str">
        <f t="array" ref="G164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1" s="26" t="str">
        <f t="array" ref="H1641">IF(
MOD(ROW()-2,6)=0,
INDEX('Form Responses'!I:I,INT((ROW()-2)/6)+2),
"-- NA --"
)</f>
        <v>-- NA --</v>
      </c>
      <c r="I1641" s="32" t="str">
        <f t="array" ref="I1641">IF(
MOD(ROW()-2,6)=0,
INDEX('Form Responses'!J:J,INT((ROW()-2)/6)+2),
"-- NA --"
)</f>
        <v>-- NA --</v>
      </c>
      <c r="J1641" s="33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</row>
    <row r="1642">
      <c r="A1642" s="26">
        <v>1641.0</v>
      </c>
      <c r="B1642" s="33"/>
      <c r="C1642" s="26" t="s">
        <v>385</v>
      </c>
      <c r="D1642" s="26" t="str">
        <f t="array" ref="D164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2" s="32" t="str">
        <f t="array" ref="E164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2" s="26" t="str">
        <f t="array" ref="F164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2" s="26" t="str">
        <f t="array" ref="G164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2" s="26" t="str">
        <f t="array" ref="H1642">IF(
MOD(ROW()-2,6)=0,
INDEX('Form Responses'!I:I,INT((ROW()-2)/6)+2),
"-- NA --"
)</f>
        <v>-- NA --</v>
      </c>
      <c r="I1642" s="32" t="str">
        <f t="array" ref="I1642">IF(
MOD(ROW()-2,6)=0,
INDEX('Form Responses'!J:J,INT((ROW()-2)/6)+2),
"-- NA --"
)</f>
        <v>-- NA --</v>
      </c>
      <c r="J1642" s="33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</row>
    <row r="1643">
      <c r="A1643" s="26">
        <v>1642.0</v>
      </c>
      <c r="B1643" s="33"/>
      <c r="C1643" s="26" t="s">
        <v>425</v>
      </c>
      <c r="D1643" s="26" t="str">
        <f t="array" ref="D164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3" s="32" t="str">
        <f t="array" ref="E164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3" s="26" t="str">
        <f t="array" ref="F164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3" s="26" t="str">
        <f t="array" ref="G164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3" s="26" t="str">
        <f t="array" ref="H1643">IF(
MOD(ROW()-2,6)=0,
INDEX('Form Responses'!I:I,INT((ROW()-2)/6)+2),
"-- NA --"
)</f>
        <v>-- NA --</v>
      </c>
      <c r="I1643" s="32" t="str">
        <f t="array" ref="I1643">IF(
MOD(ROW()-2,6)=0,
INDEX('Form Responses'!J:J,INT((ROW()-2)/6)+2),
"-- NA --"
)</f>
        <v>-- NA --</v>
      </c>
      <c r="J1643" s="33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</row>
    <row r="1644">
      <c r="A1644" s="26">
        <v>1643.0</v>
      </c>
      <c r="B1644" s="33"/>
      <c r="C1644" s="26" t="s">
        <v>464</v>
      </c>
      <c r="D1644" s="26" t="str">
        <f t="array" ref="D164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4" s="32" t="str">
        <f t="array" ref="E164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4" s="26" t="str">
        <f t="array" ref="F164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4" s="26" t="str">
        <f t="array" ref="G164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4" s="26" t="str">
        <f t="array" ref="H1644">IF(
MOD(ROW()-2,6)=0,
INDEX('Form Responses'!I:I,INT((ROW()-2)/6)+2),
"-- NA --"
)</f>
        <v>-- NA --</v>
      </c>
      <c r="I1644" s="32" t="str">
        <f t="array" ref="I1644">IF(
MOD(ROW()-2,6)=0,
INDEX('Form Responses'!J:J,INT((ROW()-2)/6)+2),
"-- NA --"
)</f>
        <v>-- NA --</v>
      </c>
      <c r="J1644" s="33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</row>
    <row r="1645">
      <c r="A1645" s="26">
        <v>1644.0</v>
      </c>
      <c r="B1645" s="6"/>
      <c r="C1645" s="26" t="s">
        <v>500</v>
      </c>
      <c r="D1645" s="26" t="str">
        <f t="array" ref="D164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5" s="32" t="str">
        <f t="array" ref="E164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5" s="26" t="str">
        <f t="array" ref="F164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5" s="26" t="str">
        <f t="array" ref="G164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5" s="26" t="str">
        <f t="array" ref="H1645">IF(
MOD(ROW()-2,6)=0,
INDEX('Form Responses'!I:I,INT((ROW()-2)/6)+2),
"-- NA --"
)</f>
        <v>-- NA --</v>
      </c>
      <c r="I1645" s="32" t="str">
        <f t="array" ref="I1645">IF(
MOD(ROW()-2,6)=0,
INDEX('Form Responses'!J:J,INT((ROW()-2)/6)+2),
"-- NA --"
)</f>
        <v>-- NA --</v>
      </c>
      <c r="J1645" s="6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</row>
    <row r="1646">
      <c r="A1646" s="26">
        <v>1645.0</v>
      </c>
      <c r="B1646" s="29" t="str">
        <f t="array" ref="B1646">INDEX('Form Responses'!$C:$C,INT((ROW()-2)/6)+2)</f>
        <v/>
      </c>
      <c r="C1646" s="31" t="s">
        <v>140</v>
      </c>
      <c r="D1646" s="26" t="str">
        <f t="array" ref="D164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6" s="32" t="str">
        <f t="array" ref="E164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6" s="26" t="str">
        <f t="array" ref="F164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6" s="26" t="str">
        <f t="array" ref="G164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6" s="26" t="str">
        <f t="array" ref="H1646">IF(
MOD(ROW()-2,6)=0,
INDEX('Form Responses'!I:I,INT((ROW()-2)/6)+2),
"-- NA --"
)</f>
        <v/>
      </c>
      <c r="I1646" s="32" t="str">
        <f t="array" ref="I1646">IF(
MOD(ROW()-2,6)=0,
INDEX('Form Responses'!J:J,INT((ROW()-2)/6)+2),
"-- NA --"
)</f>
        <v/>
      </c>
      <c r="J1646" s="29" t="str">
        <f t="array" ref="J1646">INDEX('Form Responses'!$D:$D,INT((ROW()-2)/6)+2)</f>
        <v/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</row>
    <row r="1647">
      <c r="A1647" s="26">
        <v>1646.0</v>
      </c>
      <c r="B1647" s="33"/>
      <c r="C1647" s="26" t="s">
        <v>282</v>
      </c>
      <c r="D1647" s="26" t="str">
        <f t="array" ref="D164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7" s="32" t="str">
        <f t="array" ref="E164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7" s="26" t="str">
        <f t="array" ref="F164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7" s="26" t="str">
        <f t="array" ref="G164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7" s="26" t="str">
        <f t="array" ref="H1647">IF(
MOD(ROW()-2,6)=0,
INDEX('Form Responses'!I:I,INT((ROW()-2)/6)+2),
"-- NA --"
)</f>
        <v>-- NA --</v>
      </c>
      <c r="I1647" s="32" t="str">
        <f t="array" ref="I1647">IF(
MOD(ROW()-2,6)=0,
INDEX('Form Responses'!J:J,INT((ROW()-2)/6)+2),
"-- NA --"
)</f>
        <v>-- NA --</v>
      </c>
      <c r="J1647" s="33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</row>
    <row r="1648">
      <c r="A1648" s="26">
        <v>1647.0</v>
      </c>
      <c r="B1648" s="33"/>
      <c r="C1648" s="26" t="s">
        <v>385</v>
      </c>
      <c r="D1648" s="26" t="str">
        <f t="array" ref="D164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8" s="32" t="str">
        <f t="array" ref="E164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8" s="26" t="str">
        <f t="array" ref="F164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8" s="26" t="str">
        <f t="array" ref="G164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8" s="26" t="str">
        <f t="array" ref="H1648">IF(
MOD(ROW()-2,6)=0,
INDEX('Form Responses'!I:I,INT((ROW()-2)/6)+2),
"-- NA --"
)</f>
        <v>-- NA --</v>
      </c>
      <c r="I1648" s="32" t="str">
        <f t="array" ref="I1648">IF(
MOD(ROW()-2,6)=0,
INDEX('Form Responses'!J:J,INT((ROW()-2)/6)+2),
"-- NA --"
)</f>
        <v>-- NA --</v>
      </c>
      <c r="J1648" s="33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</row>
    <row r="1649">
      <c r="A1649" s="26">
        <v>1648.0</v>
      </c>
      <c r="B1649" s="33"/>
      <c r="C1649" s="26" t="s">
        <v>425</v>
      </c>
      <c r="D1649" s="26" t="str">
        <f t="array" ref="D164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49" s="32" t="str">
        <f t="array" ref="E164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49" s="26" t="str">
        <f t="array" ref="F164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49" s="26" t="str">
        <f t="array" ref="G164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49" s="26" t="str">
        <f t="array" ref="H1649">IF(
MOD(ROW()-2,6)=0,
INDEX('Form Responses'!I:I,INT((ROW()-2)/6)+2),
"-- NA --"
)</f>
        <v>-- NA --</v>
      </c>
      <c r="I1649" s="32" t="str">
        <f t="array" ref="I1649">IF(
MOD(ROW()-2,6)=0,
INDEX('Form Responses'!J:J,INT((ROW()-2)/6)+2),
"-- NA --"
)</f>
        <v>-- NA --</v>
      </c>
      <c r="J1649" s="33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</row>
    <row r="1650">
      <c r="A1650" s="26">
        <v>1649.0</v>
      </c>
      <c r="B1650" s="33"/>
      <c r="C1650" s="26" t="s">
        <v>464</v>
      </c>
      <c r="D1650" s="26" t="str">
        <f t="array" ref="D165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0" s="32" t="str">
        <f t="array" ref="E165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0" s="26" t="str">
        <f t="array" ref="F165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0" s="26" t="str">
        <f t="array" ref="G165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0" s="26" t="str">
        <f t="array" ref="H1650">IF(
MOD(ROW()-2,6)=0,
INDEX('Form Responses'!I:I,INT((ROW()-2)/6)+2),
"-- NA --"
)</f>
        <v>-- NA --</v>
      </c>
      <c r="I1650" s="32" t="str">
        <f t="array" ref="I1650">IF(
MOD(ROW()-2,6)=0,
INDEX('Form Responses'!J:J,INT((ROW()-2)/6)+2),
"-- NA --"
)</f>
        <v>-- NA --</v>
      </c>
      <c r="J1650" s="33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</row>
    <row r="1651">
      <c r="A1651" s="26">
        <v>1650.0</v>
      </c>
      <c r="B1651" s="6"/>
      <c r="C1651" s="26" t="s">
        <v>500</v>
      </c>
      <c r="D1651" s="26" t="str">
        <f t="array" ref="D165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1" s="32" t="str">
        <f t="array" ref="E165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1" s="26" t="str">
        <f t="array" ref="F165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1" s="26" t="str">
        <f t="array" ref="G165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1" s="26" t="str">
        <f t="array" ref="H1651">IF(
MOD(ROW()-2,6)=0,
INDEX('Form Responses'!I:I,INT((ROW()-2)/6)+2),
"-- NA --"
)</f>
        <v>-- NA --</v>
      </c>
      <c r="I1651" s="32" t="str">
        <f t="array" ref="I1651">IF(
MOD(ROW()-2,6)=0,
INDEX('Form Responses'!J:J,INT((ROW()-2)/6)+2),
"-- NA --"
)</f>
        <v>-- NA --</v>
      </c>
      <c r="J1651" s="6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</row>
    <row r="1652">
      <c r="A1652" s="26">
        <v>1651.0</v>
      </c>
      <c r="B1652" s="29" t="str">
        <f t="array" ref="B1652">INDEX('Form Responses'!$C:$C,INT((ROW()-2)/6)+2)</f>
        <v/>
      </c>
      <c r="C1652" s="31" t="s">
        <v>140</v>
      </c>
      <c r="D1652" s="26" t="str">
        <f t="array" ref="D165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2" s="32" t="str">
        <f t="array" ref="E165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2" s="26" t="str">
        <f t="array" ref="F165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2" s="26" t="str">
        <f t="array" ref="G165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2" s="26" t="str">
        <f t="array" ref="H1652">IF(
MOD(ROW()-2,6)=0,
INDEX('Form Responses'!I:I,INT((ROW()-2)/6)+2),
"-- NA --"
)</f>
        <v/>
      </c>
      <c r="I1652" s="32" t="str">
        <f t="array" ref="I1652">IF(
MOD(ROW()-2,6)=0,
INDEX('Form Responses'!J:J,INT((ROW()-2)/6)+2),
"-- NA --"
)</f>
        <v/>
      </c>
      <c r="J1652" s="29" t="str">
        <f t="array" ref="J1652">INDEX('Form Responses'!$D:$D,INT((ROW()-2)/6)+2)</f>
        <v/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</row>
    <row r="1653">
      <c r="A1653" s="26">
        <v>1652.0</v>
      </c>
      <c r="B1653" s="33"/>
      <c r="C1653" s="26" t="s">
        <v>282</v>
      </c>
      <c r="D1653" s="26" t="str">
        <f t="array" ref="D165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3" s="32" t="str">
        <f t="array" ref="E165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3" s="26" t="str">
        <f t="array" ref="F165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3" s="26" t="str">
        <f t="array" ref="G165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3" s="26" t="str">
        <f t="array" ref="H1653">IF(
MOD(ROW()-2,6)=0,
INDEX('Form Responses'!I:I,INT((ROW()-2)/6)+2),
"-- NA --"
)</f>
        <v>-- NA --</v>
      </c>
      <c r="I1653" s="32" t="str">
        <f t="array" ref="I1653">IF(
MOD(ROW()-2,6)=0,
INDEX('Form Responses'!J:J,INT((ROW()-2)/6)+2),
"-- NA --"
)</f>
        <v>-- NA --</v>
      </c>
      <c r="J1653" s="33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</row>
    <row r="1654">
      <c r="A1654" s="26">
        <v>1653.0</v>
      </c>
      <c r="B1654" s="33"/>
      <c r="C1654" s="26" t="s">
        <v>385</v>
      </c>
      <c r="D1654" s="26" t="str">
        <f t="array" ref="D165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4" s="32" t="str">
        <f t="array" ref="E165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4" s="26" t="str">
        <f t="array" ref="F165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4" s="26" t="str">
        <f t="array" ref="G165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4" s="26" t="str">
        <f t="array" ref="H1654">IF(
MOD(ROW()-2,6)=0,
INDEX('Form Responses'!I:I,INT((ROW()-2)/6)+2),
"-- NA --"
)</f>
        <v>-- NA --</v>
      </c>
      <c r="I1654" s="32" t="str">
        <f t="array" ref="I1654">IF(
MOD(ROW()-2,6)=0,
INDEX('Form Responses'!J:J,INT((ROW()-2)/6)+2),
"-- NA --"
)</f>
        <v>-- NA --</v>
      </c>
      <c r="J1654" s="33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</row>
    <row r="1655">
      <c r="A1655" s="26">
        <v>1654.0</v>
      </c>
      <c r="B1655" s="33"/>
      <c r="C1655" s="26" t="s">
        <v>425</v>
      </c>
      <c r="D1655" s="26" t="str">
        <f t="array" ref="D165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5" s="32" t="str">
        <f t="array" ref="E165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5" s="26" t="str">
        <f t="array" ref="F165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5" s="26" t="str">
        <f t="array" ref="G165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5" s="26" t="str">
        <f t="array" ref="H1655">IF(
MOD(ROW()-2,6)=0,
INDEX('Form Responses'!I:I,INT((ROW()-2)/6)+2),
"-- NA --"
)</f>
        <v>-- NA --</v>
      </c>
      <c r="I1655" s="32" t="str">
        <f t="array" ref="I1655">IF(
MOD(ROW()-2,6)=0,
INDEX('Form Responses'!J:J,INT((ROW()-2)/6)+2),
"-- NA --"
)</f>
        <v>-- NA --</v>
      </c>
      <c r="J1655" s="33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</row>
    <row r="1656">
      <c r="A1656" s="26">
        <v>1655.0</v>
      </c>
      <c r="B1656" s="33"/>
      <c r="C1656" s="26" t="s">
        <v>464</v>
      </c>
      <c r="D1656" s="26" t="str">
        <f t="array" ref="D165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6" s="32" t="str">
        <f t="array" ref="E165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6" s="26" t="str">
        <f t="array" ref="F165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6" s="26" t="str">
        <f t="array" ref="G165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6" s="26" t="str">
        <f t="array" ref="H1656">IF(
MOD(ROW()-2,6)=0,
INDEX('Form Responses'!I:I,INT((ROW()-2)/6)+2),
"-- NA --"
)</f>
        <v>-- NA --</v>
      </c>
      <c r="I1656" s="32" t="str">
        <f t="array" ref="I1656">IF(
MOD(ROW()-2,6)=0,
INDEX('Form Responses'!J:J,INT((ROW()-2)/6)+2),
"-- NA --"
)</f>
        <v>-- NA --</v>
      </c>
      <c r="J1656" s="33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</row>
    <row r="1657">
      <c r="A1657" s="26">
        <v>1656.0</v>
      </c>
      <c r="B1657" s="6"/>
      <c r="C1657" s="26" t="s">
        <v>500</v>
      </c>
      <c r="D1657" s="26" t="str">
        <f t="array" ref="D165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7" s="32" t="str">
        <f t="array" ref="E165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7" s="26" t="str">
        <f t="array" ref="F165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7" s="26" t="str">
        <f t="array" ref="G165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7" s="26" t="str">
        <f t="array" ref="H1657">IF(
MOD(ROW()-2,6)=0,
INDEX('Form Responses'!I:I,INT((ROW()-2)/6)+2),
"-- NA --"
)</f>
        <v>-- NA --</v>
      </c>
      <c r="I1657" s="32" t="str">
        <f t="array" ref="I1657">IF(
MOD(ROW()-2,6)=0,
INDEX('Form Responses'!J:J,INT((ROW()-2)/6)+2),
"-- NA --"
)</f>
        <v>-- NA --</v>
      </c>
      <c r="J1657" s="6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</row>
    <row r="1658">
      <c r="A1658" s="26">
        <v>1657.0</v>
      </c>
      <c r="B1658" s="29" t="str">
        <f t="array" ref="B1658">INDEX('Form Responses'!$C:$C,INT((ROW()-2)/6)+2)</f>
        <v/>
      </c>
      <c r="C1658" s="31" t="s">
        <v>140</v>
      </c>
      <c r="D1658" s="26" t="str">
        <f t="array" ref="D165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8" s="32" t="str">
        <f t="array" ref="E165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8" s="26" t="str">
        <f t="array" ref="F165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8" s="26" t="str">
        <f t="array" ref="G165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8" s="26" t="str">
        <f t="array" ref="H1658">IF(
MOD(ROW()-2,6)=0,
INDEX('Form Responses'!I:I,INT((ROW()-2)/6)+2),
"-- NA --"
)</f>
        <v/>
      </c>
      <c r="I1658" s="32" t="str">
        <f t="array" ref="I1658">IF(
MOD(ROW()-2,6)=0,
INDEX('Form Responses'!J:J,INT((ROW()-2)/6)+2),
"-- NA --"
)</f>
        <v/>
      </c>
      <c r="J1658" s="29" t="str">
        <f t="array" ref="J1658">INDEX('Form Responses'!$D:$D,INT((ROW()-2)/6)+2)</f>
        <v/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</row>
    <row r="1659">
      <c r="A1659" s="26">
        <v>1658.0</v>
      </c>
      <c r="B1659" s="33"/>
      <c r="C1659" s="26" t="s">
        <v>282</v>
      </c>
      <c r="D1659" s="26" t="str">
        <f t="array" ref="D165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59" s="32" t="str">
        <f t="array" ref="E165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59" s="26" t="str">
        <f t="array" ref="F165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59" s="26" t="str">
        <f t="array" ref="G165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59" s="26" t="str">
        <f t="array" ref="H1659">IF(
MOD(ROW()-2,6)=0,
INDEX('Form Responses'!I:I,INT((ROW()-2)/6)+2),
"-- NA --"
)</f>
        <v>-- NA --</v>
      </c>
      <c r="I1659" s="32" t="str">
        <f t="array" ref="I1659">IF(
MOD(ROW()-2,6)=0,
INDEX('Form Responses'!J:J,INT((ROW()-2)/6)+2),
"-- NA --"
)</f>
        <v>-- NA --</v>
      </c>
      <c r="J1659" s="33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</row>
    <row r="1660">
      <c r="A1660" s="26">
        <v>1659.0</v>
      </c>
      <c r="B1660" s="33"/>
      <c r="C1660" s="26" t="s">
        <v>385</v>
      </c>
      <c r="D1660" s="26" t="str">
        <f t="array" ref="D166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0" s="32" t="str">
        <f t="array" ref="E166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0" s="26" t="str">
        <f t="array" ref="F166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0" s="26" t="str">
        <f t="array" ref="G166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0" s="26" t="str">
        <f t="array" ref="H1660">IF(
MOD(ROW()-2,6)=0,
INDEX('Form Responses'!I:I,INT((ROW()-2)/6)+2),
"-- NA --"
)</f>
        <v>-- NA --</v>
      </c>
      <c r="I1660" s="32" t="str">
        <f t="array" ref="I1660">IF(
MOD(ROW()-2,6)=0,
INDEX('Form Responses'!J:J,INT((ROW()-2)/6)+2),
"-- NA --"
)</f>
        <v>-- NA --</v>
      </c>
      <c r="J1660" s="33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</row>
    <row r="1661">
      <c r="A1661" s="26">
        <v>1660.0</v>
      </c>
      <c r="B1661" s="33"/>
      <c r="C1661" s="26" t="s">
        <v>425</v>
      </c>
      <c r="D1661" s="26" t="str">
        <f t="array" ref="D166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1" s="32" t="str">
        <f t="array" ref="E166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1" s="26" t="str">
        <f t="array" ref="F166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1" s="26" t="str">
        <f t="array" ref="G166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1" s="26" t="str">
        <f t="array" ref="H1661">IF(
MOD(ROW()-2,6)=0,
INDEX('Form Responses'!I:I,INT((ROW()-2)/6)+2),
"-- NA --"
)</f>
        <v>-- NA --</v>
      </c>
      <c r="I1661" s="32" t="str">
        <f t="array" ref="I1661">IF(
MOD(ROW()-2,6)=0,
INDEX('Form Responses'!J:J,INT((ROW()-2)/6)+2),
"-- NA --"
)</f>
        <v>-- NA --</v>
      </c>
      <c r="J1661" s="33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</row>
    <row r="1662">
      <c r="A1662" s="26">
        <v>1661.0</v>
      </c>
      <c r="B1662" s="33"/>
      <c r="C1662" s="26" t="s">
        <v>464</v>
      </c>
      <c r="D1662" s="26" t="str">
        <f t="array" ref="D166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2" s="32" t="str">
        <f t="array" ref="E166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2" s="26" t="str">
        <f t="array" ref="F166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2" s="26" t="str">
        <f t="array" ref="G166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2" s="26" t="str">
        <f t="array" ref="H1662">IF(
MOD(ROW()-2,6)=0,
INDEX('Form Responses'!I:I,INT((ROW()-2)/6)+2),
"-- NA --"
)</f>
        <v>-- NA --</v>
      </c>
      <c r="I1662" s="32" t="str">
        <f t="array" ref="I1662">IF(
MOD(ROW()-2,6)=0,
INDEX('Form Responses'!J:J,INT((ROW()-2)/6)+2),
"-- NA --"
)</f>
        <v>-- NA --</v>
      </c>
      <c r="J1662" s="33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</row>
    <row r="1663">
      <c r="A1663" s="26">
        <v>1662.0</v>
      </c>
      <c r="B1663" s="6"/>
      <c r="C1663" s="26" t="s">
        <v>500</v>
      </c>
      <c r="D1663" s="26" t="str">
        <f t="array" ref="D166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3" s="32" t="str">
        <f t="array" ref="E166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3" s="26" t="str">
        <f t="array" ref="F166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3" s="26" t="str">
        <f t="array" ref="G166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3" s="26" t="str">
        <f t="array" ref="H1663">IF(
MOD(ROW()-2,6)=0,
INDEX('Form Responses'!I:I,INT((ROW()-2)/6)+2),
"-- NA --"
)</f>
        <v>-- NA --</v>
      </c>
      <c r="I1663" s="32" t="str">
        <f t="array" ref="I1663">IF(
MOD(ROW()-2,6)=0,
INDEX('Form Responses'!J:J,INT((ROW()-2)/6)+2),
"-- NA --"
)</f>
        <v>-- NA --</v>
      </c>
      <c r="J1663" s="6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</row>
    <row r="1664">
      <c r="A1664" s="26">
        <v>1663.0</v>
      </c>
      <c r="B1664" s="29" t="str">
        <f t="array" ref="B1664">INDEX('Form Responses'!$C:$C,INT((ROW()-2)/6)+2)</f>
        <v/>
      </c>
      <c r="C1664" s="31" t="s">
        <v>140</v>
      </c>
      <c r="D1664" s="26" t="str">
        <f t="array" ref="D166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4" s="32" t="str">
        <f t="array" ref="E166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4" s="26" t="str">
        <f t="array" ref="F166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4" s="26" t="str">
        <f t="array" ref="G166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4" s="26" t="str">
        <f t="array" ref="H1664">IF(
MOD(ROW()-2,6)=0,
INDEX('Form Responses'!I:I,INT((ROW()-2)/6)+2),
"-- NA --"
)</f>
        <v/>
      </c>
      <c r="I1664" s="32"/>
      <c r="J1664" s="29" t="str">
        <f t="array" ref="J1664">INDEX('Form Responses'!$D:$D,INT((ROW()-2)/6)+2)</f>
        <v/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</row>
    <row r="1665">
      <c r="A1665" s="26">
        <v>1664.0</v>
      </c>
      <c r="B1665" s="33"/>
      <c r="C1665" s="26" t="s">
        <v>282</v>
      </c>
      <c r="D1665" s="26" t="str">
        <f t="array" ref="D166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5" s="32" t="str">
        <f t="array" ref="E166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5" s="26" t="str">
        <f t="array" ref="F166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5" s="26" t="str">
        <f t="array" ref="G166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5" s="26" t="str">
        <f t="array" ref="H1665">IF(
MOD(ROW()-2,6)=0,
INDEX('Form Responses'!I:I,INT((ROW()-2)/6)+2),
"-- NA --"
)</f>
        <v>-- NA --</v>
      </c>
      <c r="I1665" s="32"/>
      <c r="J1665" s="33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</row>
    <row r="1666">
      <c r="A1666" s="26">
        <v>1665.0</v>
      </c>
      <c r="B1666" s="33"/>
      <c r="C1666" s="26" t="s">
        <v>385</v>
      </c>
      <c r="D1666" s="26" t="str">
        <f t="array" ref="D166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6" s="32" t="str">
        <f t="array" ref="E166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6" s="26" t="str">
        <f t="array" ref="F166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6" s="26" t="str">
        <f t="array" ref="G166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6" s="26" t="str">
        <f t="array" ref="H1666">IF(
MOD(ROW()-2,6)=0,
INDEX('Form Responses'!I:I,INT((ROW()-2)/6)+2),
"-- NA --"
)</f>
        <v>-- NA --</v>
      </c>
      <c r="I1666" s="32"/>
      <c r="J1666" s="33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</row>
    <row r="1667">
      <c r="A1667" s="26">
        <v>1666.0</v>
      </c>
      <c r="B1667" s="33"/>
      <c r="C1667" s="26" t="s">
        <v>425</v>
      </c>
      <c r="D1667" s="26" t="str">
        <f t="array" ref="D166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7" s="32" t="str">
        <f t="array" ref="E166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7" s="26" t="str">
        <f t="array" ref="F166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7" s="26" t="str">
        <f t="array" ref="G166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7" s="26" t="str">
        <f t="array" ref="H1667">IF(
MOD(ROW()-2,6)=0,
INDEX('Form Responses'!I:I,INT((ROW()-2)/6)+2),
"-- NA --"
)</f>
        <v>-- NA --</v>
      </c>
      <c r="I1667" s="32"/>
      <c r="J1667" s="33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</row>
    <row r="1668">
      <c r="A1668" s="26">
        <v>1667.0</v>
      </c>
      <c r="B1668" s="33"/>
      <c r="C1668" s="26" t="s">
        <v>464</v>
      </c>
      <c r="D1668" s="26" t="str">
        <f t="array" ref="D166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8" s="32" t="str">
        <f t="array" ref="E166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8" s="26" t="str">
        <f t="array" ref="F166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8" s="26" t="str">
        <f t="array" ref="G166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8" s="26" t="str">
        <f t="array" ref="H1668">IF(
MOD(ROW()-2,6)=0,
INDEX('Form Responses'!I:I,INT((ROW()-2)/6)+2),
"-- NA --"
)</f>
        <v>-- NA --</v>
      </c>
      <c r="I1668" s="32"/>
      <c r="J1668" s="33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</row>
    <row r="1669">
      <c r="A1669" s="26">
        <v>1668.0</v>
      </c>
      <c r="B1669" s="6"/>
      <c r="C1669" s="26" t="s">
        <v>500</v>
      </c>
      <c r="D1669" s="26" t="str">
        <f t="array" ref="D166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69" s="32" t="str">
        <f t="array" ref="E166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69" s="26" t="str">
        <f t="array" ref="F166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69" s="26" t="str">
        <f t="array" ref="G166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69" s="26" t="str">
        <f t="array" ref="H1669">IF(
MOD(ROW()-2,6)=0,
INDEX('Form Responses'!I:I,INT((ROW()-2)/6)+2),
"-- NA --"
)</f>
        <v>-- NA --</v>
      </c>
      <c r="I1669" s="32"/>
      <c r="J1669" s="6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</row>
    <row r="1670">
      <c r="A1670" s="26">
        <v>1669.0</v>
      </c>
      <c r="B1670" s="29" t="str">
        <f t="array" ref="B1670">INDEX('Form Responses'!$C:$C,INT((ROW()-2)/6)+2)</f>
        <v/>
      </c>
      <c r="C1670" s="31" t="s">
        <v>140</v>
      </c>
      <c r="D1670" s="26" t="str">
        <f t="array" ref="D167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0" s="32" t="str">
        <f t="array" ref="E167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0" s="26" t="str">
        <f t="array" ref="F167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0" s="26" t="str">
        <f t="array" ref="G167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0" s="26" t="str">
        <f t="array" ref="H1670">IF(
MOD(ROW()-2,6)=0,
INDEX('Form Responses'!I:I,INT((ROW()-2)/6)+2),
"-- NA --"
)</f>
        <v/>
      </c>
      <c r="I1670" s="32"/>
      <c r="J1670" s="29" t="str">
        <f t="array" ref="J1670">INDEX('Form Responses'!$D:$D,INT((ROW()-2)/6)+2)</f>
        <v/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</row>
    <row r="1671">
      <c r="A1671" s="26">
        <v>1670.0</v>
      </c>
      <c r="B1671" s="33"/>
      <c r="C1671" s="26" t="s">
        <v>282</v>
      </c>
      <c r="D1671" s="26" t="str">
        <f t="array" ref="D167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1" s="32" t="str">
        <f t="array" ref="E167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1" s="26" t="str">
        <f t="array" ref="F167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1" s="26" t="str">
        <f t="array" ref="G167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1" s="26" t="str">
        <f t="array" ref="H1671">IF(
MOD(ROW()-2,6)=0,
INDEX('Form Responses'!I:I,INT((ROW()-2)/6)+2),
"-- NA --"
)</f>
        <v>-- NA --</v>
      </c>
      <c r="I1671" s="32"/>
      <c r="J1671" s="33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</row>
    <row r="1672">
      <c r="A1672" s="26">
        <v>1671.0</v>
      </c>
      <c r="B1672" s="33"/>
      <c r="C1672" s="26" t="s">
        <v>385</v>
      </c>
      <c r="D1672" s="26" t="str">
        <f t="array" ref="D167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2" s="32" t="str">
        <f t="array" ref="E167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2" s="26" t="str">
        <f t="array" ref="F167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2" s="26" t="str">
        <f t="array" ref="G167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2" s="26" t="str">
        <f t="array" ref="H1672">IF(
MOD(ROW()-2,6)=0,
INDEX('Form Responses'!I:I,INT((ROW()-2)/6)+2),
"-- NA --"
)</f>
        <v>-- NA --</v>
      </c>
      <c r="I1672" s="32"/>
      <c r="J1672" s="33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</row>
    <row r="1673">
      <c r="A1673" s="26">
        <v>1672.0</v>
      </c>
      <c r="B1673" s="33"/>
      <c r="C1673" s="26" t="s">
        <v>425</v>
      </c>
      <c r="D1673" s="26" t="str">
        <f t="array" ref="D167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3" s="32" t="str">
        <f t="array" ref="E167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3" s="26" t="str">
        <f t="array" ref="F167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3" s="26" t="str">
        <f t="array" ref="G167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3" s="26" t="str">
        <f t="array" ref="H1673">IF(
MOD(ROW()-2,6)=0,
INDEX('Form Responses'!I:I,INT((ROW()-2)/6)+2),
"-- NA --"
)</f>
        <v>-- NA --</v>
      </c>
      <c r="I1673" s="32"/>
      <c r="J1673" s="33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</row>
    <row r="1674">
      <c r="A1674" s="26">
        <v>1673.0</v>
      </c>
      <c r="B1674" s="33"/>
      <c r="C1674" s="26" t="s">
        <v>464</v>
      </c>
      <c r="D1674" s="26" t="str">
        <f t="array" ref="D167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4" s="32" t="str">
        <f t="array" ref="E167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4" s="26" t="str">
        <f t="array" ref="F167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4" s="26" t="str">
        <f t="array" ref="G167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4" s="26" t="str">
        <f t="array" ref="H1674">IF(
MOD(ROW()-2,6)=0,
INDEX('Form Responses'!I:I,INT((ROW()-2)/6)+2),
"-- NA --"
)</f>
        <v>-- NA --</v>
      </c>
      <c r="I1674" s="32"/>
      <c r="J1674" s="33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</row>
    <row r="1675">
      <c r="A1675" s="26">
        <v>1674.0</v>
      </c>
      <c r="B1675" s="6"/>
      <c r="C1675" s="26" t="s">
        <v>500</v>
      </c>
      <c r="D1675" s="26" t="str">
        <f t="array" ref="D167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5" s="32" t="str">
        <f t="array" ref="E167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5" s="26" t="str">
        <f t="array" ref="F167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5" s="26" t="str">
        <f t="array" ref="G167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5" s="26" t="str">
        <f t="array" ref="H1675">IF(
MOD(ROW()-2,6)=0,
INDEX('Form Responses'!I:I,INT((ROW()-2)/6)+2),
"-- NA --"
)</f>
        <v>-- NA --</v>
      </c>
      <c r="I1675" s="32"/>
      <c r="J1675" s="6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</row>
    <row r="1676">
      <c r="A1676" s="26">
        <v>1675.0</v>
      </c>
      <c r="B1676" s="29" t="str">
        <f t="array" ref="B1676">INDEX('Form Responses'!$C:$C,INT((ROW()-2)/6)+2)</f>
        <v/>
      </c>
      <c r="C1676" s="31" t="s">
        <v>140</v>
      </c>
      <c r="D1676" s="26" t="str">
        <f t="array" ref="D167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6" s="32" t="str">
        <f t="array" ref="E167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6" s="26" t="str">
        <f t="array" ref="F167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6" s="26" t="str">
        <f t="array" ref="G167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6" s="26" t="str">
        <f t="array" ref="H1676">IF(
MOD(ROW()-2,6)=0,
INDEX('Form Responses'!I:I,INT((ROW()-2)/6)+2),
"-- NA --"
)</f>
        <v/>
      </c>
      <c r="I1676" s="32"/>
      <c r="J1676" s="29" t="str">
        <f t="array" ref="J1676">INDEX('Form Responses'!$D:$D,INT((ROW()-2)/6)+2)</f>
        <v/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</row>
    <row r="1677">
      <c r="A1677" s="26">
        <v>1676.0</v>
      </c>
      <c r="B1677" s="33"/>
      <c r="C1677" s="26" t="s">
        <v>282</v>
      </c>
      <c r="D1677" s="26" t="str">
        <f t="array" ref="D167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7" s="32" t="str">
        <f t="array" ref="E167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7" s="26" t="str">
        <f t="array" ref="F167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7" s="26" t="str">
        <f t="array" ref="G167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7" s="26" t="str">
        <f t="array" ref="H1677">IF(
MOD(ROW()-2,6)=0,
INDEX('Form Responses'!I:I,INT((ROW()-2)/6)+2),
"-- NA --"
)</f>
        <v>-- NA --</v>
      </c>
      <c r="I1677" s="32"/>
      <c r="J1677" s="33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</row>
    <row r="1678">
      <c r="A1678" s="26">
        <v>1677.0</v>
      </c>
      <c r="B1678" s="33"/>
      <c r="C1678" s="26" t="s">
        <v>385</v>
      </c>
      <c r="D1678" s="26" t="str">
        <f t="array" ref="D167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8" s="32" t="str">
        <f t="array" ref="E167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8" s="26" t="str">
        <f t="array" ref="F167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8" s="26" t="str">
        <f t="array" ref="G167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8" s="26" t="str">
        <f t="array" ref="H1678">IF(
MOD(ROW()-2,6)=0,
INDEX('Form Responses'!I:I,INT((ROW()-2)/6)+2),
"-- NA --"
)</f>
        <v>-- NA --</v>
      </c>
      <c r="I1678" s="32"/>
      <c r="J1678" s="33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</row>
    <row r="1679">
      <c r="A1679" s="26">
        <v>1678.0</v>
      </c>
      <c r="B1679" s="33"/>
      <c r="C1679" s="26" t="s">
        <v>425</v>
      </c>
      <c r="D1679" s="26" t="str">
        <f t="array" ref="D167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79" s="32" t="str">
        <f t="array" ref="E167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79" s="26" t="str">
        <f t="array" ref="F167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79" s="26" t="str">
        <f t="array" ref="G167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79" s="26" t="str">
        <f t="array" ref="H1679">IF(
MOD(ROW()-2,6)=0,
INDEX('Form Responses'!I:I,INT((ROW()-2)/6)+2),
"-- NA --"
)</f>
        <v>-- NA --</v>
      </c>
      <c r="I1679" s="32"/>
      <c r="J1679" s="33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</row>
    <row r="1680">
      <c r="A1680" s="26">
        <v>1679.0</v>
      </c>
      <c r="B1680" s="33"/>
      <c r="C1680" s="26" t="s">
        <v>464</v>
      </c>
      <c r="D1680" s="26" t="str">
        <f t="array" ref="D168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0" s="32" t="str">
        <f t="array" ref="E168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0" s="26" t="str">
        <f t="array" ref="F168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0" s="26" t="str">
        <f t="array" ref="G168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0" s="26" t="str">
        <f t="array" ref="H1680">IF(
MOD(ROW()-2,6)=0,
INDEX('Form Responses'!I:I,INT((ROW()-2)/6)+2),
"-- NA --"
)</f>
        <v>-- NA --</v>
      </c>
      <c r="I1680" s="32"/>
      <c r="J1680" s="33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</row>
    <row r="1681">
      <c r="A1681" s="26">
        <v>1680.0</v>
      </c>
      <c r="B1681" s="6"/>
      <c r="C1681" s="26" t="s">
        <v>500</v>
      </c>
      <c r="D1681" s="26" t="str">
        <f t="array" ref="D168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1" s="32" t="str">
        <f t="array" ref="E168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1" s="26" t="str">
        <f t="array" ref="F168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1" s="26" t="str">
        <f t="array" ref="G168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1" s="26" t="str">
        <f t="array" ref="H1681">IF(
MOD(ROW()-2,6)=0,
INDEX('Form Responses'!I:I,INT((ROW()-2)/6)+2),
"-- NA --"
)</f>
        <v>-- NA --</v>
      </c>
      <c r="I1681" s="32"/>
      <c r="J1681" s="6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</row>
    <row r="1682">
      <c r="A1682" s="26">
        <v>1681.0</v>
      </c>
      <c r="B1682" s="29" t="str">
        <f t="array" ref="B1682">INDEX('Form Responses'!$C:$C,INT((ROW()-2)/6)+2)</f>
        <v/>
      </c>
      <c r="C1682" s="31" t="s">
        <v>140</v>
      </c>
      <c r="D1682" s="26" t="str">
        <f t="array" ref="D168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2" s="32" t="str">
        <f t="array" ref="E168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2" s="26" t="str">
        <f t="array" ref="F168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2" s="26" t="str">
        <f t="array" ref="G168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2" s="26" t="str">
        <f t="array" ref="H1682">IF(
MOD(ROW()-2,6)=0,
INDEX('Form Responses'!I:I,INT((ROW()-2)/6)+2),
"-- NA --"
)</f>
        <v/>
      </c>
      <c r="I1682" s="32"/>
      <c r="J1682" s="29" t="str">
        <f t="array" ref="J1682">INDEX('Form Responses'!$D:$D,INT((ROW()-2)/6)+2)</f>
        <v/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</row>
    <row r="1683">
      <c r="A1683" s="26">
        <v>1682.0</v>
      </c>
      <c r="B1683" s="33"/>
      <c r="C1683" s="26" t="s">
        <v>282</v>
      </c>
      <c r="D1683" s="26" t="str">
        <f t="array" ref="D168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3" s="32" t="str">
        <f t="array" ref="E168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3" s="26" t="str">
        <f t="array" ref="F168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3" s="26" t="str">
        <f t="array" ref="G168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3" s="26" t="str">
        <f t="array" ref="H1683">IF(
MOD(ROW()-2,6)=0,
INDEX('Form Responses'!I:I,INT((ROW()-2)/6)+2),
"-- NA --"
)</f>
        <v>-- NA --</v>
      </c>
      <c r="I1683" s="32"/>
      <c r="J1683" s="33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</row>
    <row r="1684">
      <c r="A1684" s="26">
        <v>1683.0</v>
      </c>
      <c r="B1684" s="33"/>
      <c r="C1684" s="26" t="s">
        <v>385</v>
      </c>
      <c r="D1684" s="26" t="str">
        <f t="array" ref="D168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4" s="32" t="str">
        <f t="array" ref="E168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4" s="26" t="str">
        <f t="array" ref="F168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4" s="26" t="str">
        <f t="array" ref="G168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4" s="26" t="str">
        <f t="array" ref="H1684">IF(
MOD(ROW()-2,6)=0,
INDEX('Form Responses'!I:I,INT((ROW()-2)/6)+2),
"-- NA --"
)</f>
        <v>-- NA --</v>
      </c>
      <c r="I1684" s="32"/>
      <c r="J1684" s="33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</row>
    <row r="1685">
      <c r="A1685" s="26">
        <v>1684.0</v>
      </c>
      <c r="B1685" s="33"/>
      <c r="C1685" s="26" t="s">
        <v>425</v>
      </c>
      <c r="D1685" s="26" t="str">
        <f t="array" ref="D168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5" s="32" t="str">
        <f t="array" ref="E168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5" s="26" t="str">
        <f t="array" ref="F168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5" s="26" t="str">
        <f t="array" ref="G168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5" s="26" t="str">
        <f t="array" ref="H1685">IF(
MOD(ROW()-2,6)=0,
INDEX('Form Responses'!I:I,INT((ROW()-2)/6)+2),
"-- NA --"
)</f>
        <v>-- NA --</v>
      </c>
      <c r="I1685" s="32"/>
      <c r="J1685" s="33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</row>
    <row r="1686">
      <c r="A1686" s="26">
        <v>1685.0</v>
      </c>
      <c r="B1686" s="33"/>
      <c r="C1686" s="26" t="s">
        <v>464</v>
      </c>
      <c r="D1686" s="26" t="str">
        <f t="array" ref="D168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6" s="32" t="str">
        <f t="array" ref="E168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6" s="26" t="str">
        <f t="array" ref="F168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6" s="26" t="str">
        <f t="array" ref="G168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6" s="26" t="str">
        <f t="array" ref="H1686">IF(
MOD(ROW()-2,6)=0,
INDEX('Form Responses'!I:I,INT((ROW()-2)/6)+2),
"-- NA --"
)</f>
        <v>-- NA --</v>
      </c>
      <c r="I1686" s="32"/>
      <c r="J1686" s="33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</row>
    <row r="1687">
      <c r="A1687" s="26">
        <v>1686.0</v>
      </c>
      <c r="B1687" s="6"/>
      <c r="C1687" s="26" t="s">
        <v>500</v>
      </c>
      <c r="D1687" s="26" t="str">
        <f t="array" ref="D168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7" s="32" t="str">
        <f t="array" ref="E168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7" s="26" t="str">
        <f t="array" ref="F168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7" s="26" t="str">
        <f t="array" ref="G168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7" s="26" t="str">
        <f t="array" ref="H1687">IF(
MOD(ROW()-2,6)=0,
INDEX('Form Responses'!I:I,INT((ROW()-2)/6)+2),
"-- NA --"
)</f>
        <v>-- NA --</v>
      </c>
      <c r="I1687" s="32"/>
      <c r="J1687" s="6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</row>
    <row r="1688">
      <c r="A1688" s="26">
        <v>1687.0</v>
      </c>
      <c r="B1688" s="29" t="str">
        <f t="array" ref="B1688">INDEX('Form Responses'!$C:$C,INT((ROW()-2)/6)+2)</f>
        <v/>
      </c>
      <c r="C1688" s="31" t="s">
        <v>140</v>
      </c>
      <c r="D1688" s="26" t="str">
        <f t="array" ref="D168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8" s="32" t="str">
        <f t="array" ref="E168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8" s="26" t="str">
        <f t="array" ref="F168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8" s="26" t="str">
        <f t="array" ref="G168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8" s="26" t="str">
        <f t="array" ref="H1688">IF(
MOD(ROW()-2,6)=0,
INDEX('Form Responses'!I:I,INT((ROW()-2)/6)+2),
"-- NA --"
)</f>
        <v/>
      </c>
      <c r="I1688" s="32"/>
      <c r="J1688" s="29" t="str">
        <f t="array" ref="J1688">INDEX('Form Responses'!$D:$D,INT((ROW()-2)/6)+2)</f>
        <v/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</row>
    <row r="1689">
      <c r="A1689" s="26">
        <v>1688.0</v>
      </c>
      <c r="B1689" s="33"/>
      <c r="C1689" s="26" t="s">
        <v>282</v>
      </c>
      <c r="D1689" s="26" t="str">
        <f t="array" ref="D168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89" s="32" t="str">
        <f t="array" ref="E168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89" s="26" t="str">
        <f t="array" ref="F168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89" s="26" t="str">
        <f t="array" ref="G168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89" s="26" t="str">
        <f t="array" ref="H1689">IF(
MOD(ROW()-2,6)=0,
INDEX('Form Responses'!I:I,INT((ROW()-2)/6)+2),
"-- NA --"
)</f>
        <v>-- NA --</v>
      </c>
      <c r="I1689" s="32"/>
      <c r="J1689" s="33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</row>
    <row r="1690">
      <c r="A1690" s="26">
        <v>1689.0</v>
      </c>
      <c r="B1690" s="33"/>
      <c r="C1690" s="26" t="s">
        <v>385</v>
      </c>
      <c r="D1690" s="26" t="str">
        <f t="array" ref="D169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0" s="32" t="str">
        <f t="array" ref="E169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0" s="26" t="str">
        <f t="array" ref="F169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0" s="26" t="str">
        <f t="array" ref="G169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0" s="26" t="str">
        <f t="array" ref="H1690">IF(
MOD(ROW()-2,6)=0,
INDEX('Form Responses'!I:I,INT((ROW()-2)/6)+2),
"-- NA --"
)</f>
        <v>-- NA --</v>
      </c>
      <c r="I1690" s="32"/>
      <c r="J1690" s="33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</row>
    <row r="1691">
      <c r="A1691" s="26">
        <v>1690.0</v>
      </c>
      <c r="B1691" s="33"/>
      <c r="C1691" s="26" t="s">
        <v>425</v>
      </c>
      <c r="D1691" s="26" t="str">
        <f t="array" ref="D169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1" s="32" t="str">
        <f t="array" ref="E169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1" s="26" t="str">
        <f t="array" ref="F169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1" s="26" t="str">
        <f t="array" ref="G169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1" s="26" t="str">
        <f t="array" ref="H1691">IF(
MOD(ROW()-2,6)=0,
INDEX('Form Responses'!I:I,INT((ROW()-2)/6)+2),
"-- NA --"
)</f>
        <v>-- NA --</v>
      </c>
      <c r="I1691" s="32"/>
      <c r="J1691" s="33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</row>
    <row r="1692">
      <c r="A1692" s="26">
        <v>1691.0</v>
      </c>
      <c r="B1692" s="33"/>
      <c r="C1692" s="26" t="s">
        <v>464</v>
      </c>
      <c r="D1692" s="26" t="str">
        <f t="array" ref="D169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2" s="32" t="str">
        <f t="array" ref="E169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2" s="26" t="str">
        <f t="array" ref="F169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2" s="26" t="str">
        <f t="array" ref="G169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2" s="26" t="str">
        <f t="array" ref="H1692">IF(
MOD(ROW()-2,6)=0,
INDEX('Form Responses'!I:I,INT((ROW()-2)/6)+2),
"-- NA --"
)</f>
        <v>-- NA --</v>
      </c>
      <c r="I1692" s="32"/>
      <c r="J1692" s="33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</row>
    <row r="1693">
      <c r="A1693" s="26">
        <v>1692.0</v>
      </c>
      <c r="B1693" s="6"/>
      <c r="C1693" s="26" t="s">
        <v>500</v>
      </c>
      <c r="D1693" s="26" t="str">
        <f t="array" ref="D169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3" s="32" t="str">
        <f t="array" ref="E169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3" s="26" t="str">
        <f t="array" ref="F169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3" s="26" t="str">
        <f t="array" ref="G169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3" s="26" t="str">
        <f t="array" ref="H1693">IF(
MOD(ROW()-2,6)=0,
INDEX('Form Responses'!I:I,INT((ROW()-2)/6)+2),
"-- NA --"
)</f>
        <v>-- NA --</v>
      </c>
      <c r="I1693" s="32"/>
      <c r="J1693" s="6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</row>
    <row r="1694">
      <c r="A1694" s="26">
        <v>1693.0</v>
      </c>
      <c r="B1694" s="29" t="str">
        <f t="array" ref="B1694">INDEX('Form Responses'!$C:$C,INT((ROW()-2)/6)+2)</f>
        <v/>
      </c>
      <c r="C1694" s="31" t="s">
        <v>140</v>
      </c>
      <c r="D1694" s="26" t="str">
        <f t="array" ref="D169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4" s="32" t="str">
        <f t="array" ref="E169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4" s="26" t="str">
        <f t="array" ref="F169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4" s="26" t="str">
        <f t="array" ref="G169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4" s="26" t="str">
        <f t="array" ref="H1694">IF(
MOD(ROW()-2,6)=0,
INDEX('Form Responses'!I:I,INT((ROW()-2)/6)+2),
"-- NA --"
)</f>
        <v/>
      </c>
      <c r="I1694" s="32"/>
      <c r="J1694" s="29" t="str">
        <f t="array" ref="J1694">INDEX('Form Responses'!$D:$D,INT((ROW()-2)/6)+2)</f>
        <v/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</row>
    <row r="1695">
      <c r="A1695" s="26">
        <v>1694.0</v>
      </c>
      <c r="B1695" s="33"/>
      <c r="C1695" s="26" t="s">
        <v>282</v>
      </c>
      <c r="D1695" s="26" t="str">
        <f t="array" ref="D169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5" s="32" t="str">
        <f t="array" ref="E169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5" s="26" t="str">
        <f t="array" ref="F169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5" s="26" t="str">
        <f t="array" ref="G169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5" s="26" t="str">
        <f t="array" ref="H1695">IF(
MOD(ROW()-2,6)=0,
INDEX('Form Responses'!I:I,INT((ROW()-2)/6)+2),
"-- NA --"
)</f>
        <v>-- NA --</v>
      </c>
      <c r="I1695" s="32"/>
      <c r="J1695" s="33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</row>
    <row r="1696">
      <c r="A1696" s="26">
        <v>1695.0</v>
      </c>
      <c r="B1696" s="33"/>
      <c r="C1696" s="26" t="s">
        <v>385</v>
      </c>
      <c r="D1696" s="26" t="str">
        <f t="array" ref="D169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6" s="32" t="str">
        <f t="array" ref="E169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6" s="26" t="str">
        <f t="array" ref="F169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6" s="26" t="str">
        <f t="array" ref="G169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6" s="26" t="str">
        <f t="array" ref="H1696">IF(
MOD(ROW()-2,6)=0,
INDEX('Form Responses'!I:I,INT((ROW()-2)/6)+2),
"-- NA --"
)</f>
        <v>-- NA --</v>
      </c>
      <c r="I1696" s="32"/>
      <c r="J1696" s="33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</row>
    <row r="1697">
      <c r="A1697" s="26">
        <v>1696.0</v>
      </c>
      <c r="B1697" s="33"/>
      <c r="C1697" s="26" t="s">
        <v>425</v>
      </c>
      <c r="D1697" s="26" t="str">
        <f t="array" ref="D169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7" s="32" t="str">
        <f t="array" ref="E169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7" s="26" t="str">
        <f t="array" ref="F169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7" s="26" t="str">
        <f t="array" ref="G169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7" s="26" t="str">
        <f t="array" ref="H1697">IF(
MOD(ROW()-2,6)=0,
INDEX('Form Responses'!I:I,INT((ROW()-2)/6)+2),
"-- NA --"
)</f>
        <v>-- NA --</v>
      </c>
      <c r="I1697" s="32"/>
      <c r="J1697" s="33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</row>
    <row r="1698">
      <c r="A1698" s="26">
        <v>1697.0</v>
      </c>
      <c r="B1698" s="33"/>
      <c r="C1698" s="26" t="s">
        <v>464</v>
      </c>
      <c r="D1698" s="26" t="str">
        <f t="array" ref="D169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8" s="32" t="str">
        <f t="array" ref="E169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8" s="26" t="str">
        <f t="array" ref="F169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8" s="26" t="str">
        <f t="array" ref="G169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8" s="26" t="str">
        <f t="array" ref="H1698">IF(
MOD(ROW()-2,6)=0,
INDEX('Form Responses'!I:I,INT((ROW()-2)/6)+2),
"-- NA --"
)</f>
        <v>-- NA --</v>
      </c>
      <c r="I1698" s="32"/>
      <c r="J1698" s="33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</row>
    <row r="1699">
      <c r="A1699" s="26">
        <v>1698.0</v>
      </c>
      <c r="B1699" s="6"/>
      <c r="C1699" s="26" t="s">
        <v>500</v>
      </c>
      <c r="D1699" s="26" t="str">
        <f t="array" ref="D169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699" s="32" t="str">
        <f t="array" ref="E169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699" s="26" t="str">
        <f t="array" ref="F169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699" s="26" t="str">
        <f t="array" ref="G169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699" s="26" t="str">
        <f t="array" ref="H1699">IF(
MOD(ROW()-2,6)=0,
INDEX('Form Responses'!I:I,INT((ROW()-2)/6)+2),
"-- NA --"
)</f>
        <v>-- NA --</v>
      </c>
      <c r="I1699" s="32"/>
      <c r="J1699" s="6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</row>
    <row r="1700">
      <c r="A1700" s="26">
        <v>1699.0</v>
      </c>
      <c r="B1700" s="29" t="str">
        <f t="array" ref="B1700">INDEX('Form Responses'!$C:$C,INT((ROW()-2)/6)+2)</f>
        <v/>
      </c>
      <c r="C1700" s="31" t="s">
        <v>140</v>
      </c>
      <c r="D1700" s="26" t="str">
        <f t="array" ref="D170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0" s="32" t="str">
        <f t="array" ref="E170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0" s="26" t="str">
        <f t="array" ref="F170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0" s="26" t="str">
        <f t="array" ref="G170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0" s="26" t="str">
        <f t="array" ref="H1700">IF(
MOD(ROW()-2,6)=0,
INDEX('Form Responses'!I:I,INT((ROW()-2)/6)+2),
"-- NA --"
)</f>
        <v/>
      </c>
      <c r="I1700" s="32"/>
      <c r="J1700" s="29" t="str">
        <f t="array" ref="J1700">INDEX('Form Responses'!$D:$D,INT((ROW()-2)/6)+2)</f>
        <v/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</row>
    <row r="1701">
      <c r="A1701" s="26">
        <v>1700.0</v>
      </c>
      <c r="B1701" s="33"/>
      <c r="C1701" s="26" t="s">
        <v>282</v>
      </c>
      <c r="D1701" s="26" t="str">
        <f t="array" ref="D170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1" s="32" t="str">
        <f t="array" ref="E170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1" s="26" t="str">
        <f t="array" ref="F170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1" s="26" t="str">
        <f t="array" ref="G170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1" s="26" t="str">
        <f t="array" ref="H1701">IF(
MOD(ROW()-2,6)=0,
INDEX('Form Responses'!I:I,INT((ROW()-2)/6)+2),
"-- NA --"
)</f>
        <v>-- NA --</v>
      </c>
      <c r="I1701" s="32"/>
      <c r="J1701" s="33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</row>
    <row r="1702">
      <c r="A1702" s="26">
        <v>1701.0</v>
      </c>
      <c r="B1702" s="33"/>
      <c r="C1702" s="26" t="s">
        <v>385</v>
      </c>
      <c r="D1702" s="26" t="str">
        <f t="array" ref="D170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2" s="32" t="str">
        <f t="array" ref="E170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2" s="26" t="str">
        <f t="array" ref="F170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2" s="26" t="str">
        <f t="array" ref="G170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2" s="26" t="str">
        <f t="array" ref="H1702">IF(
MOD(ROW()-2,6)=0,
INDEX('Form Responses'!I:I,INT((ROW()-2)/6)+2),
"-- NA --"
)</f>
        <v>-- NA --</v>
      </c>
      <c r="I1702" s="32"/>
      <c r="J1702" s="33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</row>
    <row r="1703">
      <c r="A1703" s="26">
        <v>1702.0</v>
      </c>
      <c r="B1703" s="33"/>
      <c r="C1703" s="26" t="s">
        <v>425</v>
      </c>
      <c r="D1703" s="26" t="str">
        <f t="array" ref="D170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3" s="32" t="str">
        <f t="array" ref="E170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3" s="26" t="str">
        <f t="array" ref="F170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3" s="26" t="str">
        <f t="array" ref="G170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3" s="26" t="str">
        <f t="array" ref="H1703">IF(
MOD(ROW()-2,6)=0,
INDEX('Form Responses'!I:I,INT((ROW()-2)/6)+2),
"-- NA --"
)</f>
        <v>-- NA --</v>
      </c>
      <c r="I1703" s="32"/>
      <c r="J1703" s="33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</row>
    <row r="1704">
      <c r="A1704" s="26">
        <v>1703.0</v>
      </c>
      <c r="B1704" s="33"/>
      <c r="C1704" s="26" t="s">
        <v>464</v>
      </c>
      <c r="D1704" s="26" t="str">
        <f t="array" ref="D170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4" s="32" t="str">
        <f t="array" ref="E170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4" s="26" t="str">
        <f t="array" ref="F170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4" s="26" t="str">
        <f t="array" ref="G170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4" s="26" t="str">
        <f t="array" ref="H1704">IF(
MOD(ROW()-2,6)=0,
INDEX('Form Responses'!I:I,INT((ROW()-2)/6)+2),
"-- NA --"
)</f>
        <v>-- NA --</v>
      </c>
      <c r="I1704" s="32"/>
      <c r="J1704" s="33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</row>
    <row r="1705">
      <c r="A1705" s="26">
        <v>1704.0</v>
      </c>
      <c r="B1705" s="6"/>
      <c r="C1705" s="26" t="s">
        <v>500</v>
      </c>
      <c r="D1705" s="26" t="str">
        <f t="array" ref="D170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5" s="32" t="str">
        <f t="array" ref="E170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5" s="26" t="str">
        <f t="array" ref="F170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5" s="26" t="str">
        <f t="array" ref="G170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5" s="26" t="str">
        <f t="array" ref="H1705">IF(
MOD(ROW()-2,6)=0,
INDEX('Form Responses'!I:I,INT((ROW()-2)/6)+2),
"-- NA --"
)</f>
        <v>-- NA --</v>
      </c>
      <c r="I1705" s="32"/>
      <c r="J1705" s="6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</row>
    <row r="1706">
      <c r="A1706" s="26">
        <v>1705.0</v>
      </c>
      <c r="B1706" s="29" t="str">
        <f t="array" ref="B1706">INDEX('Form Responses'!$C:$C,INT((ROW()-2)/6)+2)</f>
        <v/>
      </c>
      <c r="C1706" s="31" t="s">
        <v>140</v>
      </c>
      <c r="D1706" s="26" t="str">
        <f t="array" ref="D170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6" s="32" t="str">
        <f t="array" ref="E170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6" s="26" t="str">
        <f t="array" ref="F170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6" s="26" t="str">
        <f t="array" ref="G170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6" s="26" t="str">
        <f t="array" ref="H1706">IF(
MOD(ROW()-2,6)=0,
INDEX('Form Responses'!I:I,INT((ROW()-2)/6)+2),
"-- NA --"
)</f>
        <v/>
      </c>
      <c r="I1706" s="32"/>
      <c r="J1706" s="29" t="str">
        <f t="array" ref="J1706">INDEX('Form Responses'!$D:$D,INT((ROW()-2)/6)+2)</f>
        <v/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</row>
    <row r="1707">
      <c r="A1707" s="26">
        <v>1706.0</v>
      </c>
      <c r="B1707" s="33"/>
      <c r="C1707" s="26" t="s">
        <v>282</v>
      </c>
      <c r="D1707" s="26" t="str">
        <f t="array" ref="D170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7" s="32" t="str">
        <f t="array" ref="E170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7" s="26" t="str">
        <f t="array" ref="F170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7" s="26" t="str">
        <f t="array" ref="G170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7" s="26" t="str">
        <f t="array" ref="H1707">IF(
MOD(ROW()-2,6)=0,
INDEX('Form Responses'!I:I,INT((ROW()-2)/6)+2),
"-- NA --"
)</f>
        <v>-- NA --</v>
      </c>
      <c r="I1707" s="32"/>
      <c r="J1707" s="33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</row>
    <row r="1708">
      <c r="A1708" s="26">
        <v>1707.0</v>
      </c>
      <c r="B1708" s="33"/>
      <c r="C1708" s="26" t="s">
        <v>385</v>
      </c>
      <c r="D1708" s="26" t="str">
        <f t="array" ref="D1708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8" s="32" t="str">
        <f t="array" ref="E1708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8" s="26" t="str">
        <f t="array" ref="F1708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8" s="26" t="str">
        <f t="array" ref="G1708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8" s="26" t="str">
        <f t="array" ref="H1708">IF(
MOD(ROW()-2,6)=0,
INDEX('Form Responses'!I:I,INT((ROW()-2)/6)+2),
"-- NA --"
)</f>
        <v>-- NA --</v>
      </c>
      <c r="I1708" s="32"/>
      <c r="J1708" s="33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</row>
    <row r="1709">
      <c r="A1709" s="26">
        <v>1708.0</v>
      </c>
      <c r="B1709" s="33"/>
      <c r="C1709" s="26" t="s">
        <v>425</v>
      </c>
      <c r="D1709" s="26" t="str">
        <f t="array" ref="D1709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09" s="32" t="str">
        <f t="array" ref="E1709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09" s="26" t="str">
        <f t="array" ref="F1709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09" s="26" t="str">
        <f t="array" ref="G1709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09" s="26" t="str">
        <f t="array" ref="H1709">IF(
MOD(ROW()-2,6)=0,
INDEX('Form Responses'!I:I,INT((ROW()-2)/6)+2),
"-- NA --"
)</f>
        <v>-- NA --</v>
      </c>
      <c r="I1709" s="32"/>
      <c r="J1709" s="33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</row>
    <row r="1710">
      <c r="A1710" s="26">
        <v>1709.0</v>
      </c>
      <c r="B1710" s="33"/>
      <c r="C1710" s="26" t="s">
        <v>464</v>
      </c>
      <c r="D1710" s="26" t="str">
        <f t="array" ref="D1710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0" s="32" t="str">
        <f t="array" ref="E1710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0" s="26" t="str">
        <f t="array" ref="F1710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0" s="26" t="str">
        <f t="array" ref="G1710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0" s="26" t="str">
        <f t="array" ref="H1710">IF(
MOD(ROW()-2,6)=0,
INDEX('Form Responses'!I:I,INT((ROW()-2)/6)+2),
"-- NA --"
)</f>
        <v>-- NA --</v>
      </c>
      <c r="I1710" s="32"/>
      <c r="J1710" s="33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</row>
    <row r="1711">
      <c r="A1711" s="26">
        <v>1710.0</v>
      </c>
      <c r="B1711" s="6"/>
      <c r="C1711" s="26" t="s">
        <v>500</v>
      </c>
      <c r="D1711" s="26" t="str">
        <f t="array" ref="D1711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1" s="32" t="str">
        <f t="array" ref="E1711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1" s="26" t="str">
        <f t="array" ref="F1711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1" s="26" t="str">
        <f t="array" ref="G1711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1" s="26" t="str">
        <f t="array" ref="H1711">IF(
MOD(ROW()-2,6)=0,
INDEX('Form Responses'!I:I,INT((ROW()-2)/6)+2),
"-- NA --"
)</f>
        <v>-- NA --</v>
      </c>
      <c r="I1711" s="32"/>
      <c r="J1711" s="6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</row>
    <row r="1712">
      <c r="A1712" s="26">
        <v>1711.0</v>
      </c>
      <c r="B1712" s="29" t="str">
        <f t="array" ref="B1712">INDEX('Form Responses'!$C:$C,INT((ROW()-2)/6)+2)</f>
        <v/>
      </c>
      <c r="C1712" s="31" t="s">
        <v>140</v>
      </c>
      <c r="D1712" s="26" t="str">
        <f t="array" ref="D1712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2" s="32" t="str">
        <f t="array" ref="E1712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2" s="26" t="str">
        <f t="array" ref="F1712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2" s="26" t="str">
        <f t="array" ref="G1712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2" s="26" t="str">
        <f t="array" ref="H1712">IF(
MOD(ROW()-2,6)=0,
INDEX('Form Responses'!I:I,INT((ROW()-2)/6)+2),
"-- NA --"
)</f>
        <v/>
      </c>
      <c r="I1712" s="32"/>
      <c r="J1712" s="29" t="str">
        <f t="array" ref="J1712">INDEX('Form Responses'!$D:$D,INT((ROW()-2)/6)+2)</f>
        <v/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</row>
    <row r="1713">
      <c r="A1713" s="26">
        <v>1712.0</v>
      </c>
      <c r="B1713" s="33"/>
      <c r="C1713" s="26" t="s">
        <v>282</v>
      </c>
      <c r="D1713" s="26" t="str">
        <f t="array" ref="D1713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3" s="32" t="str">
        <f t="array" ref="E1713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3" s="26" t="str">
        <f t="array" ref="F1713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3" s="26" t="str">
        <f t="array" ref="G1713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3" s="26" t="str">
        <f t="array" ref="H1713">IF(
MOD(ROW()-2,6)=0,
INDEX('Form Responses'!I:I,INT((ROW()-2)/6)+2),
"-- NA --"
)</f>
        <v>-- NA --</v>
      </c>
      <c r="I1713" s="32"/>
      <c r="J1713" s="33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</row>
    <row r="1714">
      <c r="A1714" s="26">
        <v>1713.0</v>
      </c>
      <c r="B1714" s="33"/>
      <c r="C1714" s="26" t="s">
        <v>385</v>
      </c>
      <c r="D1714" s="26" t="str">
        <f t="array" ref="D1714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4" s="32" t="str">
        <f t="array" ref="E1714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4" s="26" t="str">
        <f t="array" ref="F1714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4" s="26" t="str">
        <f t="array" ref="G1714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4" s="26" t="str">
        <f t="array" ref="H1714">IF(
MOD(ROW()-2,6)=0,
INDEX('Form Responses'!I:I,INT((ROW()-2)/6)+2),
"-- NA --"
)</f>
        <v>-- NA --</v>
      </c>
      <c r="I1714" s="32"/>
      <c r="J1714" s="33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</row>
    <row r="1715">
      <c r="A1715" s="26">
        <v>1714.0</v>
      </c>
      <c r="B1715" s="33"/>
      <c r="C1715" s="26" t="s">
        <v>425</v>
      </c>
      <c r="D1715" s="26" t="str">
        <f t="array" ref="D1715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5" s="32" t="str">
        <f t="array" ref="E1715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5" s="26" t="str">
        <f t="array" ref="F1715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5" s="26" t="str">
        <f t="array" ref="G1715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5" s="26" t="str">
        <f t="array" ref="H1715">IF(
MOD(ROW()-2,6)=0,
INDEX('Form Responses'!I:I,INT((ROW()-2)/6)+2),
"-- NA --"
)</f>
        <v>-- NA --</v>
      </c>
      <c r="I1715" s="32"/>
      <c r="J1715" s="33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</row>
    <row r="1716">
      <c r="A1716" s="26">
        <v>1715.0</v>
      </c>
      <c r="B1716" s="33"/>
      <c r="C1716" s="26" t="s">
        <v>464</v>
      </c>
      <c r="D1716" s="26" t="str">
        <f t="array" ref="D1716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6" s="32" t="str">
        <f t="array" ref="E1716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6" s="26" t="str">
        <f t="array" ref="F1716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6" s="26" t="str">
        <f t="array" ref="G1716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6" s="26" t="str">
        <f t="array" ref="H1716">IF(
MOD(ROW()-2,6)=0,
INDEX('Form Responses'!I:I,INT((ROW()-2)/6)+2),
"-- NA --"
)</f>
        <v>-- NA --</v>
      </c>
      <c r="I1716" s="32"/>
      <c r="J1716" s="33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</row>
    <row r="1717">
      <c r="A1717" s="26">
        <v>1716.0</v>
      </c>
      <c r="B1717" s="6"/>
      <c r="C1717" s="26" t="s">
        <v>500</v>
      </c>
      <c r="D1717" s="57" t="str">
        <f t="array" ref="D1717">LET(
roll,
CHOOSE(
MOD(ROW()-2,6)+1,
INDEX('Form Responses'!E:E,INT((ROW()-2)/6)+2),
INDEX('Form Responses'!K:K,INT((ROW()-2)/6)+2),
INDEX('Form Responses'!O:O,INT((ROW()-2)/6)+2),
INDEX('Form Responses'!S:S,INT((ROW()-2)/6)+2),
INDEX('Form Responses'!W:W,INT((ROW()-2)/6)+2),
INDEX('Form Responses'!AA:AA,INT((ROW()-2)/6)+2)
),
IF(roll="","--NA--",roll)
)</f>
        <v>--NA--</v>
      </c>
      <c r="E1717" s="32" t="str">
        <f t="array" ref="E1717">LET(
roll,
CHOOSE(
MOD(ROW()-2,6)+1,
INDEX('Form Responses'!F:F,INT((ROW()-2)/6)+2),
INDEX('Form Responses'!L:L,INT((ROW()-2)/6)+2),
INDEX('Form Responses'!P:P,INT((ROW()-2)/6)+2),
INDEX('Form Responses'!T:T,INT((ROW()-2)/6)+2),
INDEX('Form Responses'!X:X,INT((ROW()-2)/6)+2),
INDEX('Form Responses'!AB:AB,INT((ROW()-2)/6)+2)
),
IF(roll="","--NA--",roll)
)</f>
        <v>--NA--</v>
      </c>
      <c r="F1717" s="26" t="str">
        <f t="array" ref="F1717">LET(
roll,
CHOOSE(
MOD(ROW()-2,6)+1,
INDEX('Form Responses'!G:G,INT((ROW()-2)/6)+2),
INDEX('Form Responses'!M:M,INT((ROW()-2)/6)+2),
INDEX('Form Responses'!Q:Q,INT((ROW()-2)/6)+2),
INDEX('Form Responses'!U:U,INT((ROW()-2)/6)+2),
INDEX('Form Responses'!Y:Y,INT((ROW()-2)/6)+2),
INDEX('Form Responses'!AC:AC,INT((ROW()-2)/6)+2)
),
IF(roll="","--NA--",roll)
)</f>
        <v>--NA--</v>
      </c>
      <c r="G1717" s="26" t="str">
        <f t="array" ref="G1717">LET(
roll,
CHOOSE(
MOD(ROW()-2,6)+1,
INDEX('Form Responses'!H:H,INT((ROW()-2)/6)+2),
INDEX('Form Responses'!N:N,INT((ROW()-2)/6)+2),
INDEX('Form Responses'!R:R,INT((ROW()-2)/6)+2),
INDEX('Form Responses'!V:V,INT((ROW()-2)/6)+2),
INDEX('Form Responses'!Z:Z,INT((ROW()-2)/6)+2),
INDEX('Form Responses'!AD:AD,INT((ROW()-2)/6)+2)
),
IF(roll="","--NA--",roll)
)</f>
        <v>--NA--</v>
      </c>
      <c r="H1717" s="26" t="str">
        <f t="array" ref="H1717">IF(
MOD(ROW()-2,6)=0,
INDEX('Form Responses'!I:I,INT((ROW()-2)/6)+2),
"-- NA --"
)</f>
        <v>-- NA --</v>
      </c>
      <c r="I1717" s="32"/>
      <c r="J1717" s="6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</row>
    <row r="1718">
      <c r="A1718" s="58"/>
      <c r="B1718" s="59"/>
      <c r="C1718" s="60"/>
      <c r="D1718" s="61"/>
      <c r="E1718" s="62"/>
      <c r="F1718" s="63"/>
      <c r="G1718" s="60"/>
      <c r="H1718" s="63"/>
      <c r="I1718" s="62"/>
      <c r="J1718" s="59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</row>
    <row r="1719">
      <c r="A1719" s="58"/>
      <c r="B1719" s="59"/>
      <c r="C1719" s="60"/>
      <c r="D1719" s="61"/>
      <c r="E1719" s="62"/>
      <c r="F1719" s="63"/>
      <c r="G1719" s="60"/>
      <c r="H1719" s="63"/>
      <c r="I1719" s="62"/>
      <c r="J1719" s="59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</row>
    <row r="1720">
      <c r="A1720" s="58"/>
      <c r="B1720" s="59"/>
      <c r="C1720" s="60"/>
      <c r="D1720" s="61"/>
      <c r="E1720" s="62"/>
      <c r="F1720" s="63"/>
      <c r="G1720" s="60"/>
      <c r="H1720" s="63"/>
      <c r="I1720" s="62"/>
      <c r="J1720" s="59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</row>
    <row r="1721">
      <c r="A1721" s="58"/>
      <c r="B1721" s="59"/>
      <c r="C1721" s="60"/>
      <c r="D1721" s="61"/>
      <c r="E1721" s="62"/>
      <c r="F1721" s="63"/>
      <c r="G1721" s="60"/>
      <c r="H1721" s="63"/>
      <c r="I1721" s="62"/>
      <c r="J1721" s="59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</row>
    <row r="1722">
      <c r="A1722" s="58"/>
      <c r="B1722" s="59"/>
      <c r="C1722" s="60"/>
      <c r="D1722" s="61"/>
      <c r="E1722" s="62"/>
      <c r="F1722" s="63"/>
      <c r="G1722" s="60"/>
      <c r="H1722" s="63"/>
      <c r="I1722" s="62"/>
      <c r="J1722" s="59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</row>
    <row r="1723">
      <c r="A1723" s="58"/>
      <c r="B1723" s="59"/>
      <c r="C1723" s="60"/>
      <c r="D1723" s="61"/>
      <c r="E1723" s="62"/>
      <c r="F1723" s="63"/>
      <c r="G1723" s="60"/>
      <c r="H1723" s="63"/>
      <c r="I1723" s="62"/>
      <c r="J1723" s="59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</row>
    <row r="1724">
      <c r="A1724" s="58"/>
      <c r="B1724" s="59"/>
      <c r="C1724" s="60"/>
      <c r="D1724" s="61"/>
      <c r="E1724" s="62"/>
      <c r="F1724" s="63"/>
      <c r="G1724" s="60"/>
      <c r="H1724" s="63"/>
      <c r="I1724" s="62"/>
      <c r="J1724" s="59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</row>
    <row r="1725">
      <c r="A1725" s="58"/>
      <c r="B1725" s="59"/>
      <c r="C1725" s="60"/>
      <c r="D1725" s="61"/>
      <c r="E1725" s="62"/>
      <c r="F1725" s="63"/>
      <c r="G1725" s="60"/>
      <c r="H1725" s="63"/>
      <c r="I1725" s="62"/>
      <c r="J1725" s="59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</row>
    <row r="1726">
      <c r="A1726" s="58"/>
      <c r="B1726" s="59"/>
      <c r="C1726" s="60"/>
      <c r="D1726" s="61"/>
      <c r="E1726" s="62"/>
      <c r="F1726" s="63"/>
      <c r="G1726" s="60"/>
      <c r="H1726" s="63"/>
      <c r="I1726" s="62"/>
      <c r="J1726" s="59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</row>
    <row r="1727">
      <c r="A1727" s="58"/>
      <c r="B1727" s="59"/>
      <c r="C1727" s="60"/>
      <c r="D1727" s="61"/>
      <c r="E1727" s="62"/>
      <c r="F1727" s="63"/>
      <c r="G1727" s="60"/>
      <c r="H1727" s="63"/>
      <c r="I1727" s="62"/>
      <c r="J1727" s="59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</row>
    <row r="1728">
      <c r="A1728" s="58"/>
      <c r="B1728" s="59"/>
      <c r="C1728" s="60"/>
      <c r="D1728" s="61"/>
      <c r="E1728" s="62"/>
      <c r="F1728" s="63"/>
      <c r="G1728" s="60"/>
      <c r="H1728" s="63"/>
      <c r="I1728" s="62"/>
      <c r="J1728" s="59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</row>
    <row r="1729">
      <c r="A1729" s="58"/>
      <c r="B1729" s="59"/>
      <c r="C1729" s="60"/>
      <c r="D1729" s="61"/>
      <c r="E1729" s="62"/>
      <c r="F1729" s="63"/>
      <c r="G1729" s="60"/>
      <c r="H1729" s="63"/>
      <c r="I1729" s="62"/>
      <c r="J1729" s="59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</row>
    <row r="1730">
      <c r="A1730" s="58"/>
      <c r="B1730" s="59"/>
      <c r="C1730" s="60"/>
      <c r="D1730" s="61"/>
      <c r="E1730" s="62"/>
      <c r="F1730" s="63"/>
      <c r="G1730" s="60"/>
      <c r="H1730" s="63"/>
      <c r="I1730" s="62"/>
      <c r="J1730" s="59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</row>
    <row r="1731">
      <c r="A1731" s="58"/>
      <c r="B1731" s="59"/>
      <c r="C1731" s="60"/>
      <c r="D1731" s="61"/>
      <c r="E1731" s="62"/>
      <c r="F1731" s="63"/>
      <c r="G1731" s="60"/>
      <c r="H1731" s="63"/>
      <c r="I1731" s="62"/>
      <c r="J1731" s="59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</row>
    <row r="1732">
      <c r="A1732" s="58"/>
      <c r="B1732" s="59"/>
      <c r="C1732" s="60"/>
      <c r="D1732" s="61"/>
      <c r="E1732" s="62"/>
      <c r="F1732" s="63"/>
      <c r="G1732" s="60"/>
      <c r="H1732" s="63"/>
      <c r="I1732" s="62"/>
      <c r="J1732" s="59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</row>
    <row r="1733">
      <c r="A1733" s="58"/>
      <c r="B1733" s="59"/>
      <c r="C1733" s="60"/>
      <c r="D1733" s="61"/>
      <c r="E1733" s="62"/>
      <c r="F1733" s="63"/>
      <c r="G1733" s="60"/>
      <c r="H1733" s="63"/>
      <c r="I1733" s="62"/>
      <c r="J1733" s="59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</row>
    <row r="1734">
      <c r="A1734" s="58"/>
      <c r="B1734" s="59"/>
      <c r="C1734" s="60"/>
      <c r="D1734" s="61"/>
      <c r="E1734" s="62"/>
      <c r="F1734" s="63"/>
      <c r="G1734" s="60"/>
      <c r="H1734" s="63"/>
      <c r="I1734" s="62"/>
      <c r="J1734" s="59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</row>
    <row r="1735">
      <c r="A1735" s="58"/>
      <c r="B1735" s="59"/>
      <c r="C1735" s="60"/>
      <c r="D1735" s="61"/>
      <c r="E1735" s="62"/>
      <c r="F1735" s="63"/>
      <c r="G1735" s="60"/>
      <c r="H1735" s="63"/>
      <c r="I1735" s="62"/>
      <c r="J1735" s="59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</row>
    <row r="1736">
      <c r="A1736" s="58"/>
      <c r="B1736" s="59"/>
      <c r="C1736" s="60"/>
      <c r="D1736" s="61"/>
      <c r="E1736" s="62"/>
      <c r="F1736" s="63"/>
      <c r="G1736" s="60"/>
      <c r="H1736" s="63"/>
      <c r="I1736" s="62"/>
      <c r="J1736" s="59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</row>
    <row r="1737">
      <c r="A1737" s="58"/>
      <c r="B1737" s="59"/>
      <c r="C1737" s="60"/>
      <c r="D1737" s="61"/>
      <c r="E1737" s="62"/>
      <c r="F1737" s="63"/>
      <c r="G1737" s="60"/>
      <c r="H1737" s="63"/>
      <c r="I1737" s="62"/>
      <c r="J1737" s="59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</row>
    <row r="1738">
      <c r="A1738" s="58"/>
      <c r="B1738" s="59"/>
      <c r="C1738" s="60"/>
      <c r="D1738" s="61"/>
      <c r="E1738" s="62"/>
      <c r="F1738" s="63"/>
      <c r="G1738" s="60"/>
      <c r="H1738" s="63"/>
      <c r="I1738" s="62"/>
      <c r="J1738" s="59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</row>
    <row r="1739">
      <c r="A1739" s="58"/>
      <c r="B1739" s="59"/>
      <c r="C1739" s="60"/>
      <c r="D1739" s="61"/>
      <c r="E1739" s="62"/>
      <c r="F1739" s="63"/>
      <c r="G1739" s="60"/>
      <c r="H1739" s="63"/>
      <c r="I1739" s="62"/>
      <c r="J1739" s="59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</row>
    <row r="1740">
      <c r="A1740" s="58"/>
      <c r="B1740" s="59"/>
      <c r="C1740" s="60"/>
      <c r="D1740" s="61"/>
      <c r="E1740" s="62"/>
      <c r="F1740" s="63"/>
      <c r="G1740" s="60"/>
      <c r="H1740" s="63"/>
      <c r="I1740" s="62"/>
      <c r="J1740" s="59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</row>
    <row r="1741">
      <c r="A1741" s="58"/>
      <c r="B1741" s="59"/>
      <c r="C1741" s="60"/>
      <c r="D1741" s="61"/>
      <c r="E1741" s="62"/>
      <c r="F1741" s="63"/>
      <c r="G1741" s="60"/>
      <c r="H1741" s="63"/>
      <c r="I1741" s="62"/>
      <c r="J1741" s="59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</row>
    <row r="1742">
      <c r="A1742" s="58"/>
      <c r="B1742" s="59"/>
      <c r="C1742" s="60"/>
      <c r="D1742" s="61"/>
      <c r="E1742" s="62"/>
      <c r="F1742" s="63"/>
      <c r="G1742" s="60"/>
      <c r="H1742" s="63"/>
      <c r="I1742" s="62"/>
      <c r="J1742" s="59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</row>
    <row r="1743">
      <c r="A1743" s="58"/>
      <c r="B1743" s="59"/>
      <c r="C1743" s="60"/>
      <c r="D1743" s="61"/>
      <c r="E1743" s="62"/>
      <c r="F1743" s="63"/>
      <c r="G1743" s="60"/>
      <c r="H1743" s="63"/>
      <c r="I1743" s="62"/>
      <c r="J1743" s="59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</row>
    <row r="1744">
      <c r="A1744" s="58"/>
      <c r="B1744" s="59"/>
      <c r="C1744" s="60"/>
      <c r="D1744" s="61"/>
      <c r="E1744" s="62"/>
      <c r="F1744" s="63"/>
      <c r="G1744" s="60"/>
      <c r="H1744" s="63"/>
      <c r="I1744" s="62"/>
      <c r="J1744" s="59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</row>
    <row r="1745">
      <c r="A1745" s="58"/>
      <c r="B1745" s="59"/>
      <c r="C1745" s="60"/>
      <c r="D1745" s="61"/>
      <c r="E1745" s="62"/>
      <c r="F1745" s="63"/>
      <c r="G1745" s="60"/>
      <c r="H1745" s="63"/>
      <c r="I1745" s="62"/>
      <c r="J1745" s="59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</row>
    <row r="1746">
      <c r="A1746" s="58"/>
      <c r="B1746" s="59"/>
      <c r="C1746" s="60"/>
      <c r="D1746" s="61"/>
      <c r="E1746" s="62"/>
      <c r="F1746" s="63"/>
      <c r="G1746" s="60"/>
      <c r="H1746" s="63"/>
      <c r="I1746" s="62"/>
      <c r="J1746" s="59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</row>
    <row r="1747">
      <c r="A1747" s="58"/>
      <c r="B1747" s="59"/>
      <c r="C1747" s="60"/>
      <c r="D1747" s="61"/>
      <c r="E1747" s="62"/>
      <c r="F1747" s="63"/>
      <c r="G1747" s="60"/>
      <c r="H1747" s="63"/>
      <c r="I1747" s="62"/>
      <c r="J1747" s="59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</row>
    <row r="1748">
      <c r="A1748" s="58"/>
      <c r="B1748" s="59"/>
      <c r="C1748" s="60"/>
      <c r="D1748" s="61"/>
      <c r="E1748" s="62"/>
      <c r="F1748" s="63"/>
      <c r="G1748" s="60"/>
      <c r="H1748" s="63"/>
      <c r="I1748" s="62"/>
      <c r="J1748" s="59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</row>
    <row r="1749">
      <c r="A1749" s="58"/>
      <c r="B1749" s="59"/>
      <c r="C1749" s="60"/>
      <c r="D1749" s="61"/>
      <c r="E1749" s="62"/>
      <c r="F1749" s="63"/>
      <c r="G1749" s="60"/>
      <c r="H1749" s="63"/>
      <c r="I1749" s="62"/>
      <c r="J1749" s="59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</row>
    <row r="1750">
      <c r="A1750" s="58"/>
      <c r="B1750" s="59"/>
      <c r="C1750" s="60"/>
      <c r="D1750" s="61"/>
      <c r="E1750" s="62"/>
      <c r="F1750" s="63"/>
      <c r="G1750" s="60"/>
      <c r="H1750" s="63"/>
      <c r="I1750" s="62"/>
      <c r="J1750" s="59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</row>
    <row r="1751">
      <c r="A1751" s="58"/>
      <c r="B1751" s="59"/>
      <c r="C1751" s="60"/>
      <c r="D1751" s="61"/>
      <c r="E1751" s="62"/>
      <c r="F1751" s="63"/>
      <c r="G1751" s="60"/>
      <c r="H1751" s="63"/>
      <c r="I1751" s="62"/>
      <c r="J1751" s="59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</row>
    <row r="1752">
      <c r="A1752" s="58"/>
      <c r="B1752" s="59"/>
      <c r="C1752" s="60"/>
      <c r="D1752" s="61"/>
      <c r="E1752" s="62"/>
      <c r="F1752" s="63"/>
      <c r="G1752" s="60"/>
      <c r="H1752" s="63"/>
      <c r="I1752" s="62"/>
      <c r="J1752" s="59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</row>
    <row r="1753">
      <c r="A1753" s="58"/>
      <c r="B1753" s="59"/>
      <c r="C1753" s="60"/>
      <c r="D1753" s="61"/>
      <c r="E1753" s="62"/>
      <c r="F1753" s="63"/>
      <c r="G1753" s="60"/>
      <c r="H1753" s="63"/>
      <c r="I1753" s="62"/>
      <c r="J1753" s="59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</row>
    <row r="1754">
      <c r="A1754" s="58"/>
      <c r="B1754" s="59"/>
      <c r="C1754" s="60"/>
      <c r="D1754" s="61"/>
      <c r="E1754" s="62"/>
      <c r="F1754" s="63"/>
      <c r="G1754" s="60"/>
      <c r="H1754" s="63"/>
      <c r="I1754" s="62"/>
      <c r="J1754" s="59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</row>
    <row r="1755">
      <c r="A1755" s="58"/>
      <c r="B1755" s="59"/>
      <c r="C1755" s="60"/>
      <c r="D1755" s="61"/>
      <c r="E1755" s="62"/>
      <c r="F1755" s="63"/>
      <c r="G1755" s="60"/>
      <c r="H1755" s="63"/>
      <c r="I1755" s="62"/>
      <c r="J1755" s="59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</row>
    <row r="1756">
      <c r="A1756" s="58"/>
      <c r="B1756" s="59"/>
      <c r="C1756" s="60"/>
      <c r="D1756" s="61"/>
      <c r="E1756" s="62"/>
      <c r="F1756" s="63"/>
      <c r="G1756" s="60"/>
      <c r="H1756" s="63"/>
      <c r="I1756" s="62"/>
      <c r="J1756" s="59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</row>
    <row r="1757">
      <c r="A1757" s="58"/>
      <c r="B1757" s="59"/>
      <c r="C1757" s="60"/>
      <c r="D1757" s="61"/>
      <c r="E1757" s="62"/>
      <c r="F1757" s="63"/>
      <c r="G1757" s="60"/>
      <c r="H1757" s="63"/>
      <c r="I1757" s="62"/>
      <c r="J1757" s="59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</row>
    <row r="1758">
      <c r="A1758" s="58"/>
      <c r="B1758" s="59"/>
      <c r="C1758" s="60"/>
      <c r="D1758" s="61"/>
      <c r="E1758" s="62"/>
      <c r="F1758" s="63"/>
      <c r="G1758" s="60"/>
      <c r="H1758" s="63"/>
      <c r="I1758" s="62"/>
      <c r="J1758" s="59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</row>
    <row r="1759">
      <c r="A1759" s="58"/>
      <c r="B1759" s="59"/>
      <c r="C1759" s="60"/>
      <c r="D1759" s="61"/>
      <c r="E1759" s="62"/>
      <c r="F1759" s="63"/>
      <c r="G1759" s="60"/>
      <c r="H1759" s="63"/>
      <c r="I1759" s="62"/>
      <c r="J1759" s="59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</row>
    <row r="1760">
      <c r="A1760" s="58"/>
      <c r="B1760" s="59"/>
      <c r="C1760" s="60"/>
      <c r="D1760" s="61"/>
      <c r="E1760" s="62"/>
      <c r="F1760" s="63"/>
      <c r="G1760" s="60"/>
      <c r="H1760" s="63"/>
      <c r="I1760" s="62"/>
      <c r="J1760" s="59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</row>
    <row r="1761">
      <c r="A1761" s="58"/>
      <c r="B1761" s="59"/>
      <c r="C1761" s="60"/>
      <c r="D1761" s="61"/>
      <c r="E1761" s="62"/>
      <c r="F1761" s="63"/>
      <c r="G1761" s="60"/>
      <c r="H1761" s="63"/>
      <c r="I1761" s="62"/>
      <c r="J1761" s="59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</row>
    <row r="1762">
      <c r="A1762" s="58"/>
      <c r="B1762" s="59"/>
      <c r="C1762" s="60"/>
      <c r="D1762" s="61"/>
      <c r="E1762" s="62"/>
      <c r="F1762" s="63"/>
      <c r="G1762" s="60"/>
      <c r="H1762" s="63"/>
      <c r="I1762" s="62"/>
      <c r="J1762" s="59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</row>
    <row r="1763">
      <c r="A1763" s="58"/>
      <c r="B1763" s="59"/>
      <c r="C1763" s="60"/>
      <c r="D1763" s="61"/>
      <c r="E1763" s="62"/>
      <c r="F1763" s="63"/>
      <c r="G1763" s="60"/>
      <c r="H1763" s="63"/>
      <c r="I1763" s="62"/>
      <c r="J1763" s="59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</row>
    <row r="1764">
      <c r="A1764" s="58"/>
      <c r="B1764" s="59"/>
      <c r="C1764" s="60"/>
      <c r="D1764" s="61"/>
      <c r="E1764" s="62"/>
      <c r="F1764" s="63"/>
      <c r="G1764" s="60"/>
      <c r="H1764" s="63"/>
      <c r="I1764" s="62"/>
      <c r="J1764" s="59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</row>
    <row r="1765">
      <c r="A1765" s="58"/>
      <c r="B1765" s="59"/>
      <c r="C1765" s="60"/>
      <c r="D1765" s="61"/>
      <c r="E1765" s="62"/>
      <c r="F1765" s="63"/>
      <c r="G1765" s="60"/>
      <c r="H1765" s="63"/>
      <c r="I1765" s="62"/>
      <c r="J1765" s="59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</row>
    <row r="1766">
      <c r="A1766" s="58"/>
      <c r="B1766" s="59"/>
      <c r="C1766" s="60"/>
      <c r="D1766" s="61"/>
      <c r="E1766" s="62"/>
      <c r="F1766" s="63"/>
      <c r="G1766" s="60"/>
      <c r="H1766" s="63"/>
      <c r="I1766" s="62"/>
      <c r="J1766" s="59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</row>
    <row r="1767">
      <c r="A1767" s="58"/>
      <c r="B1767" s="59"/>
      <c r="C1767" s="60"/>
      <c r="D1767" s="61"/>
      <c r="E1767" s="62"/>
      <c r="F1767" s="63"/>
      <c r="G1767" s="60"/>
      <c r="H1767" s="63"/>
      <c r="I1767" s="62"/>
      <c r="J1767" s="59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</row>
    <row r="1768">
      <c r="A1768" s="58"/>
      <c r="B1768" s="59"/>
      <c r="C1768" s="60"/>
      <c r="D1768" s="61"/>
      <c r="E1768" s="62"/>
      <c r="F1768" s="63"/>
      <c r="G1768" s="60"/>
      <c r="H1768" s="63"/>
      <c r="I1768" s="62"/>
      <c r="J1768" s="59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</row>
    <row r="1769">
      <c r="A1769" s="58"/>
      <c r="B1769" s="59"/>
      <c r="C1769" s="60"/>
      <c r="D1769" s="61"/>
      <c r="E1769" s="62"/>
      <c r="F1769" s="63"/>
      <c r="G1769" s="60"/>
      <c r="H1769" s="63"/>
      <c r="I1769" s="62"/>
      <c r="J1769" s="59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</row>
    <row r="1770">
      <c r="A1770" s="58"/>
      <c r="B1770" s="59"/>
      <c r="C1770" s="60"/>
      <c r="D1770" s="61"/>
      <c r="E1770" s="62"/>
      <c r="F1770" s="63"/>
      <c r="G1770" s="60"/>
      <c r="H1770" s="63"/>
      <c r="I1770" s="62"/>
      <c r="J1770" s="59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</row>
    <row r="1771">
      <c r="A1771" s="58"/>
      <c r="B1771" s="59"/>
      <c r="C1771" s="60"/>
      <c r="D1771" s="61"/>
      <c r="E1771" s="62"/>
      <c r="F1771" s="63"/>
      <c r="G1771" s="60"/>
      <c r="H1771" s="63"/>
      <c r="I1771" s="62"/>
      <c r="J1771" s="59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</row>
    <row r="1772">
      <c r="A1772" s="58"/>
      <c r="B1772" s="59"/>
      <c r="C1772" s="60"/>
      <c r="D1772" s="61"/>
      <c r="E1772" s="62"/>
      <c r="F1772" s="63"/>
      <c r="G1772" s="60"/>
      <c r="H1772" s="63"/>
      <c r="I1772" s="62"/>
      <c r="J1772" s="59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</row>
    <row r="1773">
      <c r="A1773" s="58"/>
      <c r="B1773" s="59"/>
      <c r="C1773" s="60"/>
      <c r="D1773" s="61"/>
      <c r="E1773" s="62"/>
      <c r="F1773" s="63"/>
      <c r="G1773" s="60"/>
      <c r="H1773" s="63"/>
      <c r="I1773" s="62"/>
      <c r="J1773" s="59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</row>
    <row r="1774">
      <c r="A1774" s="58"/>
      <c r="B1774" s="59"/>
      <c r="C1774" s="60"/>
      <c r="D1774" s="61"/>
      <c r="E1774" s="62"/>
      <c r="F1774" s="63"/>
      <c r="G1774" s="60"/>
      <c r="H1774" s="63"/>
      <c r="I1774" s="62"/>
      <c r="J1774" s="59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</row>
    <row r="1775">
      <c r="A1775" s="58"/>
      <c r="B1775" s="59"/>
      <c r="C1775" s="60"/>
      <c r="D1775" s="61"/>
      <c r="E1775" s="62"/>
      <c r="F1775" s="63"/>
      <c r="G1775" s="60"/>
      <c r="H1775" s="63"/>
      <c r="I1775" s="62"/>
      <c r="J1775" s="59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</row>
    <row r="1776">
      <c r="A1776" s="58"/>
      <c r="B1776" s="59"/>
      <c r="C1776" s="60"/>
      <c r="D1776" s="61"/>
      <c r="E1776" s="62"/>
      <c r="F1776" s="63"/>
      <c r="G1776" s="60"/>
      <c r="H1776" s="63"/>
      <c r="I1776" s="62"/>
      <c r="J1776" s="59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</row>
    <row r="1777">
      <c r="A1777" s="58"/>
      <c r="B1777" s="59"/>
      <c r="C1777" s="60"/>
      <c r="D1777" s="61"/>
      <c r="E1777" s="62"/>
      <c r="F1777" s="63"/>
      <c r="G1777" s="60"/>
      <c r="H1777" s="63"/>
      <c r="I1777" s="62"/>
      <c r="J1777" s="59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</row>
    <row r="1778">
      <c r="A1778" s="58"/>
      <c r="B1778" s="59"/>
      <c r="C1778" s="60"/>
      <c r="D1778" s="61"/>
      <c r="E1778" s="62"/>
      <c r="F1778" s="63"/>
      <c r="G1778" s="60"/>
      <c r="H1778" s="63"/>
      <c r="I1778" s="62"/>
      <c r="J1778" s="59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</row>
    <row r="1779">
      <c r="A1779" s="58"/>
      <c r="B1779" s="59"/>
      <c r="C1779" s="60"/>
      <c r="D1779" s="61"/>
      <c r="E1779" s="62"/>
      <c r="F1779" s="63"/>
      <c r="G1779" s="60"/>
      <c r="H1779" s="63"/>
      <c r="I1779" s="62"/>
      <c r="J1779" s="59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</row>
    <row r="1780">
      <c r="A1780" s="58"/>
      <c r="B1780" s="59"/>
      <c r="C1780" s="60"/>
      <c r="D1780" s="61"/>
      <c r="E1780" s="62"/>
      <c r="F1780" s="63"/>
      <c r="G1780" s="60"/>
      <c r="H1780" s="63"/>
      <c r="I1780" s="62"/>
      <c r="J1780" s="59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</row>
    <row r="1781">
      <c r="A1781" s="58"/>
      <c r="B1781" s="59"/>
      <c r="C1781" s="60"/>
      <c r="D1781" s="61"/>
      <c r="E1781" s="62"/>
      <c r="F1781" s="63"/>
      <c r="G1781" s="60"/>
      <c r="H1781" s="63"/>
      <c r="I1781" s="62"/>
      <c r="J1781" s="59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</row>
    <row r="1782">
      <c r="A1782" s="58"/>
      <c r="B1782" s="59"/>
      <c r="C1782" s="60"/>
      <c r="D1782" s="61"/>
      <c r="E1782" s="62"/>
      <c r="F1782" s="63"/>
      <c r="G1782" s="60"/>
      <c r="H1782" s="63"/>
      <c r="I1782" s="62"/>
      <c r="J1782" s="59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</row>
    <row r="1783">
      <c r="A1783" s="58"/>
      <c r="B1783" s="59"/>
      <c r="C1783" s="60"/>
      <c r="D1783" s="61"/>
      <c r="E1783" s="62"/>
      <c r="F1783" s="63"/>
      <c r="G1783" s="60"/>
      <c r="H1783" s="63"/>
      <c r="I1783" s="62"/>
      <c r="J1783" s="59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</row>
    <row r="1784">
      <c r="A1784" s="58"/>
      <c r="B1784" s="59"/>
      <c r="C1784" s="60"/>
      <c r="D1784" s="61"/>
      <c r="E1784" s="62"/>
      <c r="F1784" s="63"/>
      <c r="G1784" s="60"/>
      <c r="H1784" s="63"/>
      <c r="I1784" s="62"/>
      <c r="J1784" s="59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</row>
    <row r="1785">
      <c r="A1785" s="58"/>
      <c r="B1785" s="59"/>
      <c r="C1785" s="60"/>
      <c r="D1785" s="61"/>
      <c r="E1785" s="62"/>
      <c r="F1785" s="63"/>
      <c r="G1785" s="60"/>
      <c r="H1785" s="63"/>
      <c r="I1785" s="62"/>
      <c r="J1785" s="59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</row>
    <row r="1786">
      <c r="A1786" s="58"/>
      <c r="B1786" s="59"/>
      <c r="C1786" s="60"/>
      <c r="D1786" s="61"/>
      <c r="E1786" s="62"/>
      <c r="F1786" s="63"/>
      <c r="G1786" s="60"/>
      <c r="H1786" s="63"/>
      <c r="I1786" s="62"/>
      <c r="J1786" s="59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</row>
    <row r="1787">
      <c r="A1787" s="58"/>
      <c r="B1787" s="64"/>
      <c r="C1787" s="58"/>
      <c r="D1787" s="61"/>
      <c r="E1787" s="62"/>
      <c r="F1787" s="63"/>
      <c r="G1787" s="60"/>
      <c r="H1787" s="63"/>
      <c r="I1787" s="62"/>
      <c r="J1787" s="64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</row>
    <row r="1788">
      <c r="A1788" s="58"/>
      <c r="B1788" s="64"/>
      <c r="C1788" s="58"/>
      <c r="D1788" s="61"/>
      <c r="E1788" s="62"/>
      <c r="F1788" s="63"/>
      <c r="G1788" s="60"/>
      <c r="H1788" s="63"/>
      <c r="I1788" s="62"/>
      <c r="J1788" s="64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</row>
    <row r="1789">
      <c r="A1789" s="58"/>
      <c r="B1789" s="64"/>
      <c r="C1789" s="58"/>
      <c r="D1789" s="61"/>
      <c r="E1789" s="62"/>
      <c r="F1789" s="63"/>
      <c r="G1789" s="60"/>
      <c r="H1789" s="63"/>
      <c r="I1789" s="62"/>
      <c r="J1789" s="64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</row>
    <row r="1790">
      <c r="A1790" s="58"/>
      <c r="B1790" s="64"/>
      <c r="C1790" s="58"/>
      <c r="D1790" s="61"/>
      <c r="E1790" s="62"/>
      <c r="F1790" s="63"/>
      <c r="G1790" s="60"/>
      <c r="H1790" s="63"/>
      <c r="I1790" s="62"/>
      <c r="J1790" s="64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</row>
    <row r="1791">
      <c r="A1791" s="58"/>
      <c r="B1791" s="64"/>
      <c r="C1791" s="58"/>
      <c r="D1791" s="61"/>
      <c r="E1791" s="62"/>
      <c r="F1791" s="63"/>
      <c r="G1791" s="60"/>
      <c r="H1791" s="63"/>
      <c r="I1791" s="62"/>
      <c r="J1791" s="64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</row>
    <row r="1792">
      <c r="A1792" s="58"/>
      <c r="B1792" s="64"/>
      <c r="C1792" s="58"/>
      <c r="D1792" s="61"/>
      <c r="E1792" s="62"/>
      <c r="F1792" s="63"/>
      <c r="G1792" s="60"/>
      <c r="H1792" s="63"/>
      <c r="I1792" s="62"/>
      <c r="J1792" s="64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</row>
    <row r="1793">
      <c r="A1793" s="58"/>
      <c r="B1793" s="64"/>
      <c r="C1793" s="58"/>
      <c r="D1793" s="61"/>
      <c r="E1793" s="62"/>
      <c r="F1793" s="63"/>
      <c r="G1793" s="60"/>
      <c r="H1793" s="63"/>
      <c r="I1793" s="62"/>
      <c r="J1793" s="64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</row>
    <row r="1794">
      <c r="A1794" s="58"/>
      <c r="B1794" s="64"/>
      <c r="C1794" s="58"/>
      <c r="D1794" s="61"/>
      <c r="E1794" s="62"/>
      <c r="F1794" s="63"/>
      <c r="G1794" s="60"/>
      <c r="H1794" s="63"/>
      <c r="I1794" s="62"/>
      <c r="J1794" s="64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>
      <c r="A1795" s="58"/>
      <c r="B1795" s="64"/>
      <c r="C1795" s="58"/>
      <c r="D1795" s="61"/>
      <c r="E1795" s="62"/>
      <c r="F1795" s="63"/>
      <c r="G1795" s="60"/>
      <c r="H1795" s="63"/>
      <c r="I1795" s="62"/>
      <c r="J1795" s="64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>
      <c r="A1796" s="58"/>
      <c r="B1796" s="64"/>
      <c r="C1796" s="58"/>
      <c r="D1796" s="61"/>
      <c r="E1796" s="62"/>
      <c r="F1796" s="63"/>
      <c r="G1796" s="60"/>
      <c r="H1796" s="63"/>
      <c r="I1796" s="62"/>
      <c r="J1796" s="64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</row>
    <row r="1797">
      <c r="A1797" s="58"/>
      <c r="B1797" s="64"/>
      <c r="C1797" s="58"/>
      <c r="D1797" s="61"/>
      <c r="E1797" s="62"/>
      <c r="F1797" s="63"/>
      <c r="G1797" s="60"/>
      <c r="H1797" s="63"/>
      <c r="I1797" s="62"/>
      <c r="J1797" s="64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</row>
    <row r="1798">
      <c r="A1798" s="58"/>
      <c r="B1798" s="64"/>
      <c r="C1798" s="58"/>
      <c r="D1798" s="61"/>
      <c r="E1798" s="62"/>
      <c r="F1798" s="63"/>
      <c r="G1798" s="60"/>
      <c r="H1798" s="63"/>
      <c r="I1798" s="62"/>
      <c r="J1798" s="64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</row>
    <row r="1799">
      <c r="A1799" s="58"/>
      <c r="B1799" s="64"/>
      <c r="C1799" s="58"/>
      <c r="D1799" s="61"/>
      <c r="E1799" s="62"/>
      <c r="F1799" s="63"/>
      <c r="G1799" s="60"/>
      <c r="H1799" s="63"/>
      <c r="I1799" s="62"/>
      <c r="J1799" s="64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</row>
    <row r="1800">
      <c r="A1800" s="58"/>
      <c r="B1800" s="64"/>
      <c r="C1800" s="58"/>
      <c r="D1800" s="61"/>
      <c r="E1800" s="62"/>
      <c r="F1800" s="63"/>
      <c r="G1800" s="60"/>
      <c r="H1800" s="63"/>
      <c r="I1800" s="62"/>
      <c r="J1800" s="64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</row>
    <row r="1801">
      <c r="A1801" s="58"/>
      <c r="B1801" s="64"/>
      <c r="C1801" s="58"/>
      <c r="D1801" s="61"/>
      <c r="E1801" s="62"/>
      <c r="F1801" s="63"/>
      <c r="G1801" s="60"/>
      <c r="H1801" s="63"/>
      <c r="I1801" s="62"/>
      <c r="J1801" s="64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</row>
    <row r="1802">
      <c r="A1802" s="58"/>
      <c r="B1802" s="64"/>
      <c r="C1802" s="58"/>
      <c r="D1802" s="61"/>
      <c r="E1802" s="62"/>
      <c r="F1802" s="63"/>
      <c r="G1802" s="60"/>
      <c r="H1802" s="63"/>
      <c r="I1802" s="62"/>
      <c r="J1802" s="64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</row>
    <row r="1803">
      <c r="A1803" s="58"/>
      <c r="B1803" s="64"/>
      <c r="C1803" s="58"/>
      <c r="D1803" s="61"/>
      <c r="E1803" s="62"/>
      <c r="F1803" s="63"/>
      <c r="G1803" s="60"/>
      <c r="H1803" s="63"/>
      <c r="I1803" s="62"/>
      <c r="J1803" s="64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</row>
    <row r="1804">
      <c r="A1804" s="58"/>
      <c r="B1804" s="64"/>
      <c r="C1804" s="58"/>
      <c r="D1804" s="61"/>
      <c r="E1804" s="62"/>
      <c r="F1804" s="63"/>
      <c r="G1804" s="60"/>
      <c r="H1804" s="63"/>
      <c r="I1804" s="62"/>
      <c r="J1804" s="64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</row>
    <row r="1805">
      <c r="A1805" s="58"/>
      <c r="B1805" s="64"/>
      <c r="C1805" s="58"/>
      <c r="D1805" s="61"/>
      <c r="E1805" s="62"/>
      <c r="F1805" s="63"/>
      <c r="G1805" s="60"/>
      <c r="H1805" s="63"/>
      <c r="I1805" s="62"/>
      <c r="J1805" s="64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</row>
    <row r="1806">
      <c r="A1806" s="58"/>
      <c r="B1806" s="64"/>
      <c r="C1806" s="58"/>
      <c r="D1806" s="61"/>
      <c r="E1806" s="62"/>
      <c r="F1806" s="63"/>
      <c r="G1806" s="60"/>
      <c r="H1806" s="63"/>
      <c r="I1806" s="62"/>
      <c r="J1806" s="64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</row>
    <row r="1807">
      <c r="A1807" s="58"/>
      <c r="B1807" s="64"/>
      <c r="C1807" s="58"/>
      <c r="D1807" s="61"/>
      <c r="E1807" s="62"/>
      <c r="F1807" s="63"/>
      <c r="G1807" s="60"/>
      <c r="H1807" s="63"/>
      <c r="I1807" s="62"/>
      <c r="J1807" s="64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</row>
    <row r="1808">
      <c r="A1808" s="58"/>
      <c r="B1808" s="64"/>
      <c r="C1808" s="58"/>
      <c r="D1808" s="61"/>
      <c r="E1808" s="62"/>
      <c r="F1808" s="63"/>
      <c r="G1808" s="60"/>
      <c r="H1808" s="63"/>
      <c r="I1808" s="62"/>
      <c r="J1808" s="64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</row>
    <row r="1809">
      <c r="A1809" s="58"/>
      <c r="B1809" s="64"/>
      <c r="C1809" s="58"/>
      <c r="D1809" s="61"/>
      <c r="E1809" s="62"/>
      <c r="F1809" s="63"/>
      <c r="G1809" s="60"/>
      <c r="H1809" s="63"/>
      <c r="I1809" s="62"/>
      <c r="J1809" s="64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</row>
    <row r="1810">
      <c r="A1810" s="58"/>
      <c r="B1810" s="64"/>
      <c r="C1810" s="58"/>
      <c r="D1810" s="61"/>
      <c r="E1810" s="62"/>
      <c r="F1810" s="63"/>
      <c r="G1810" s="60"/>
      <c r="H1810" s="63"/>
      <c r="I1810" s="62"/>
      <c r="J1810" s="64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</row>
    <row r="1811">
      <c r="A1811" s="58"/>
      <c r="B1811" s="64"/>
      <c r="C1811" s="58"/>
      <c r="D1811" s="61"/>
      <c r="E1811" s="62"/>
      <c r="F1811" s="63"/>
      <c r="G1811" s="60"/>
      <c r="H1811" s="63"/>
      <c r="I1811" s="62"/>
      <c r="J1811" s="64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</row>
    <row r="1812">
      <c r="A1812" s="58"/>
      <c r="B1812" s="64"/>
      <c r="C1812" s="58"/>
      <c r="D1812" s="61"/>
      <c r="E1812" s="62"/>
      <c r="F1812" s="63"/>
      <c r="G1812" s="60"/>
      <c r="H1812" s="63"/>
      <c r="I1812" s="62"/>
      <c r="J1812" s="64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</row>
    <row r="1813">
      <c r="A1813" s="58"/>
      <c r="B1813" s="64"/>
      <c r="C1813" s="58"/>
      <c r="D1813" s="61"/>
      <c r="E1813" s="62"/>
      <c r="F1813" s="63"/>
      <c r="G1813" s="60"/>
      <c r="H1813" s="63"/>
      <c r="I1813" s="62"/>
      <c r="J1813" s="64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</row>
    <row r="1814">
      <c r="A1814" s="58"/>
      <c r="B1814" s="64"/>
      <c r="C1814" s="58"/>
      <c r="D1814" s="61"/>
      <c r="E1814" s="62"/>
      <c r="F1814" s="63"/>
      <c r="G1814" s="60"/>
      <c r="H1814" s="63"/>
      <c r="I1814" s="62"/>
      <c r="J1814" s="64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</row>
    <row r="1815">
      <c r="A1815" s="58"/>
      <c r="B1815" s="64"/>
      <c r="C1815" s="58"/>
      <c r="D1815" s="61"/>
      <c r="E1815" s="62"/>
      <c r="F1815" s="63"/>
      <c r="G1815" s="60"/>
      <c r="H1815" s="63"/>
      <c r="I1815" s="62"/>
      <c r="J1815" s="64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</row>
    <row r="1816">
      <c r="A1816" s="58"/>
      <c r="B1816" s="64"/>
      <c r="C1816" s="58"/>
      <c r="D1816" s="61"/>
      <c r="E1816" s="62"/>
      <c r="F1816" s="63"/>
      <c r="G1816" s="60"/>
      <c r="H1816" s="63"/>
      <c r="I1816" s="62"/>
      <c r="J1816" s="64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</row>
    <row r="1817">
      <c r="A1817" s="58"/>
      <c r="B1817" s="64"/>
      <c r="C1817" s="58"/>
      <c r="D1817" s="61"/>
      <c r="E1817" s="62"/>
      <c r="F1817" s="63"/>
      <c r="G1817" s="60"/>
      <c r="H1817" s="63"/>
      <c r="I1817" s="62"/>
      <c r="J1817" s="64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</row>
    <row r="1818">
      <c r="A1818" s="58"/>
      <c r="B1818" s="64"/>
      <c r="C1818" s="58"/>
      <c r="D1818" s="61"/>
      <c r="E1818" s="62"/>
      <c r="F1818" s="63"/>
      <c r="G1818" s="60"/>
      <c r="H1818" s="63"/>
      <c r="I1818" s="62"/>
      <c r="J1818" s="64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</row>
    <row r="1819">
      <c r="A1819" s="58"/>
      <c r="B1819" s="64"/>
      <c r="C1819" s="58"/>
      <c r="D1819" s="61"/>
      <c r="E1819" s="62"/>
      <c r="F1819" s="63"/>
      <c r="G1819" s="60"/>
      <c r="H1819" s="63"/>
      <c r="I1819" s="62"/>
      <c r="J1819" s="64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</row>
    <row r="1820">
      <c r="A1820" s="58"/>
      <c r="B1820" s="64"/>
      <c r="C1820" s="58"/>
      <c r="D1820" s="61"/>
      <c r="E1820" s="62"/>
      <c r="F1820" s="63"/>
      <c r="G1820" s="60"/>
      <c r="H1820" s="63"/>
      <c r="I1820" s="62"/>
      <c r="J1820" s="64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</row>
    <row r="1821">
      <c r="A1821" s="58"/>
      <c r="B1821" s="64"/>
      <c r="C1821" s="58"/>
      <c r="D1821" s="61"/>
      <c r="E1821" s="62"/>
      <c r="F1821" s="63"/>
      <c r="G1821" s="60"/>
      <c r="H1821" s="63"/>
      <c r="I1821" s="62"/>
      <c r="J1821" s="64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</row>
    <row r="1822">
      <c r="A1822" s="58"/>
      <c r="B1822" s="64"/>
      <c r="C1822" s="58"/>
      <c r="D1822" s="61"/>
      <c r="E1822" s="62"/>
      <c r="F1822" s="63"/>
      <c r="G1822" s="60"/>
      <c r="H1822" s="63"/>
      <c r="I1822" s="62"/>
      <c r="J1822" s="64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</row>
    <row r="1823">
      <c r="A1823" s="58"/>
      <c r="B1823" s="64"/>
      <c r="C1823" s="58"/>
      <c r="D1823" s="61"/>
      <c r="E1823" s="62"/>
      <c r="F1823" s="63"/>
      <c r="G1823" s="60"/>
      <c r="H1823" s="63"/>
      <c r="I1823" s="62"/>
      <c r="J1823" s="64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</row>
    <row r="1824">
      <c r="A1824" s="58"/>
      <c r="B1824" s="64"/>
      <c r="C1824" s="58"/>
      <c r="D1824" s="61"/>
      <c r="E1824" s="62"/>
      <c r="F1824" s="63"/>
      <c r="G1824" s="60"/>
      <c r="H1824" s="63"/>
      <c r="I1824" s="62"/>
      <c r="J1824" s="64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</row>
    <row r="1825">
      <c r="A1825" s="58"/>
      <c r="B1825" s="64"/>
      <c r="C1825" s="58"/>
      <c r="D1825" s="61"/>
      <c r="E1825" s="62"/>
      <c r="F1825" s="63"/>
      <c r="G1825" s="60"/>
      <c r="H1825" s="63"/>
      <c r="I1825" s="62"/>
      <c r="J1825" s="64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</row>
    <row r="1826">
      <c r="A1826" s="58"/>
      <c r="B1826" s="64"/>
      <c r="C1826" s="58"/>
      <c r="D1826" s="61"/>
      <c r="E1826" s="62"/>
      <c r="F1826" s="63"/>
      <c r="G1826" s="60"/>
      <c r="H1826" s="63"/>
      <c r="I1826" s="62"/>
      <c r="J1826" s="64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</row>
    <row r="1827">
      <c r="A1827" s="58"/>
      <c r="B1827" s="64"/>
      <c r="C1827" s="58"/>
      <c r="D1827" s="61"/>
      <c r="E1827" s="62"/>
      <c r="F1827" s="63"/>
      <c r="G1827" s="60"/>
      <c r="H1827" s="63"/>
      <c r="I1827" s="62"/>
      <c r="J1827" s="64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</row>
    <row r="1828">
      <c r="A1828" s="58"/>
      <c r="B1828" s="64"/>
      <c r="C1828" s="58"/>
      <c r="D1828" s="61"/>
      <c r="E1828" s="62"/>
      <c r="F1828" s="63"/>
      <c r="G1828" s="60"/>
      <c r="H1828" s="63"/>
      <c r="I1828" s="62"/>
      <c r="J1828" s="64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</row>
    <row r="1829">
      <c r="A1829" s="58"/>
      <c r="B1829" s="64"/>
      <c r="C1829" s="58"/>
      <c r="D1829" s="61"/>
      <c r="E1829" s="62"/>
      <c r="F1829" s="63"/>
      <c r="G1829" s="60"/>
      <c r="H1829" s="63"/>
      <c r="I1829" s="62"/>
      <c r="J1829" s="64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</row>
    <row r="1830">
      <c r="A1830" s="58"/>
      <c r="B1830" s="64"/>
      <c r="C1830" s="58"/>
      <c r="D1830" s="61"/>
      <c r="E1830" s="62"/>
      <c r="F1830" s="63"/>
      <c r="G1830" s="60"/>
      <c r="H1830" s="63"/>
      <c r="I1830" s="62"/>
      <c r="J1830" s="64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</row>
    <row r="1831">
      <c r="A1831" s="58"/>
      <c r="B1831" s="64"/>
      <c r="C1831" s="58"/>
      <c r="D1831" s="61"/>
      <c r="E1831" s="62"/>
      <c r="F1831" s="63"/>
      <c r="G1831" s="60"/>
      <c r="H1831" s="63"/>
      <c r="I1831" s="62"/>
      <c r="J1831" s="64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</row>
    <row r="1832">
      <c r="A1832" s="58"/>
      <c r="B1832" s="64"/>
      <c r="C1832" s="58"/>
      <c r="D1832" s="61"/>
      <c r="E1832" s="62"/>
      <c r="F1832" s="63"/>
      <c r="G1832" s="60"/>
      <c r="H1832" s="63"/>
      <c r="I1832" s="62"/>
      <c r="J1832" s="64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</row>
    <row r="1833">
      <c r="A1833" s="58"/>
      <c r="B1833" s="64"/>
      <c r="C1833" s="58"/>
      <c r="D1833" s="61"/>
      <c r="E1833" s="62"/>
      <c r="F1833" s="63"/>
      <c r="G1833" s="60"/>
      <c r="H1833" s="63"/>
      <c r="I1833" s="62"/>
      <c r="J1833" s="64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>
      <c r="A1834" s="58"/>
      <c r="B1834" s="64"/>
      <c r="C1834" s="58"/>
      <c r="D1834" s="61"/>
      <c r="E1834" s="62"/>
      <c r="F1834" s="63"/>
      <c r="G1834" s="60"/>
      <c r="H1834" s="63"/>
      <c r="I1834" s="62"/>
      <c r="J1834" s="64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</row>
    <row r="1835">
      <c r="A1835" s="58"/>
      <c r="B1835" s="64"/>
      <c r="C1835" s="58"/>
      <c r="D1835" s="61"/>
      <c r="E1835" s="62"/>
      <c r="F1835" s="63"/>
      <c r="G1835" s="60"/>
      <c r="H1835" s="63"/>
      <c r="I1835" s="62"/>
      <c r="J1835" s="64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</row>
    <row r="1836">
      <c r="A1836" s="58"/>
      <c r="B1836" s="64"/>
      <c r="C1836" s="58"/>
      <c r="D1836" s="61"/>
      <c r="E1836" s="62"/>
      <c r="F1836" s="63"/>
      <c r="G1836" s="60"/>
      <c r="H1836" s="63"/>
      <c r="I1836" s="62"/>
      <c r="J1836" s="64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</row>
    <row r="1837">
      <c r="A1837" s="58"/>
      <c r="B1837" s="64"/>
      <c r="C1837" s="58"/>
      <c r="D1837" s="61"/>
      <c r="E1837" s="62"/>
      <c r="F1837" s="63"/>
      <c r="G1837" s="60"/>
      <c r="H1837" s="63"/>
      <c r="I1837" s="62"/>
      <c r="J1837" s="64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</row>
    <row r="1838">
      <c r="A1838" s="58"/>
      <c r="B1838" s="64"/>
      <c r="C1838" s="58"/>
      <c r="D1838" s="61"/>
      <c r="E1838" s="62"/>
      <c r="F1838" s="63"/>
      <c r="G1838" s="60"/>
      <c r="H1838" s="63"/>
      <c r="I1838" s="62"/>
      <c r="J1838" s="64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</row>
    <row r="1839">
      <c r="A1839" s="58"/>
      <c r="B1839" s="64"/>
      <c r="C1839" s="58"/>
      <c r="D1839" s="61"/>
      <c r="E1839" s="62"/>
      <c r="F1839" s="63"/>
      <c r="G1839" s="60"/>
      <c r="H1839" s="63"/>
      <c r="I1839" s="62"/>
      <c r="J1839" s="64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</row>
    <row r="1840">
      <c r="A1840" s="58"/>
      <c r="B1840" s="64"/>
      <c r="C1840" s="58"/>
      <c r="D1840" s="61"/>
      <c r="E1840" s="62"/>
      <c r="F1840" s="63"/>
      <c r="G1840" s="60"/>
      <c r="H1840" s="63"/>
      <c r="I1840" s="62"/>
      <c r="J1840" s="64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</row>
    <row r="1841">
      <c r="A1841" s="58"/>
      <c r="B1841" s="64"/>
      <c r="C1841" s="58"/>
      <c r="D1841" s="61"/>
      <c r="E1841" s="62"/>
      <c r="F1841" s="63"/>
      <c r="G1841" s="60"/>
      <c r="H1841" s="63"/>
      <c r="I1841" s="62"/>
      <c r="J1841" s="64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</row>
    <row r="1842">
      <c r="A1842" s="58"/>
      <c r="B1842" s="64"/>
      <c r="C1842" s="58"/>
      <c r="D1842" s="61"/>
      <c r="E1842" s="62"/>
      <c r="F1842" s="63"/>
      <c r="G1842" s="60"/>
      <c r="H1842" s="63"/>
      <c r="I1842" s="62"/>
      <c r="J1842" s="64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</row>
    <row r="1843">
      <c r="A1843" s="58"/>
      <c r="B1843" s="64"/>
      <c r="C1843" s="58"/>
      <c r="D1843" s="61"/>
      <c r="E1843" s="62"/>
      <c r="F1843" s="63"/>
      <c r="G1843" s="60"/>
      <c r="H1843" s="63"/>
      <c r="I1843" s="62"/>
      <c r="J1843" s="64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</row>
    <row r="1844">
      <c r="A1844" s="58"/>
      <c r="B1844" s="64"/>
      <c r="C1844" s="58"/>
      <c r="D1844" s="61"/>
      <c r="E1844" s="62"/>
      <c r="F1844" s="63"/>
      <c r="G1844" s="60"/>
      <c r="H1844" s="63"/>
      <c r="I1844" s="62"/>
      <c r="J1844" s="64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</row>
    <row r="1845">
      <c r="A1845" s="58"/>
      <c r="B1845" s="64"/>
      <c r="C1845" s="58"/>
      <c r="D1845" s="61"/>
      <c r="E1845" s="62"/>
      <c r="F1845" s="63"/>
      <c r="G1845" s="60"/>
      <c r="H1845" s="63"/>
      <c r="I1845" s="62"/>
      <c r="J1845" s="64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</row>
    <row r="1846">
      <c r="A1846" s="58"/>
      <c r="B1846" s="64"/>
      <c r="C1846" s="58"/>
      <c r="D1846" s="61"/>
      <c r="E1846" s="62"/>
      <c r="F1846" s="63"/>
      <c r="G1846" s="60"/>
      <c r="H1846" s="63"/>
      <c r="I1846" s="62"/>
      <c r="J1846" s="64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</row>
    <row r="1847">
      <c r="A1847" s="58"/>
      <c r="B1847" s="64"/>
      <c r="C1847" s="58"/>
      <c r="D1847" s="61"/>
      <c r="E1847" s="62"/>
      <c r="F1847" s="63"/>
      <c r="G1847" s="60"/>
      <c r="H1847" s="63"/>
      <c r="I1847" s="62"/>
      <c r="J1847" s="64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</row>
    <row r="1848">
      <c r="A1848" s="58"/>
      <c r="B1848" s="64"/>
      <c r="C1848" s="58"/>
      <c r="D1848" s="61"/>
      <c r="E1848" s="62"/>
      <c r="F1848" s="63"/>
      <c r="G1848" s="60"/>
      <c r="H1848" s="63"/>
      <c r="I1848" s="62"/>
      <c r="J1848" s="64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</row>
    <row r="1849">
      <c r="A1849" s="58"/>
      <c r="B1849" s="64"/>
      <c r="C1849" s="58"/>
      <c r="D1849" s="61"/>
      <c r="E1849" s="62"/>
      <c r="F1849" s="63"/>
      <c r="G1849" s="60"/>
      <c r="H1849" s="63"/>
      <c r="I1849" s="62"/>
      <c r="J1849" s="64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</row>
    <row r="1850">
      <c r="A1850" s="58"/>
      <c r="B1850" s="64"/>
      <c r="C1850" s="58"/>
      <c r="D1850" s="61"/>
      <c r="E1850" s="62"/>
      <c r="F1850" s="63"/>
      <c r="G1850" s="60"/>
      <c r="H1850" s="63"/>
      <c r="I1850" s="62"/>
      <c r="J1850" s="64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</row>
    <row r="1851">
      <c r="A1851" s="58"/>
      <c r="B1851" s="64"/>
      <c r="C1851" s="58"/>
      <c r="D1851" s="61"/>
      <c r="E1851" s="62"/>
      <c r="F1851" s="63"/>
      <c r="G1851" s="60"/>
      <c r="H1851" s="63"/>
      <c r="I1851" s="62"/>
      <c r="J1851" s="64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</row>
    <row r="1852">
      <c r="A1852" s="58"/>
      <c r="B1852" s="64"/>
      <c r="C1852" s="58"/>
      <c r="D1852" s="61"/>
      <c r="E1852" s="62"/>
      <c r="F1852" s="63"/>
      <c r="G1852" s="60"/>
      <c r="H1852" s="63"/>
      <c r="I1852" s="62"/>
      <c r="J1852" s="64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</row>
    <row r="1853">
      <c r="A1853" s="58"/>
      <c r="B1853" s="64"/>
      <c r="C1853" s="58"/>
      <c r="D1853" s="61"/>
      <c r="E1853" s="62"/>
      <c r="F1853" s="63"/>
      <c r="G1853" s="60"/>
      <c r="H1853" s="63"/>
      <c r="I1853" s="62"/>
      <c r="J1853" s="64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</row>
    <row r="1854">
      <c r="A1854" s="58"/>
      <c r="B1854" s="64"/>
      <c r="C1854" s="58"/>
      <c r="D1854" s="61"/>
      <c r="E1854" s="62"/>
      <c r="F1854" s="63"/>
      <c r="G1854" s="60"/>
      <c r="H1854" s="63"/>
      <c r="I1854" s="62"/>
      <c r="J1854" s="64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</row>
    <row r="1855">
      <c r="A1855" s="58"/>
      <c r="B1855" s="64"/>
      <c r="C1855" s="58"/>
      <c r="D1855" s="61"/>
      <c r="E1855" s="62"/>
      <c r="F1855" s="63"/>
      <c r="G1855" s="60"/>
      <c r="H1855" s="63"/>
      <c r="I1855" s="62"/>
      <c r="J1855" s="64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</row>
    <row r="1856">
      <c r="A1856" s="58"/>
      <c r="B1856" s="64"/>
      <c r="C1856" s="58"/>
      <c r="D1856" s="61"/>
      <c r="E1856" s="62"/>
      <c r="F1856" s="63"/>
      <c r="G1856" s="60"/>
      <c r="H1856" s="63"/>
      <c r="I1856" s="62"/>
      <c r="J1856" s="64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</row>
    <row r="1857">
      <c r="A1857" s="58"/>
      <c r="B1857" s="64"/>
      <c r="C1857" s="58"/>
      <c r="D1857" s="61"/>
      <c r="E1857" s="62"/>
      <c r="F1857" s="63"/>
      <c r="G1857" s="60"/>
      <c r="H1857" s="63"/>
      <c r="I1857" s="62"/>
      <c r="J1857" s="64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</row>
    <row r="1858">
      <c r="A1858" s="58"/>
      <c r="B1858" s="64"/>
      <c r="C1858" s="58"/>
      <c r="D1858" s="61"/>
      <c r="E1858" s="62"/>
      <c r="F1858" s="63"/>
      <c r="G1858" s="60"/>
      <c r="H1858" s="63"/>
      <c r="I1858" s="62"/>
      <c r="J1858" s="64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</row>
    <row r="1859">
      <c r="A1859" s="58"/>
      <c r="B1859" s="64"/>
      <c r="C1859" s="58"/>
      <c r="D1859" s="61"/>
      <c r="E1859" s="62"/>
      <c r="F1859" s="63"/>
      <c r="G1859" s="60"/>
      <c r="H1859" s="63"/>
      <c r="I1859" s="62"/>
      <c r="J1859" s="64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</row>
    <row r="1860">
      <c r="A1860" s="58"/>
      <c r="B1860" s="64"/>
      <c r="C1860" s="58"/>
      <c r="D1860" s="61"/>
      <c r="E1860" s="62"/>
      <c r="F1860" s="63"/>
      <c r="G1860" s="60"/>
      <c r="H1860" s="63"/>
      <c r="I1860" s="62"/>
      <c r="J1860" s="64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</row>
    <row r="1861">
      <c r="A1861" s="58"/>
      <c r="B1861" s="64"/>
      <c r="C1861" s="58"/>
      <c r="D1861" s="61"/>
      <c r="E1861" s="62"/>
      <c r="F1861" s="63"/>
      <c r="G1861" s="60"/>
      <c r="H1861" s="63"/>
      <c r="I1861" s="62"/>
      <c r="J1861" s="64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</row>
    <row r="1862">
      <c r="A1862" s="58"/>
      <c r="B1862" s="64"/>
      <c r="C1862" s="58"/>
      <c r="D1862" s="61"/>
      <c r="E1862" s="62"/>
      <c r="F1862" s="63"/>
      <c r="G1862" s="60"/>
      <c r="H1862" s="63"/>
      <c r="I1862" s="62"/>
      <c r="J1862" s="64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</row>
    <row r="1863">
      <c r="A1863" s="58"/>
      <c r="B1863" s="64"/>
      <c r="C1863" s="58"/>
      <c r="D1863" s="61"/>
      <c r="E1863" s="62"/>
      <c r="F1863" s="63"/>
      <c r="G1863" s="60"/>
      <c r="H1863" s="63"/>
      <c r="I1863" s="62"/>
      <c r="J1863" s="64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</row>
    <row r="1864">
      <c r="A1864" s="58"/>
      <c r="B1864" s="64"/>
      <c r="C1864" s="58"/>
      <c r="D1864" s="61"/>
      <c r="E1864" s="62"/>
      <c r="F1864" s="63"/>
      <c r="G1864" s="60"/>
      <c r="H1864" s="63"/>
      <c r="I1864" s="62"/>
      <c r="J1864" s="64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</row>
    <row r="1865">
      <c r="A1865" s="58"/>
      <c r="B1865" s="64"/>
      <c r="C1865" s="58"/>
      <c r="D1865" s="61"/>
      <c r="E1865" s="62"/>
      <c r="F1865" s="63"/>
      <c r="G1865" s="60"/>
      <c r="H1865" s="63"/>
      <c r="I1865" s="62"/>
      <c r="J1865" s="64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</row>
    <row r="1866">
      <c r="A1866" s="58"/>
      <c r="B1866" s="64"/>
      <c r="C1866" s="58"/>
      <c r="D1866" s="61"/>
      <c r="E1866" s="62"/>
      <c r="F1866" s="63"/>
      <c r="G1866" s="60"/>
      <c r="H1866" s="63"/>
      <c r="I1866" s="62"/>
      <c r="J1866" s="64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</row>
    <row r="1867">
      <c r="A1867" s="58"/>
      <c r="B1867" s="64"/>
      <c r="C1867" s="58"/>
      <c r="D1867" s="61"/>
      <c r="E1867" s="62"/>
      <c r="F1867" s="63"/>
      <c r="G1867" s="60"/>
      <c r="H1867" s="63"/>
      <c r="I1867" s="62"/>
      <c r="J1867" s="64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</row>
    <row r="1868">
      <c r="A1868" s="58"/>
      <c r="B1868" s="64"/>
      <c r="C1868" s="58"/>
      <c r="D1868" s="61"/>
      <c r="E1868" s="62"/>
      <c r="F1868" s="63"/>
      <c r="G1868" s="60"/>
      <c r="H1868" s="63"/>
      <c r="I1868" s="62"/>
      <c r="J1868" s="64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</row>
    <row r="1869">
      <c r="A1869" s="58"/>
      <c r="B1869" s="64"/>
      <c r="C1869" s="58"/>
      <c r="D1869" s="61"/>
      <c r="E1869" s="62"/>
      <c r="F1869" s="63"/>
      <c r="G1869" s="60"/>
      <c r="H1869" s="63"/>
      <c r="I1869" s="62"/>
      <c r="J1869" s="64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</row>
    <row r="1870">
      <c r="A1870" s="58"/>
      <c r="B1870" s="64"/>
      <c r="C1870" s="58"/>
      <c r="D1870" s="61"/>
      <c r="E1870" s="62"/>
      <c r="F1870" s="63"/>
      <c r="G1870" s="60"/>
      <c r="H1870" s="63"/>
      <c r="I1870" s="62"/>
      <c r="J1870" s="64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</row>
    <row r="1871">
      <c r="A1871" s="58"/>
      <c r="B1871" s="64"/>
      <c r="C1871" s="58"/>
      <c r="D1871" s="61"/>
      <c r="E1871" s="62"/>
      <c r="F1871" s="63"/>
      <c r="G1871" s="60"/>
      <c r="H1871" s="63"/>
      <c r="I1871" s="62"/>
      <c r="J1871" s="64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</row>
    <row r="1872">
      <c r="A1872" s="58"/>
      <c r="B1872" s="64"/>
      <c r="C1872" s="58"/>
      <c r="D1872" s="61"/>
      <c r="E1872" s="62"/>
      <c r="F1872" s="63"/>
      <c r="G1872" s="60"/>
      <c r="H1872" s="63"/>
      <c r="I1872" s="62"/>
      <c r="J1872" s="64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</row>
    <row r="1873">
      <c r="A1873" s="58"/>
      <c r="B1873" s="64"/>
      <c r="C1873" s="58"/>
      <c r="D1873" s="61"/>
      <c r="E1873" s="62"/>
      <c r="F1873" s="63"/>
      <c r="G1873" s="60"/>
      <c r="H1873" s="63"/>
      <c r="I1873" s="62"/>
      <c r="J1873" s="64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</row>
    <row r="1874">
      <c r="A1874" s="58"/>
      <c r="B1874" s="64"/>
      <c r="C1874" s="58"/>
      <c r="D1874" s="61"/>
      <c r="E1874" s="62"/>
      <c r="F1874" s="63"/>
      <c r="G1874" s="60"/>
      <c r="H1874" s="63"/>
      <c r="I1874" s="62"/>
      <c r="J1874" s="64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</row>
    <row r="1875">
      <c r="A1875" s="58"/>
      <c r="B1875" s="64"/>
      <c r="C1875" s="58"/>
      <c r="D1875" s="61"/>
      <c r="E1875" s="62"/>
      <c r="F1875" s="63"/>
      <c r="G1875" s="60"/>
      <c r="H1875" s="63"/>
      <c r="I1875" s="62"/>
      <c r="J1875" s="64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</row>
    <row r="1876">
      <c r="A1876" s="58"/>
      <c r="B1876" s="64"/>
      <c r="C1876" s="58"/>
      <c r="D1876" s="61"/>
      <c r="E1876" s="62"/>
      <c r="F1876" s="63"/>
      <c r="G1876" s="60"/>
      <c r="H1876" s="63"/>
      <c r="I1876" s="62"/>
      <c r="J1876" s="64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</row>
    <row r="1877">
      <c r="A1877" s="58"/>
      <c r="B1877" s="64"/>
      <c r="C1877" s="58"/>
      <c r="D1877" s="61"/>
      <c r="E1877" s="62"/>
      <c r="F1877" s="63"/>
      <c r="G1877" s="60"/>
      <c r="H1877" s="63"/>
      <c r="I1877" s="62"/>
      <c r="J1877" s="64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</row>
    <row r="1878">
      <c r="A1878" s="58"/>
      <c r="B1878" s="64"/>
      <c r="C1878" s="58"/>
      <c r="D1878" s="61"/>
      <c r="E1878" s="62"/>
      <c r="F1878" s="63"/>
      <c r="G1878" s="60"/>
      <c r="H1878" s="63"/>
      <c r="I1878" s="62"/>
      <c r="J1878" s="64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</row>
    <row r="1879">
      <c r="A1879" s="58"/>
      <c r="B1879" s="64"/>
      <c r="C1879" s="58"/>
      <c r="D1879" s="61"/>
      <c r="E1879" s="62"/>
      <c r="F1879" s="63"/>
      <c r="G1879" s="60"/>
      <c r="H1879" s="63"/>
      <c r="I1879" s="62"/>
      <c r="J1879" s="64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</row>
    <row r="1880">
      <c r="A1880" s="58"/>
      <c r="B1880" s="64"/>
      <c r="C1880" s="58"/>
      <c r="D1880" s="61"/>
      <c r="E1880" s="62"/>
      <c r="F1880" s="63"/>
      <c r="G1880" s="60"/>
      <c r="H1880" s="63"/>
      <c r="I1880" s="62"/>
      <c r="J1880" s="64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</row>
    <row r="1881">
      <c r="A1881" s="58"/>
      <c r="B1881" s="64"/>
      <c r="C1881" s="58"/>
      <c r="D1881" s="61"/>
      <c r="E1881" s="62"/>
      <c r="F1881" s="63"/>
      <c r="G1881" s="60"/>
      <c r="H1881" s="63"/>
      <c r="I1881" s="62"/>
      <c r="J1881" s="64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</row>
    <row r="1882">
      <c r="A1882" s="58"/>
      <c r="B1882" s="64"/>
      <c r="C1882" s="58"/>
      <c r="D1882" s="61"/>
      <c r="E1882" s="62"/>
      <c r="F1882" s="63"/>
      <c r="G1882" s="60"/>
      <c r="H1882" s="63"/>
      <c r="I1882" s="62"/>
      <c r="J1882" s="64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</row>
    <row r="1883">
      <c r="A1883" s="58"/>
      <c r="B1883" s="64"/>
      <c r="C1883" s="58"/>
      <c r="D1883" s="61"/>
      <c r="E1883" s="62"/>
      <c r="F1883" s="63"/>
      <c r="G1883" s="60"/>
      <c r="H1883" s="63"/>
      <c r="I1883" s="62"/>
      <c r="J1883" s="64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</row>
    <row r="1884">
      <c r="A1884" s="58"/>
      <c r="B1884" s="64"/>
      <c r="C1884" s="58"/>
      <c r="D1884" s="61"/>
      <c r="E1884" s="62"/>
      <c r="F1884" s="63"/>
      <c r="G1884" s="60"/>
      <c r="H1884" s="63"/>
      <c r="I1884" s="62"/>
      <c r="J1884" s="64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</row>
    <row r="1885">
      <c r="A1885" s="58"/>
      <c r="B1885" s="64"/>
      <c r="C1885" s="58"/>
      <c r="D1885" s="61"/>
      <c r="E1885" s="62"/>
      <c r="F1885" s="63"/>
      <c r="G1885" s="60"/>
      <c r="H1885" s="63"/>
      <c r="I1885" s="62"/>
      <c r="J1885" s="64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</row>
    <row r="1886">
      <c r="A1886" s="58"/>
      <c r="B1886" s="64"/>
      <c r="C1886" s="58"/>
      <c r="D1886" s="61"/>
      <c r="E1886" s="62"/>
      <c r="F1886" s="63"/>
      <c r="G1886" s="60"/>
      <c r="H1886" s="63"/>
      <c r="I1886" s="62"/>
      <c r="J1886" s="64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</row>
    <row r="1887">
      <c r="A1887" s="58"/>
      <c r="B1887" s="64"/>
      <c r="C1887" s="58"/>
      <c r="D1887" s="61"/>
      <c r="E1887" s="62"/>
      <c r="F1887" s="63"/>
      <c r="G1887" s="60"/>
      <c r="H1887" s="63"/>
      <c r="I1887" s="62"/>
      <c r="J1887" s="64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</row>
    <row r="1888">
      <c r="A1888" s="58"/>
      <c r="B1888" s="64"/>
      <c r="C1888" s="58"/>
      <c r="D1888" s="61"/>
      <c r="E1888" s="62"/>
      <c r="F1888" s="63"/>
      <c r="G1888" s="60"/>
      <c r="H1888" s="63"/>
      <c r="I1888" s="62"/>
      <c r="J1888" s="64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</row>
    <row r="1889">
      <c r="A1889" s="58"/>
      <c r="B1889" s="64"/>
      <c r="C1889" s="58"/>
      <c r="D1889" s="61"/>
      <c r="E1889" s="62"/>
      <c r="F1889" s="63"/>
      <c r="G1889" s="60"/>
      <c r="H1889" s="63"/>
      <c r="I1889" s="62"/>
      <c r="J1889" s="64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</row>
    <row r="1890">
      <c r="A1890" s="58"/>
      <c r="B1890" s="64"/>
      <c r="C1890" s="58"/>
      <c r="D1890" s="61"/>
      <c r="E1890" s="62"/>
      <c r="F1890" s="63"/>
      <c r="G1890" s="60"/>
      <c r="H1890" s="63"/>
      <c r="I1890" s="62"/>
      <c r="J1890" s="64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</row>
    <row r="1891">
      <c r="A1891" s="58"/>
      <c r="B1891" s="64"/>
      <c r="C1891" s="58"/>
      <c r="D1891" s="61"/>
      <c r="E1891" s="62"/>
      <c r="F1891" s="63"/>
      <c r="G1891" s="60"/>
      <c r="H1891" s="63"/>
      <c r="I1891" s="62"/>
      <c r="J1891" s="64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</row>
    <row r="1892">
      <c r="A1892" s="58"/>
      <c r="B1892" s="64"/>
      <c r="C1892" s="58"/>
      <c r="D1892" s="61"/>
      <c r="E1892" s="62"/>
      <c r="F1892" s="63"/>
      <c r="G1892" s="60"/>
      <c r="H1892" s="63"/>
      <c r="I1892" s="62"/>
      <c r="J1892" s="64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</row>
    <row r="1893">
      <c r="A1893" s="58"/>
      <c r="B1893" s="64"/>
      <c r="C1893" s="58"/>
      <c r="D1893" s="61"/>
      <c r="E1893" s="62"/>
      <c r="F1893" s="63"/>
      <c r="G1893" s="60"/>
      <c r="H1893" s="63"/>
      <c r="I1893" s="62"/>
      <c r="J1893" s="64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</row>
    <row r="1894">
      <c r="A1894" s="58"/>
      <c r="B1894" s="64"/>
      <c r="C1894" s="58"/>
      <c r="D1894" s="61"/>
      <c r="E1894" s="62"/>
      <c r="F1894" s="63"/>
      <c r="G1894" s="60"/>
      <c r="H1894" s="63"/>
      <c r="I1894" s="62"/>
      <c r="J1894" s="64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</row>
    <row r="1895">
      <c r="A1895" s="58"/>
      <c r="B1895" s="64"/>
      <c r="C1895" s="58"/>
      <c r="D1895" s="61"/>
      <c r="E1895" s="62"/>
      <c r="F1895" s="63"/>
      <c r="G1895" s="60"/>
      <c r="H1895" s="63"/>
      <c r="I1895" s="62"/>
      <c r="J1895" s="64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</row>
    <row r="1896">
      <c r="A1896" s="58"/>
      <c r="B1896" s="64"/>
      <c r="C1896" s="58"/>
      <c r="D1896" s="61"/>
      <c r="E1896" s="62"/>
      <c r="F1896" s="63"/>
      <c r="G1896" s="60"/>
      <c r="H1896" s="63"/>
      <c r="I1896" s="62"/>
      <c r="J1896" s="64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</row>
    <row r="1897">
      <c r="A1897" s="58"/>
      <c r="B1897" s="64"/>
      <c r="C1897" s="58"/>
      <c r="D1897" s="61"/>
      <c r="E1897" s="62"/>
      <c r="F1897" s="63"/>
      <c r="G1897" s="60"/>
      <c r="H1897" s="63"/>
      <c r="I1897" s="62"/>
      <c r="J1897" s="64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</row>
    <row r="1898">
      <c r="A1898" s="58"/>
      <c r="B1898" s="64"/>
      <c r="C1898" s="58"/>
      <c r="D1898" s="61"/>
      <c r="E1898" s="62"/>
      <c r="F1898" s="63"/>
      <c r="G1898" s="60"/>
      <c r="H1898" s="63"/>
      <c r="I1898" s="62"/>
      <c r="J1898" s="64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</row>
    <row r="1899">
      <c r="A1899" s="58"/>
      <c r="B1899" s="64"/>
      <c r="C1899" s="58"/>
      <c r="D1899" s="61"/>
      <c r="E1899" s="62"/>
      <c r="F1899" s="63"/>
      <c r="G1899" s="60"/>
      <c r="H1899" s="63"/>
      <c r="I1899" s="62"/>
      <c r="J1899" s="64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</row>
    <row r="1900">
      <c r="A1900" s="58"/>
      <c r="B1900" s="64"/>
      <c r="C1900" s="58"/>
      <c r="D1900" s="61"/>
      <c r="E1900" s="62"/>
      <c r="F1900" s="63"/>
      <c r="G1900" s="60"/>
      <c r="H1900" s="63"/>
      <c r="I1900" s="62"/>
      <c r="J1900" s="64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</row>
    <row r="1901">
      <c r="A1901" s="58"/>
      <c r="B1901" s="64"/>
      <c r="C1901" s="58"/>
      <c r="D1901" s="61"/>
      <c r="E1901" s="62"/>
      <c r="F1901" s="63"/>
      <c r="G1901" s="60"/>
      <c r="H1901" s="63"/>
      <c r="I1901" s="62"/>
      <c r="J1901" s="64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</row>
    <row r="1902">
      <c r="A1902" s="58"/>
      <c r="B1902" s="64"/>
      <c r="C1902" s="58"/>
      <c r="D1902" s="61"/>
      <c r="E1902" s="62"/>
      <c r="F1902" s="63"/>
      <c r="G1902" s="60"/>
      <c r="H1902" s="63"/>
      <c r="I1902" s="62"/>
      <c r="J1902" s="64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</row>
    <row r="1903">
      <c r="A1903" s="58"/>
      <c r="B1903" s="64"/>
      <c r="C1903" s="58"/>
      <c r="D1903" s="61"/>
      <c r="E1903" s="62"/>
      <c r="F1903" s="63"/>
      <c r="G1903" s="60"/>
      <c r="H1903" s="63"/>
      <c r="I1903" s="62"/>
      <c r="J1903" s="64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</row>
    <row r="1904">
      <c r="A1904" s="58"/>
      <c r="B1904" s="64"/>
      <c r="C1904" s="58"/>
      <c r="D1904" s="61"/>
      <c r="E1904" s="62"/>
      <c r="F1904" s="63"/>
      <c r="G1904" s="60"/>
      <c r="H1904" s="63"/>
      <c r="I1904" s="62"/>
      <c r="J1904" s="64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</row>
    <row r="1905">
      <c r="A1905" s="58"/>
      <c r="B1905" s="64"/>
      <c r="C1905" s="58"/>
      <c r="D1905" s="61"/>
      <c r="E1905" s="62"/>
      <c r="F1905" s="63"/>
      <c r="G1905" s="60"/>
      <c r="H1905" s="63"/>
      <c r="I1905" s="62"/>
      <c r="J1905" s="64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</row>
    <row r="1906">
      <c r="A1906" s="58"/>
      <c r="B1906" s="64"/>
      <c r="C1906" s="58"/>
      <c r="D1906" s="61"/>
      <c r="E1906" s="62"/>
      <c r="F1906" s="63"/>
      <c r="G1906" s="60"/>
      <c r="H1906" s="63"/>
      <c r="I1906" s="62"/>
      <c r="J1906" s="64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</row>
    <row r="1907">
      <c r="A1907" s="58"/>
      <c r="B1907" s="64"/>
      <c r="C1907" s="58"/>
      <c r="D1907" s="61"/>
      <c r="E1907" s="62"/>
      <c r="F1907" s="63"/>
      <c r="G1907" s="60"/>
      <c r="H1907" s="63"/>
      <c r="I1907" s="62"/>
      <c r="J1907" s="64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</row>
    <row r="1908">
      <c r="A1908" s="58"/>
      <c r="B1908" s="64"/>
      <c r="C1908" s="58"/>
      <c r="D1908" s="61"/>
      <c r="E1908" s="62"/>
      <c r="F1908" s="63"/>
      <c r="G1908" s="60"/>
      <c r="H1908" s="63"/>
      <c r="I1908" s="62"/>
      <c r="J1908" s="64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</row>
    <row r="1909">
      <c r="A1909" s="58"/>
      <c r="B1909" s="64"/>
      <c r="C1909" s="58"/>
      <c r="D1909" s="61"/>
      <c r="E1909" s="62"/>
      <c r="F1909" s="63"/>
      <c r="G1909" s="60"/>
      <c r="H1909" s="63"/>
      <c r="I1909" s="62"/>
      <c r="J1909" s="64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</row>
    <row r="1910">
      <c r="A1910" s="58"/>
      <c r="B1910" s="64"/>
      <c r="C1910" s="58"/>
      <c r="D1910" s="61"/>
      <c r="E1910" s="62"/>
      <c r="F1910" s="63"/>
      <c r="G1910" s="60"/>
      <c r="H1910" s="63"/>
      <c r="I1910" s="62"/>
      <c r="J1910" s="64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</row>
    <row r="1911">
      <c r="A1911" s="58"/>
      <c r="B1911" s="64"/>
      <c r="C1911" s="58"/>
      <c r="D1911" s="61"/>
      <c r="E1911" s="62"/>
      <c r="F1911" s="63"/>
      <c r="G1911" s="60"/>
      <c r="H1911" s="63"/>
      <c r="I1911" s="62"/>
      <c r="J1911" s="64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</row>
    <row r="1912">
      <c r="A1912" s="58"/>
      <c r="B1912" s="64"/>
      <c r="C1912" s="58"/>
      <c r="D1912" s="61"/>
      <c r="E1912" s="62"/>
      <c r="F1912" s="63"/>
      <c r="G1912" s="60"/>
      <c r="H1912" s="63"/>
      <c r="I1912" s="62"/>
      <c r="J1912" s="64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</row>
    <row r="1913">
      <c r="A1913" s="58"/>
      <c r="B1913" s="64"/>
      <c r="C1913" s="58"/>
      <c r="D1913" s="61"/>
      <c r="E1913" s="62"/>
      <c r="F1913" s="63"/>
      <c r="G1913" s="60"/>
      <c r="H1913" s="63"/>
      <c r="I1913" s="62"/>
      <c r="J1913" s="64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</row>
    <row r="1914">
      <c r="A1914" s="58"/>
      <c r="B1914" s="64"/>
      <c r="C1914" s="58"/>
      <c r="D1914" s="61"/>
      <c r="E1914" s="62"/>
      <c r="F1914" s="63"/>
      <c r="G1914" s="60"/>
      <c r="H1914" s="63"/>
      <c r="I1914" s="62"/>
      <c r="J1914" s="64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</row>
    <row r="1915">
      <c r="A1915" s="58"/>
      <c r="B1915" s="64"/>
      <c r="C1915" s="58"/>
      <c r="D1915" s="61"/>
      <c r="E1915" s="62"/>
      <c r="F1915" s="63"/>
      <c r="G1915" s="60"/>
      <c r="H1915" s="63"/>
      <c r="I1915" s="62"/>
      <c r="J1915" s="64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</row>
    <row r="1916">
      <c r="A1916" s="58"/>
      <c r="B1916" s="64"/>
      <c r="C1916" s="58"/>
      <c r="D1916" s="61"/>
      <c r="E1916" s="62"/>
      <c r="F1916" s="63"/>
      <c r="G1916" s="60"/>
      <c r="H1916" s="63"/>
      <c r="I1916" s="62"/>
      <c r="J1916" s="64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</row>
    <row r="1917">
      <c r="A1917" s="58"/>
      <c r="B1917" s="64"/>
      <c r="C1917" s="58"/>
      <c r="D1917" s="61"/>
      <c r="E1917" s="62"/>
      <c r="F1917" s="63"/>
      <c r="G1917" s="60"/>
      <c r="H1917" s="63"/>
      <c r="I1917" s="62"/>
      <c r="J1917" s="64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</row>
    <row r="1918">
      <c r="A1918" s="58"/>
      <c r="B1918" s="64"/>
      <c r="C1918" s="58"/>
      <c r="D1918" s="61"/>
      <c r="E1918" s="62"/>
      <c r="F1918" s="63"/>
      <c r="G1918" s="60"/>
      <c r="H1918" s="63"/>
      <c r="I1918" s="62"/>
      <c r="J1918" s="64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</row>
    <row r="1919">
      <c r="A1919" s="58"/>
      <c r="B1919" s="64"/>
      <c r="C1919" s="58"/>
      <c r="D1919" s="61"/>
      <c r="E1919" s="62"/>
      <c r="F1919" s="63"/>
      <c r="G1919" s="60"/>
      <c r="H1919" s="63"/>
      <c r="I1919" s="62"/>
      <c r="J1919" s="64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</row>
    <row r="1920">
      <c r="A1920" s="58"/>
      <c r="B1920" s="64"/>
      <c r="C1920" s="58"/>
      <c r="D1920" s="61"/>
      <c r="E1920" s="62"/>
      <c r="F1920" s="63"/>
      <c r="G1920" s="60"/>
      <c r="H1920" s="63"/>
      <c r="I1920" s="62"/>
      <c r="J1920" s="64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</row>
    <row r="1921">
      <c r="A1921" s="58"/>
      <c r="B1921" s="64"/>
      <c r="C1921" s="58"/>
      <c r="D1921" s="61"/>
      <c r="E1921" s="62"/>
      <c r="F1921" s="63"/>
      <c r="G1921" s="60"/>
      <c r="H1921" s="63"/>
      <c r="I1921" s="62"/>
      <c r="J1921" s="64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</row>
    <row r="1922">
      <c r="A1922" s="58"/>
      <c r="B1922" s="64"/>
      <c r="C1922" s="58"/>
      <c r="D1922" s="61"/>
      <c r="E1922" s="62"/>
      <c r="F1922" s="63"/>
      <c r="G1922" s="60"/>
      <c r="H1922" s="63"/>
      <c r="I1922" s="62"/>
      <c r="J1922" s="64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</row>
    <row r="1923">
      <c r="A1923" s="58"/>
      <c r="B1923" s="64"/>
      <c r="C1923" s="58"/>
      <c r="D1923" s="61"/>
      <c r="E1923" s="62"/>
      <c r="F1923" s="63"/>
      <c r="G1923" s="60"/>
      <c r="H1923" s="63"/>
      <c r="I1923" s="62"/>
      <c r="J1923" s="64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</row>
    <row r="1924">
      <c r="A1924" s="58"/>
      <c r="B1924" s="64"/>
      <c r="C1924" s="58"/>
      <c r="D1924" s="61"/>
      <c r="E1924" s="62"/>
      <c r="F1924" s="63"/>
      <c r="G1924" s="60"/>
      <c r="H1924" s="63"/>
      <c r="I1924" s="62"/>
      <c r="J1924" s="64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</row>
    <row r="1925">
      <c r="A1925" s="58"/>
      <c r="B1925" s="64"/>
      <c r="C1925" s="58"/>
      <c r="D1925" s="61"/>
      <c r="E1925" s="62"/>
      <c r="F1925" s="63"/>
      <c r="G1925" s="60"/>
      <c r="H1925" s="63"/>
      <c r="I1925" s="62"/>
      <c r="J1925" s="64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</row>
    <row r="1926">
      <c r="A1926" s="58"/>
      <c r="B1926" s="64"/>
      <c r="C1926" s="58"/>
      <c r="D1926" s="61"/>
      <c r="E1926" s="62"/>
      <c r="F1926" s="63"/>
      <c r="G1926" s="60"/>
      <c r="H1926" s="63"/>
      <c r="I1926" s="62"/>
      <c r="J1926" s="64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</row>
    <row r="1927">
      <c r="A1927" s="58"/>
      <c r="B1927" s="64"/>
      <c r="C1927" s="58"/>
      <c r="D1927" s="61"/>
      <c r="E1927" s="62"/>
      <c r="F1927" s="63"/>
      <c r="G1927" s="60"/>
      <c r="H1927" s="63"/>
      <c r="I1927" s="62"/>
      <c r="J1927" s="64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</row>
    <row r="1928">
      <c r="A1928" s="58"/>
      <c r="B1928" s="64"/>
      <c r="C1928" s="58"/>
      <c r="D1928" s="61"/>
      <c r="E1928" s="62"/>
      <c r="F1928" s="63"/>
      <c r="G1928" s="60"/>
      <c r="H1928" s="63"/>
      <c r="I1928" s="62"/>
      <c r="J1928" s="64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</row>
    <row r="1929">
      <c r="A1929" s="58"/>
      <c r="B1929" s="64"/>
      <c r="C1929" s="58"/>
      <c r="D1929" s="61"/>
      <c r="E1929" s="62"/>
      <c r="F1929" s="63"/>
      <c r="G1929" s="60"/>
      <c r="H1929" s="63"/>
      <c r="I1929" s="62"/>
      <c r="J1929" s="64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</row>
    <row r="1930">
      <c r="A1930" s="58"/>
      <c r="B1930" s="64"/>
      <c r="C1930" s="58"/>
      <c r="D1930" s="61"/>
      <c r="E1930" s="62"/>
      <c r="F1930" s="63"/>
      <c r="G1930" s="60"/>
      <c r="H1930" s="63"/>
      <c r="I1930" s="62"/>
      <c r="J1930" s="64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</row>
    <row r="1931">
      <c r="A1931" s="58"/>
      <c r="B1931" s="64"/>
      <c r="C1931" s="58"/>
      <c r="D1931" s="61"/>
      <c r="E1931" s="62"/>
      <c r="F1931" s="63"/>
      <c r="G1931" s="60"/>
      <c r="H1931" s="63"/>
      <c r="I1931" s="62"/>
      <c r="J1931" s="64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</row>
    <row r="1932">
      <c r="A1932" s="58"/>
      <c r="B1932" s="64"/>
      <c r="C1932" s="58"/>
      <c r="D1932" s="61"/>
      <c r="E1932" s="62"/>
      <c r="F1932" s="63"/>
      <c r="G1932" s="60"/>
      <c r="H1932" s="63"/>
      <c r="I1932" s="62"/>
      <c r="J1932" s="64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</row>
    <row r="1933">
      <c r="A1933" s="58"/>
      <c r="B1933" s="64"/>
      <c r="C1933" s="58"/>
      <c r="D1933" s="61"/>
      <c r="E1933" s="62"/>
      <c r="F1933" s="63"/>
      <c r="G1933" s="60"/>
      <c r="H1933" s="63"/>
      <c r="I1933" s="62"/>
      <c r="J1933" s="64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</row>
    <row r="1934">
      <c r="A1934" s="58"/>
      <c r="B1934" s="64"/>
      <c r="C1934" s="58"/>
      <c r="D1934" s="61"/>
      <c r="E1934" s="62"/>
      <c r="F1934" s="63"/>
      <c r="G1934" s="60"/>
      <c r="H1934" s="63"/>
      <c r="I1934" s="62"/>
      <c r="J1934" s="64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</row>
    <row r="1935">
      <c r="A1935" s="58"/>
      <c r="B1935" s="64"/>
      <c r="C1935" s="58"/>
      <c r="D1935" s="61"/>
      <c r="E1935" s="62"/>
      <c r="F1935" s="63"/>
      <c r="G1935" s="60"/>
      <c r="H1935" s="63"/>
      <c r="I1935" s="62"/>
      <c r="J1935" s="64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</row>
    <row r="1936">
      <c r="A1936" s="58"/>
      <c r="B1936" s="64"/>
      <c r="C1936" s="58"/>
      <c r="D1936" s="61"/>
      <c r="E1936" s="62"/>
      <c r="F1936" s="63"/>
      <c r="G1936" s="60"/>
      <c r="H1936" s="63"/>
      <c r="I1936" s="62"/>
      <c r="J1936" s="64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</row>
    <row r="1937">
      <c r="A1937" s="58"/>
      <c r="B1937" s="64"/>
      <c r="C1937" s="58"/>
      <c r="D1937" s="61"/>
      <c r="E1937" s="62"/>
      <c r="F1937" s="63"/>
      <c r="G1937" s="60"/>
      <c r="H1937" s="63"/>
      <c r="I1937" s="62"/>
      <c r="J1937" s="64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</row>
    <row r="1938">
      <c r="A1938" s="58"/>
      <c r="B1938" s="64"/>
      <c r="C1938" s="58"/>
      <c r="D1938" s="61"/>
      <c r="E1938" s="62"/>
      <c r="F1938" s="63"/>
      <c r="G1938" s="60"/>
      <c r="H1938" s="63"/>
      <c r="I1938" s="62"/>
      <c r="J1938" s="64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</row>
    <row r="1939">
      <c r="A1939" s="58"/>
      <c r="B1939" s="64"/>
      <c r="C1939" s="58"/>
      <c r="D1939" s="61"/>
      <c r="E1939" s="62"/>
      <c r="F1939" s="63"/>
      <c r="G1939" s="60"/>
      <c r="H1939" s="63"/>
      <c r="I1939" s="62"/>
      <c r="J1939" s="64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</row>
    <row r="1940">
      <c r="A1940" s="58"/>
      <c r="B1940" s="64"/>
      <c r="C1940" s="58"/>
      <c r="D1940" s="61"/>
      <c r="E1940" s="62"/>
      <c r="F1940" s="63"/>
      <c r="G1940" s="60"/>
      <c r="H1940" s="63"/>
      <c r="I1940" s="62"/>
      <c r="J1940" s="64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</row>
    <row r="1941">
      <c r="A1941" s="58"/>
      <c r="B1941" s="64"/>
      <c r="C1941" s="58"/>
      <c r="D1941" s="61"/>
      <c r="E1941" s="62"/>
      <c r="F1941" s="63"/>
      <c r="G1941" s="60"/>
      <c r="H1941" s="63"/>
      <c r="I1941" s="62"/>
      <c r="J1941" s="64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</row>
    <row r="1942">
      <c r="A1942" s="58"/>
      <c r="B1942" s="64"/>
      <c r="C1942" s="58"/>
      <c r="D1942" s="61"/>
      <c r="E1942" s="62"/>
      <c r="F1942" s="63"/>
      <c r="G1942" s="60"/>
      <c r="H1942" s="63"/>
      <c r="I1942" s="62"/>
      <c r="J1942" s="64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</row>
    <row r="1943">
      <c r="A1943" s="58"/>
      <c r="B1943" s="64"/>
      <c r="C1943" s="58"/>
      <c r="D1943" s="61"/>
      <c r="E1943" s="62"/>
      <c r="F1943" s="63"/>
      <c r="G1943" s="60"/>
      <c r="H1943" s="63"/>
      <c r="I1943" s="62"/>
      <c r="J1943" s="64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</row>
    <row r="1944">
      <c r="A1944" s="58"/>
      <c r="B1944" s="64"/>
      <c r="C1944" s="58"/>
      <c r="D1944" s="61"/>
      <c r="E1944" s="62"/>
      <c r="F1944" s="63"/>
      <c r="G1944" s="60"/>
      <c r="H1944" s="63"/>
      <c r="I1944" s="62"/>
      <c r="J1944" s="64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</row>
    <row r="1945">
      <c r="A1945" s="58"/>
      <c r="B1945" s="64"/>
      <c r="C1945" s="58"/>
      <c r="D1945" s="61"/>
      <c r="E1945" s="62"/>
      <c r="F1945" s="63"/>
      <c r="G1945" s="60"/>
      <c r="H1945" s="63"/>
      <c r="I1945" s="62"/>
      <c r="J1945" s="64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</row>
    <row r="1946">
      <c r="A1946" s="58"/>
      <c r="B1946" s="64"/>
      <c r="C1946" s="58"/>
      <c r="D1946" s="61"/>
      <c r="E1946" s="62"/>
      <c r="F1946" s="63"/>
      <c r="G1946" s="60"/>
      <c r="H1946" s="63"/>
      <c r="I1946" s="62"/>
      <c r="J1946" s="64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</row>
    <row r="1947">
      <c r="A1947" s="58"/>
      <c r="B1947" s="64"/>
      <c r="C1947" s="58"/>
      <c r="D1947" s="61"/>
      <c r="E1947" s="62"/>
      <c r="F1947" s="63"/>
      <c r="G1947" s="60"/>
      <c r="H1947" s="63"/>
      <c r="I1947" s="62"/>
      <c r="J1947" s="64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</row>
    <row r="1948">
      <c r="A1948" s="58"/>
      <c r="B1948" s="64"/>
      <c r="C1948" s="58"/>
      <c r="D1948" s="61"/>
      <c r="E1948" s="62"/>
      <c r="F1948" s="63"/>
      <c r="G1948" s="60"/>
      <c r="H1948" s="63"/>
      <c r="I1948" s="62"/>
      <c r="J1948" s="64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</row>
    <row r="1949">
      <c r="A1949" s="58"/>
      <c r="B1949" s="64"/>
      <c r="C1949" s="58"/>
      <c r="D1949" s="61"/>
      <c r="E1949" s="62"/>
      <c r="F1949" s="63"/>
      <c r="G1949" s="60"/>
      <c r="H1949" s="63"/>
      <c r="I1949" s="62"/>
      <c r="J1949" s="64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</row>
    <row r="1950">
      <c r="A1950" s="58"/>
      <c r="B1950" s="64"/>
      <c r="C1950" s="58"/>
      <c r="D1950" s="61"/>
      <c r="E1950" s="62"/>
      <c r="F1950" s="63"/>
      <c r="G1950" s="60"/>
      <c r="H1950" s="63"/>
      <c r="I1950" s="62"/>
      <c r="J1950" s="64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</row>
    <row r="1951">
      <c r="A1951" s="58"/>
      <c r="B1951" s="64"/>
      <c r="C1951" s="58"/>
      <c r="D1951" s="61"/>
      <c r="E1951" s="62"/>
      <c r="F1951" s="63"/>
      <c r="G1951" s="60"/>
      <c r="H1951" s="63"/>
      <c r="I1951" s="62"/>
      <c r="J1951" s="64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</row>
    <row r="1952">
      <c r="A1952" s="58"/>
      <c r="B1952" s="64"/>
      <c r="C1952" s="58"/>
      <c r="D1952" s="61"/>
      <c r="E1952" s="62"/>
      <c r="F1952" s="63"/>
      <c r="G1952" s="60"/>
      <c r="H1952" s="63"/>
      <c r="I1952" s="62"/>
      <c r="J1952" s="64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</row>
    <row r="1953">
      <c r="A1953" s="58"/>
      <c r="B1953" s="64"/>
      <c r="C1953" s="58"/>
      <c r="D1953" s="61"/>
      <c r="E1953" s="62"/>
      <c r="F1953" s="63"/>
      <c r="G1953" s="60"/>
      <c r="H1953" s="63"/>
      <c r="I1953" s="62"/>
      <c r="J1953" s="64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</row>
    <row r="1954">
      <c r="A1954" s="58"/>
      <c r="B1954" s="64"/>
      <c r="C1954" s="58"/>
      <c r="D1954" s="61"/>
      <c r="E1954" s="62"/>
      <c r="F1954" s="63"/>
      <c r="G1954" s="60"/>
      <c r="H1954" s="63"/>
      <c r="I1954" s="62"/>
      <c r="J1954" s="64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</row>
    <row r="1955">
      <c r="A1955" s="58"/>
      <c r="B1955" s="64"/>
      <c r="C1955" s="58"/>
      <c r="D1955" s="61"/>
      <c r="E1955" s="62"/>
      <c r="F1955" s="63"/>
      <c r="G1955" s="60"/>
      <c r="H1955" s="63"/>
      <c r="I1955" s="62"/>
      <c r="J1955" s="64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</row>
    <row r="1956">
      <c r="A1956" s="58"/>
      <c r="B1956" s="64"/>
      <c r="C1956" s="58"/>
      <c r="D1956" s="61"/>
      <c r="E1956" s="62"/>
      <c r="F1956" s="63"/>
      <c r="G1956" s="60"/>
      <c r="H1956" s="63"/>
      <c r="I1956" s="62"/>
      <c r="J1956" s="64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</row>
    <row r="1957">
      <c r="A1957" s="58"/>
      <c r="B1957" s="64"/>
      <c r="C1957" s="58"/>
      <c r="D1957" s="61"/>
      <c r="E1957" s="62"/>
      <c r="F1957" s="63"/>
      <c r="G1957" s="60"/>
      <c r="H1957" s="63"/>
      <c r="I1957" s="62"/>
      <c r="J1957" s="64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</row>
    <row r="1958">
      <c r="A1958" s="58"/>
      <c r="B1958" s="64"/>
      <c r="C1958" s="58"/>
      <c r="D1958" s="61"/>
      <c r="E1958" s="62"/>
      <c r="F1958" s="63"/>
      <c r="G1958" s="60"/>
      <c r="H1958" s="63"/>
      <c r="I1958" s="62"/>
      <c r="J1958" s="64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</row>
    <row r="1959">
      <c r="A1959" s="58"/>
      <c r="B1959" s="64"/>
      <c r="C1959" s="58"/>
      <c r="D1959" s="61"/>
      <c r="E1959" s="62"/>
      <c r="F1959" s="63"/>
      <c r="G1959" s="60"/>
      <c r="H1959" s="63"/>
      <c r="I1959" s="62"/>
      <c r="J1959" s="64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</row>
    <row r="1960">
      <c r="A1960" s="58"/>
      <c r="B1960" s="64"/>
      <c r="C1960" s="58"/>
      <c r="D1960" s="61"/>
      <c r="E1960" s="62"/>
      <c r="F1960" s="63"/>
      <c r="G1960" s="60"/>
      <c r="H1960" s="63"/>
      <c r="I1960" s="62"/>
      <c r="J1960" s="64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</row>
    <row r="1961">
      <c r="A1961" s="58"/>
      <c r="B1961" s="64"/>
      <c r="C1961" s="58"/>
      <c r="D1961" s="61"/>
      <c r="E1961" s="62"/>
      <c r="F1961" s="63"/>
      <c r="G1961" s="60"/>
      <c r="H1961" s="63"/>
      <c r="I1961" s="62"/>
      <c r="J1961" s="64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</row>
    <row r="1962">
      <c r="A1962" s="58"/>
      <c r="B1962" s="64"/>
      <c r="C1962" s="58"/>
      <c r="D1962" s="61"/>
      <c r="E1962" s="62"/>
      <c r="F1962" s="63"/>
      <c r="G1962" s="60"/>
      <c r="H1962" s="63"/>
      <c r="I1962" s="62"/>
      <c r="J1962" s="64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</row>
    <row r="1963">
      <c r="A1963" s="58"/>
      <c r="B1963" s="64"/>
      <c r="C1963" s="58"/>
      <c r="D1963" s="61"/>
      <c r="E1963" s="62"/>
      <c r="F1963" s="63"/>
      <c r="G1963" s="60"/>
      <c r="H1963" s="63"/>
      <c r="I1963" s="62"/>
      <c r="J1963" s="64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</row>
    <row r="1964">
      <c r="A1964" s="58"/>
      <c r="B1964" s="64"/>
      <c r="C1964" s="58"/>
      <c r="D1964" s="61"/>
      <c r="E1964" s="62"/>
      <c r="F1964" s="63"/>
      <c r="G1964" s="60"/>
      <c r="H1964" s="63"/>
      <c r="I1964" s="62"/>
      <c r="J1964" s="64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</row>
    <row r="1965">
      <c r="A1965" s="58"/>
      <c r="B1965" s="64"/>
      <c r="C1965" s="58"/>
      <c r="D1965" s="61"/>
      <c r="E1965" s="62"/>
      <c r="F1965" s="63"/>
      <c r="G1965" s="60"/>
      <c r="H1965" s="63"/>
      <c r="I1965" s="62"/>
      <c r="J1965" s="64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</row>
    <row r="1966">
      <c r="A1966" s="58"/>
      <c r="B1966" s="64"/>
      <c r="C1966" s="58"/>
      <c r="D1966" s="61"/>
      <c r="E1966" s="62"/>
      <c r="F1966" s="63"/>
      <c r="G1966" s="60"/>
      <c r="H1966" s="63"/>
      <c r="I1966" s="62"/>
      <c r="J1966" s="64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</row>
    <row r="1967">
      <c r="A1967" s="58"/>
      <c r="B1967" s="64"/>
      <c r="C1967" s="58"/>
      <c r="D1967" s="61"/>
      <c r="E1967" s="62"/>
      <c r="F1967" s="63"/>
      <c r="G1967" s="60"/>
      <c r="H1967" s="63"/>
      <c r="I1967" s="62"/>
      <c r="J1967" s="64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</row>
    <row r="1968">
      <c r="A1968" s="58"/>
      <c r="B1968" s="64"/>
      <c r="C1968" s="58"/>
      <c r="D1968" s="61"/>
      <c r="E1968" s="62"/>
      <c r="F1968" s="63"/>
      <c r="G1968" s="60"/>
      <c r="H1968" s="63"/>
      <c r="I1968" s="62"/>
      <c r="J1968" s="64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</row>
    <row r="1969">
      <c r="A1969" s="58"/>
      <c r="B1969" s="64"/>
      <c r="C1969" s="58"/>
      <c r="D1969" s="61"/>
      <c r="E1969" s="62"/>
      <c r="F1969" s="63"/>
      <c r="G1969" s="60"/>
      <c r="H1969" s="63"/>
      <c r="I1969" s="62"/>
      <c r="J1969" s="64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</row>
    <row r="1970">
      <c r="A1970" s="58"/>
      <c r="B1970" s="64"/>
      <c r="C1970" s="58"/>
      <c r="D1970" s="61"/>
      <c r="E1970" s="62"/>
      <c r="F1970" s="63"/>
      <c r="G1970" s="60"/>
      <c r="H1970" s="63"/>
      <c r="I1970" s="62"/>
      <c r="J1970" s="64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</row>
    <row r="1971">
      <c r="A1971" s="58"/>
      <c r="B1971" s="64"/>
      <c r="C1971" s="58"/>
      <c r="D1971" s="61"/>
      <c r="E1971" s="62"/>
      <c r="F1971" s="63"/>
      <c r="G1971" s="60"/>
      <c r="H1971" s="63"/>
      <c r="I1971" s="62"/>
      <c r="J1971" s="64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</row>
    <row r="1972">
      <c r="A1972" s="58"/>
      <c r="B1972" s="64"/>
      <c r="C1972" s="58"/>
      <c r="D1972" s="61"/>
      <c r="E1972" s="62"/>
      <c r="F1972" s="63"/>
      <c r="G1972" s="60"/>
      <c r="H1972" s="63"/>
      <c r="I1972" s="62"/>
      <c r="J1972" s="64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</row>
    <row r="1973">
      <c r="A1973" s="58"/>
      <c r="B1973" s="64"/>
      <c r="C1973" s="58"/>
      <c r="D1973" s="61"/>
      <c r="E1973" s="62"/>
      <c r="F1973" s="63"/>
      <c r="G1973" s="60"/>
      <c r="H1973" s="63"/>
      <c r="I1973" s="62"/>
      <c r="J1973" s="64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</row>
    <row r="1974">
      <c r="A1974" s="58"/>
      <c r="B1974" s="64"/>
      <c r="C1974" s="58"/>
      <c r="D1974" s="61"/>
      <c r="E1974" s="62"/>
      <c r="F1974" s="63"/>
      <c r="G1974" s="60"/>
      <c r="H1974" s="63"/>
      <c r="I1974" s="62"/>
      <c r="J1974" s="64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</row>
    <row r="1975">
      <c r="A1975" s="58"/>
      <c r="B1975" s="64"/>
      <c r="C1975" s="58"/>
      <c r="D1975" s="61"/>
      <c r="E1975" s="62"/>
      <c r="F1975" s="63"/>
      <c r="G1975" s="60"/>
      <c r="H1975" s="63"/>
      <c r="I1975" s="62"/>
      <c r="J1975" s="64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</row>
    <row r="1976">
      <c r="A1976" s="58"/>
      <c r="B1976" s="64"/>
      <c r="C1976" s="58"/>
      <c r="D1976" s="61"/>
      <c r="E1976" s="62"/>
      <c r="F1976" s="63"/>
      <c r="G1976" s="60"/>
      <c r="H1976" s="63"/>
      <c r="I1976" s="62"/>
      <c r="J1976" s="64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</row>
    <row r="1977">
      <c r="A1977" s="58"/>
      <c r="B1977" s="64"/>
      <c r="C1977" s="58"/>
      <c r="D1977" s="61"/>
      <c r="E1977" s="62"/>
      <c r="F1977" s="63"/>
      <c r="G1977" s="60"/>
      <c r="H1977" s="63"/>
      <c r="I1977" s="62"/>
      <c r="J1977" s="64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</row>
    <row r="1978">
      <c r="A1978" s="58"/>
      <c r="B1978" s="64"/>
      <c r="C1978" s="58"/>
      <c r="D1978" s="61"/>
      <c r="E1978" s="62"/>
      <c r="F1978" s="63"/>
      <c r="G1978" s="60"/>
      <c r="H1978" s="63"/>
      <c r="I1978" s="62"/>
      <c r="J1978" s="64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</row>
    <row r="1979">
      <c r="A1979" s="58"/>
      <c r="B1979" s="64"/>
      <c r="C1979" s="58"/>
      <c r="D1979" s="61"/>
      <c r="E1979" s="62"/>
      <c r="F1979" s="63"/>
      <c r="G1979" s="60"/>
      <c r="H1979" s="63"/>
      <c r="I1979" s="62"/>
      <c r="J1979" s="64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</row>
    <row r="1980">
      <c r="A1980" s="58"/>
      <c r="B1980" s="64"/>
      <c r="C1980" s="58"/>
      <c r="D1980" s="61"/>
      <c r="E1980" s="62"/>
      <c r="F1980" s="63"/>
      <c r="G1980" s="60"/>
      <c r="H1980" s="63"/>
      <c r="I1980" s="62"/>
      <c r="J1980" s="64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</row>
    <row r="1981">
      <c r="A1981" s="58"/>
      <c r="B1981" s="64"/>
      <c r="C1981" s="58"/>
      <c r="D1981" s="61"/>
      <c r="E1981" s="62"/>
      <c r="F1981" s="63"/>
      <c r="G1981" s="60"/>
      <c r="H1981" s="63"/>
      <c r="I1981" s="62"/>
      <c r="J1981" s="64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</row>
    <row r="1982">
      <c r="A1982" s="58"/>
      <c r="B1982" s="64"/>
      <c r="C1982" s="58"/>
      <c r="D1982" s="61"/>
      <c r="E1982" s="62"/>
      <c r="F1982" s="63"/>
      <c r="G1982" s="60"/>
      <c r="H1982" s="63"/>
      <c r="I1982" s="62"/>
      <c r="J1982" s="64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</row>
    <row r="1983">
      <c r="A1983" s="58"/>
      <c r="B1983" s="64"/>
      <c r="C1983" s="58"/>
      <c r="D1983" s="61"/>
      <c r="E1983" s="62"/>
      <c r="F1983" s="63"/>
      <c r="G1983" s="60"/>
      <c r="H1983" s="63"/>
      <c r="I1983" s="62"/>
      <c r="J1983" s="64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</row>
    <row r="1984">
      <c r="A1984" s="58"/>
      <c r="B1984" s="64"/>
      <c r="C1984" s="58"/>
      <c r="D1984" s="61"/>
      <c r="E1984" s="62"/>
      <c r="F1984" s="63"/>
      <c r="G1984" s="60"/>
      <c r="H1984" s="63"/>
      <c r="I1984" s="62"/>
      <c r="J1984" s="64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</row>
    <row r="1985">
      <c r="A1985" s="58"/>
      <c r="B1985" s="64"/>
      <c r="C1985" s="58"/>
      <c r="D1985" s="61"/>
      <c r="E1985" s="62"/>
      <c r="F1985" s="63"/>
      <c r="G1985" s="60"/>
      <c r="H1985" s="63"/>
      <c r="I1985" s="62"/>
      <c r="J1985" s="64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</row>
    <row r="1986">
      <c r="A1986" s="58"/>
      <c r="B1986" s="64"/>
      <c r="C1986" s="58"/>
      <c r="D1986" s="61"/>
      <c r="E1986" s="62"/>
      <c r="F1986" s="63"/>
      <c r="G1986" s="60"/>
      <c r="H1986" s="63"/>
      <c r="I1986" s="62"/>
      <c r="J1986" s="64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</row>
    <row r="1987">
      <c r="A1987" s="58"/>
      <c r="B1987" s="64"/>
      <c r="C1987" s="58"/>
      <c r="D1987" s="61"/>
      <c r="E1987" s="62"/>
      <c r="F1987" s="63"/>
      <c r="G1987" s="60"/>
      <c r="H1987" s="63"/>
      <c r="I1987" s="62"/>
      <c r="J1987" s="64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</row>
    <row r="1988">
      <c r="A1988" s="58"/>
      <c r="B1988" s="64"/>
      <c r="C1988" s="58"/>
      <c r="D1988" s="61"/>
      <c r="E1988" s="62"/>
      <c r="F1988" s="63"/>
      <c r="G1988" s="60"/>
      <c r="H1988" s="63"/>
      <c r="I1988" s="62"/>
      <c r="J1988" s="64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</row>
    <row r="1989">
      <c r="A1989" s="58"/>
      <c r="B1989" s="64"/>
      <c r="C1989" s="58"/>
      <c r="D1989" s="61"/>
      <c r="E1989" s="62"/>
      <c r="F1989" s="63"/>
      <c r="G1989" s="60"/>
      <c r="H1989" s="63"/>
      <c r="I1989" s="62"/>
      <c r="J1989" s="64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</row>
    <row r="1990">
      <c r="A1990" s="58"/>
      <c r="B1990" s="64"/>
      <c r="C1990" s="58"/>
      <c r="D1990" s="61"/>
      <c r="E1990" s="62"/>
      <c r="F1990" s="63"/>
      <c r="G1990" s="60"/>
      <c r="H1990" s="63"/>
      <c r="I1990" s="62"/>
      <c r="J1990" s="64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</row>
    <row r="1991">
      <c r="A1991" s="58"/>
      <c r="B1991" s="64"/>
      <c r="C1991" s="58"/>
      <c r="D1991" s="61"/>
      <c r="E1991" s="62"/>
      <c r="F1991" s="63"/>
      <c r="G1991" s="60"/>
      <c r="H1991" s="63"/>
      <c r="I1991" s="62"/>
      <c r="J1991" s="64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</row>
    <row r="1992">
      <c r="A1992" s="58"/>
      <c r="B1992" s="64"/>
      <c r="C1992" s="58"/>
      <c r="D1992" s="61"/>
      <c r="E1992" s="62"/>
      <c r="F1992" s="63"/>
      <c r="G1992" s="60"/>
      <c r="H1992" s="63"/>
      <c r="I1992" s="62"/>
      <c r="J1992" s="64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</row>
    <row r="1993">
      <c r="A1993" s="58"/>
      <c r="B1993" s="64"/>
      <c r="C1993" s="58"/>
      <c r="D1993" s="61"/>
      <c r="E1993" s="62"/>
      <c r="F1993" s="63"/>
      <c r="G1993" s="60"/>
      <c r="H1993" s="63"/>
      <c r="I1993" s="62"/>
      <c r="J1993" s="64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</row>
    <row r="1994">
      <c r="A1994" s="58"/>
      <c r="B1994" s="64"/>
      <c r="C1994" s="58"/>
      <c r="D1994" s="61"/>
      <c r="E1994" s="62"/>
      <c r="F1994" s="63"/>
      <c r="G1994" s="60"/>
      <c r="H1994" s="63"/>
      <c r="I1994" s="62"/>
      <c r="J1994" s="64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</row>
    <row r="1995">
      <c r="A1995" s="58"/>
      <c r="B1995" s="64"/>
      <c r="C1995" s="58"/>
      <c r="D1995" s="61"/>
      <c r="E1995" s="62"/>
      <c r="F1995" s="63"/>
      <c r="G1995" s="60"/>
      <c r="H1995" s="63"/>
      <c r="I1995" s="62"/>
      <c r="J1995" s="64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</row>
    <row r="1996">
      <c r="A1996" s="58"/>
      <c r="B1996" s="64"/>
      <c r="C1996" s="58"/>
      <c r="D1996" s="61"/>
      <c r="E1996" s="62"/>
      <c r="F1996" s="63"/>
      <c r="G1996" s="60"/>
      <c r="H1996" s="63"/>
      <c r="I1996" s="62"/>
      <c r="J1996" s="64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</row>
    <row r="1997">
      <c r="A1997" s="58"/>
      <c r="B1997" s="64"/>
      <c r="C1997" s="58"/>
      <c r="D1997" s="61"/>
      <c r="E1997" s="62"/>
      <c r="F1997" s="63"/>
      <c r="G1997" s="60"/>
      <c r="H1997" s="63"/>
      <c r="I1997" s="62"/>
      <c r="J1997" s="64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</row>
    <row r="1998">
      <c r="A1998" s="58"/>
      <c r="B1998" s="64"/>
      <c r="C1998" s="58"/>
      <c r="D1998" s="61"/>
      <c r="E1998" s="62"/>
      <c r="F1998" s="63"/>
      <c r="G1998" s="60"/>
      <c r="H1998" s="63"/>
      <c r="I1998" s="62"/>
      <c r="J1998" s="64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</row>
    <row r="1999">
      <c r="A1999" s="58"/>
      <c r="B1999" s="64"/>
      <c r="C1999" s="58"/>
      <c r="D1999" s="61"/>
      <c r="E1999" s="62"/>
      <c r="F1999" s="63"/>
      <c r="G1999" s="60"/>
      <c r="H1999" s="63"/>
      <c r="I1999" s="62"/>
      <c r="J1999" s="64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</row>
    <row r="2000">
      <c r="A2000" s="58"/>
      <c r="B2000" s="64"/>
      <c r="C2000" s="58"/>
      <c r="D2000" s="61"/>
      <c r="E2000" s="62"/>
      <c r="F2000" s="63"/>
      <c r="G2000" s="60"/>
      <c r="H2000" s="63"/>
      <c r="I2000" s="62"/>
      <c r="J2000" s="64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</row>
    <row r="2001">
      <c r="A2001" s="58"/>
      <c r="B2001" s="64"/>
      <c r="C2001" s="58"/>
      <c r="D2001" s="61"/>
      <c r="E2001" s="62"/>
      <c r="F2001" s="63"/>
      <c r="G2001" s="60"/>
      <c r="H2001" s="63"/>
      <c r="I2001" s="62"/>
      <c r="J2001" s="64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</row>
    <row r="2002">
      <c r="A2002" s="58"/>
      <c r="B2002" s="64"/>
      <c r="C2002" s="58"/>
      <c r="D2002" s="61"/>
      <c r="E2002" s="62"/>
      <c r="F2002" s="63"/>
      <c r="G2002" s="60"/>
      <c r="H2002" s="63"/>
      <c r="I2002" s="62"/>
      <c r="J2002" s="64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</row>
    <row r="2003">
      <c r="A2003" s="58"/>
      <c r="B2003" s="64"/>
      <c r="C2003" s="58"/>
      <c r="D2003" s="61"/>
      <c r="E2003" s="62"/>
      <c r="F2003" s="63"/>
      <c r="G2003" s="60"/>
      <c r="H2003" s="63"/>
      <c r="I2003" s="62"/>
      <c r="J2003" s="64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</row>
    <row r="2004">
      <c r="A2004" s="58"/>
      <c r="B2004" s="64"/>
      <c r="C2004" s="58"/>
      <c r="D2004" s="61"/>
      <c r="E2004" s="62"/>
      <c r="F2004" s="63"/>
      <c r="G2004" s="60"/>
      <c r="H2004" s="63"/>
      <c r="I2004" s="62"/>
      <c r="J2004" s="64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</row>
    <row r="2005">
      <c r="A2005" s="58"/>
      <c r="B2005" s="64"/>
      <c r="C2005" s="58"/>
      <c r="D2005" s="61"/>
      <c r="E2005" s="62"/>
      <c r="F2005" s="63"/>
      <c r="G2005" s="60"/>
      <c r="H2005" s="63"/>
      <c r="I2005" s="62"/>
      <c r="J2005" s="64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</row>
  </sheetData>
  <mergeCells count="574">
    <mergeCell ref="J1106:J1111"/>
    <mergeCell ref="J1112:J1117"/>
    <mergeCell ref="J1064:J1069"/>
    <mergeCell ref="J1070:J1075"/>
    <mergeCell ref="J1076:J1081"/>
    <mergeCell ref="J1082:J1087"/>
    <mergeCell ref="J1088:J1093"/>
    <mergeCell ref="J1094:J1099"/>
    <mergeCell ref="J1100:J1105"/>
    <mergeCell ref="J770:J775"/>
    <mergeCell ref="J776:J781"/>
    <mergeCell ref="J782:J787"/>
    <mergeCell ref="J788:J793"/>
    <mergeCell ref="J794:J799"/>
    <mergeCell ref="J800:J805"/>
    <mergeCell ref="J806:J811"/>
    <mergeCell ref="J812:J817"/>
    <mergeCell ref="J818:J823"/>
    <mergeCell ref="J824:J829"/>
    <mergeCell ref="J830:J835"/>
    <mergeCell ref="J836:J841"/>
    <mergeCell ref="J842:J847"/>
    <mergeCell ref="J848:J853"/>
    <mergeCell ref="J854:J859"/>
    <mergeCell ref="J860:J865"/>
    <mergeCell ref="J866:J871"/>
    <mergeCell ref="J872:J877"/>
    <mergeCell ref="J878:J883"/>
    <mergeCell ref="J884:J889"/>
    <mergeCell ref="J890:J895"/>
    <mergeCell ref="J896:J901"/>
    <mergeCell ref="J902:J907"/>
    <mergeCell ref="J908:J913"/>
    <mergeCell ref="J914:J919"/>
    <mergeCell ref="J920:J925"/>
    <mergeCell ref="J926:J931"/>
    <mergeCell ref="J932:J937"/>
    <mergeCell ref="J938:J943"/>
    <mergeCell ref="J944:J949"/>
    <mergeCell ref="J950:J955"/>
    <mergeCell ref="J956:J961"/>
    <mergeCell ref="J962:J967"/>
    <mergeCell ref="J968:J973"/>
    <mergeCell ref="J974:J979"/>
    <mergeCell ref="J980:J985"/>
    <mergeCell ref="J986:J991"/>
    <mergeCell ref="J992:J997"/>
    <mergeCell ref="J998:J1003"/>
    <mergeCell ref="J1004:J1009"/>
    <mergeCell ref="J1010:J1015"/>
    <mergeCell ref="J1016:J1021"/>
    <mergeCell ref="J1022:J1027"/>
    <mergeCell ref="J1028:J1033"/>
    <mergeCell ref="J1034:J1039"/>
    <mergeCell ref="J1040:J1045"/>
    <mergeCell ref="J1046:J1051"/>
    <mergeCell ref="J1052:J1057"/>
    <mergeCell ref="J1058:J1063"/>
    <mergeCell ref="B986:B991"/>
    <mergeCell ref="B992:B997"/>
    <mergeCell ref="B998:B1003"/>
    <mergeCell ref="B1004:B1009"/>
    <mergeCell ref="B1010:B1015"/>
    <mergeCell ref="B1016:B1021"/>
    <mergeCell ref="B1022:B1027"/>
    <mergeCell ref="B1028:B1033"/>
    <mergeCell ref="B1034:B1039"/>
    <mergeCell ref="B1040:B1045"/>
    <mergeCell ref="B1046:B1051"/>
    <mergeCell ref="B1052:B1057"/>
    <mergeCell ref="B1058:B1063"/>
    <mergeCell ref="B1064:B1069"/>
    <mergeCell ref="B1070:B1075"/>
    <mergeCell ref="B1076:B1081"/>
    <mergeCell ref="B1082:B1087"/>
    <mergeCell ref="B1088:B1093"/>
    <mergeCell ref="B1094:B1099"/>
    <mergeCell ref="B1100:B1105"/>
    <mergeCell ref="B1106:B1111"/>
    <mergeCell ref="B1112:B1117"/>
    <mergeCell ref="B1118:B1123"/>
    <mergeCell ref="B1124:B1129"/>
    <mergeCell ref="B1130:B1135"/>
    <mergeCell ref="B1136:B1141"/>
    <mergeCell ref="B1142:B1147"/>
    <mergeCell ref="B1148:B1153"/>
    <mergeCell ref="B1154:B1159"/>
    <mergeCell ref="B1160:B1165"/>
    <mergeCell ref="B1166:B1171"/>
    <mergeCell ref="B1172:B1177"/>
    <mergeCell ref="B1178:B1183"/>
    <mergeCell ref="B1184:B1189"/>
    <mergeCell ref="B1190:B1195"/>
    <mergeCell ref="B1196:B1201"/>
    <mergeCell ref="B1202:B1207"/>
    <mergeCell ref="B1208:B1213"/>
    <mergeCell ref="B1214:B1219"/>
    <mergeCell ref="B1220:B1225"/>
    <mergeCell ref="B1226:B1231"/>
    <mergeCell ref="B1232:B1237"/>
    <mergeCell ref="B1238:B1243"/>
    <mergeCell ref="B1244:B1249"/>
    <mergeCell ref="B1250:B1255"/>
    <mergeCell ref="B1256:B1261"/>
    <mergeCell ref="B1262:B1267"/>
    <mergeCell ref="B1268:B1273"/>
    <mergeCell ref="B1274:B1279"/>
    <mergeCell ref="B1574:B1579"/>
    <mergeCell ref="B1580:B1585"/>
    <mergeCell ref="B1586:B1591"/>
    <mergeCell ref="B1592:B1597"/>
    <mergeCell ref="B1598:B1603"/>
    <mergeCell ref="B1604:B1609"/>
    <mergeCell ref="B1610:B1615"/>
    <mergeCell ref="B1616:B1621"/>
    <mergeCell ref="B1622:B1627"/>
    <mergeCell ref="B1628:B1633"/>
    <mergeCell ref="B1634:B1639"/>
    <mergeCell ref="B1640:B1645"/>
    <mergeCell ref="B1646:B1651"/>
    <mergeCell ref="B1652:B1657"/>
    <mergeCell ref="B1700:B1705"/>
    <mergeCell ref="B1706:B1711"/>
    <mergeCell ref="B1712:B1717"/>
    <mergeCell ref="B1658:B1663"/>
    <mergeCell ref="B1664:B1669"/>
    <mergeCell ref="B1670:B1675"/>
    <mergeCell ref="B1676:B1681"/>
    <mergeCell ref="B1682:B1687"/>
    <mergeCell ref="B1688:B1693"/>
    <mergeCell ref="B1694:B1699"/>
    <mergeCell ref="B1280:B1285"/>
    <mergeCell ref="B1286:B1291"/>
    <mergeCell ref="B1292:B1297"/>
    <mergeCell ref="B1298:B1303"/>
    <mergeCell ref="B1304:B1309"/>
    <mergeCell ref="B1310:B1315"/>
    <mergeCell ref="B1316:B1321"/>
    <mergeCell ref="B1322:B1327"/>
    <mergeCell ref="B1328:B1333"/>
    <mergeCell ref="B1334:B1339"/>
    <mergeCell ref="B1340:B1345"/>
    <mergeCell ref="B1346:B1351"/>
    <mergeCell ref="B1352:B1357"/>
    <mergeCell ref="B1358:B1363"/>
    <mergeCell ref="B1364:B1369"/>
    <mergeCell ref="B1370:B1375"/>
    <mergeCell ref="B1376:B1381"/>
    <mergeCell ref="B1382:B1387"/>
    <mergeCell ref="B1388:B1393"/>
    <mergeCell ref="B1394:B1399"/>
    <mergeCell ref="B1400:B1405"/>
    <mergeCell ref="B1406:B1411"/>
    <mergeCell ref="B1412:B1417"/>
    <mergeCell ref="B1418:B1423"/>
    <mergeCell ref="B1424:B1429"/>
    <mergeCell ref="B1430:B1435"/>
    <mergeCell ref="B1436:B1441"/>
    <mergeCell ref="B1442:B1447"/>
    <mergeCell ref="B1448:B1453"/>
    <mergeCell ref="B1454:B1459"/>
    <mergeCell ref="B1460:B1465"/>
    <mergeCell ref="B1466:B1471"/>
    <mergeCell ref="B1472:B1477"/>
    <mergeCell ref="B1478:B1483"/>
    <mergeCell ref="B1484:B1489"/>
    <mergeCell ref="B1490:B1495"/>
    <mergeCell ref="B1496:B1501"/>
    <mergeCell ref="B1502:B1507"/>
    <mergeCell ref="B1508:B1513"/>
    <mergeCell ref="B1514:B1519"/>
    <mergeCell ref="B1520:B1525"/>
    <mergeCell ref="B1526:B1531"/>
    <mergeCell ref="B1532:B1537"/>
    <mergeCell ref="B1538:B1543"/>
    <mergeCell ref="B1544:B1549"/>
    <mergeCell ref="B1550:B1555"/>
    <mergeCell ref="B1556:B1561"/>
    <mergeCell ref="B1562:B1567"/>
    <mergeCell ref="B1568:B1573"/>
    <mergeCell ref="B2:B7"/>
    <mergeCell ref="J2:J7"/>
    <mergeCell ref="B8:B13"/>
    <mergeCell ref="J8:J13"/>
    <mergeCell ref="B14:B19"/>
    <mergeCell ref="J14:J19"/>
    <mergeCell ref="J20:J25"/>
    <mergeCell ref="B20:B25"/>
    <mergeCell ref="B26:B31"/>
    <mergeCell ref="B32:B37"/>
    <mergeCell ref="B38:B43"/>
    <mergeCell ref="B44:B49"/>
    <mergeCell ref="B50:B55"/>
    <mergeCell ref="B56:B61"/>
    <mergeCell ref="J26:J31"/>
    <mergeCell ref="J32:J37"/>
    <mergeCell ref="J38:J43"/>
    <mergeCell ref="J44:J49"/>
    <mergeCell ref="J50:J55"/>
    <mergeCell ref="J56:J61"/>
    <mergeCell ref="J62:J67"/>
    <mergeCell ref="J68:J73"/>
    <mergeCell ref="J74:J79"/>
    <mergeCell ref="J80:J85"/>
    <mergeCell ref="J86:J91"/>
    <mergeCell ref="J92:J97"/>
    <mergeCell ref="J98:J103"/>
    <mergeCell ref="K98:K103"/>
    <mergeCell ref="B62:B67"/>
    <mergeCell ref="B68:B73"/>
    <mergeCell ref="B74:B79"/>
    <mergeCell ref="B80:B85"/>
    <mergeCell ref="B86:B91"/>
    <mergeCell ref="B92:B97"/>
    <mergeCell ref="B98:B103"/>
    <mergeCell ref="J104:J109"/>
    <mergeCell ref="K104:K109"/>
    <mergeCell ref="J110:J115"/>
    <mergeCell ref="J116:J121"/>
    <mergeCell ref="J122:J127"/>
    <mergeCell ref="J128:J133"/>
    <mergeCell ref="J134:J139"/>
    <mergeCell ref="J140:J145"/>
    <mergeCell ref="J146:J151"/>
    <mergeCell ref="J152:J157"/>
    <mergeCell ref="J158:J163"/>
    <mergeCell ref="J164:J169"/>
    <mergeCell ref="J170:J175"/>
    <mergeCell ref="J176:J181"/>
    <mergeCell ref="B104:B109"/>
    <mergeCell ref="B110:B115"/>
    <mergeCell ref="B116:B121"/>
    <mergeCell ref="B122:B127"/>
    <mergeCell ref="B128:B133"/>
    <mergeCell ref="B134:B139"/>
    <mergeCell ref="B140:B145"/>
    <mergeCell ref="B146:B151"/>
    <mergeCell ref="B152:B157"/>
    <mergeCell ref="B158:B163"/>
    <mergeCell ref="B164:B169"/>
    <mergeCell ref="B170:B175"/>
    <mergeCell ref="B176:B181"/>
    <mergeCell ref="B182:B187"/>
    <mergeCell ref="B188:B193"/>
    <mergeCell ref="B194:B199"/>
    <mergeCell ref="B200:B205"/>
    <mergeCell ref="B206:B211"/>
    <mergeCell ref="B212:B217"/>
    <mergeCell ref="B218:B223"/>
    <mergeCell ref="B224:B229"/>
    <mergeCell ref="B230:B235"/>
    <mergeCell ref="B236:B241"/>
    <mergeCell ref="B242:B247"/>
    <mergeCell ref="B248:B253"/>
    <mergeCell ref="B254:B259"/>
    <mergeCell ref="B260:B265"/>
    <mergeCell ref="B266:B271"/>
    <mergeCell ref="B272:B277"/>
    <mergeCell ref="B278:B283"/>
    <mergeCell ref="B284:B289"/>
    <mergeCell ref="B290:B295"/>
    <mergeCell ref="B296:B301"/>
    <mergeCell ref="B302:B307"/>
    <mergeCell ref="B308:B313"/>
    <mergeCell ref="B314:B319"/>
    <mergeCell ref="B320:B325"/>
    <mergeCell ref="B326:B331"/>
    <mergeCell ref="B332:B337"/>
    <mergeCell ref="B338:B343"/>
    <mergeCell ref="B344:B349"/>
    <mergeCell ref="B350:B355"/>
    <mergeCell ref="B356:B361"/>
    <mergeCell ref="B362:B367"/>
    <mergeCell ref="B368:B373"/>
    <mergeCell ref="B374:B379"/>
    <mergeCell ref="B380:B385"/>
    <mergeCell ref="B386:B391"/>
    <mergeCell ref="B392:B397"/>
    <mergeCell ref="J182:J187"/>
    <mergeCell ref="J188:J193"/>
    <mergeCell ref="J194:J199"/>
    <mergeCell ref="J200:J205"/>
    <mergeCell ref="J206:J211"/>
    <mergeCell ref="J212:J217"/>
    <mergeCell ref="J218:J223"/>
    <mergeCell ref="J224:J229"/>
    <mergeCell ref="J230:J235"/>
    <mergeCell ref="J236:J241"/>
    <mergeCell ref="J242:J247"/>
    <mergeCell ref="J248:J253"/>
    <mergeCell ref="J254:J259"/>
    <mergeCell ref="J260:J265"/>
    <mergeCell ref="J266:J271"/>
    <mergeCell ref="J272:J277"/>
    <mergeCell ref="J278:J283"/>
    <mergeCell ref="J284:J289"/>
    <mergeCell ref="J290:J295"/>
    <mergeCell ref="J296:J301"/>
    <mergeCell ref="J302:J307"/>
    <mergeCell ref="J308:J313"/>
    <mergeCell ref="J314:J319"/>
    <mergeCell ref="J320:J325"/>
    <mergeCell ref="J326:J331"/>
    <mergeCell ref="J332:J337"/>
    <mergeCell ref="J338:J343"/>
    <mergeCell ref="J344:J349"/>
    <mergeCell ref="J350:J355"/>
    <mergeCell ref="J356:J361"/>
    <mergeCell ref="J362:J367"/>
    <mergeCell ref="J368:J373"/>
    <mergeCell ref="J374:J379"/>
    <mergeCell ref="J380:J385"/>
    <mergeCell ref="J386:J391"/>
    <mergeCell ref="J392:J397"/>
    <mergeCell ref="J398:J403"/>
    <mergeCell ref="J404:J409"/>
    <mergeCell ref="J410:J415"/>
    <mergeCell ref="J416:J421"/>
    <mergeCell ref="J422:J427"/>
    <mergeCell ref="J428:J433"/>
    <mergeCell ref="J434:J439"/>
    <mergeCell ref="J440:J445"/>
    <mergeCell ref="J446:J451"/>
    <mergeCell ref="J452:J457"/>
    <mergeCell ref="J458:J463"/>
    <mergeCell ref="J464:J469"/>
    <mergeCell ref="J470:J475"/>
    <mergeCell ref="B398:B403"/>
    <mergeCell ref="B404:B409"/>
    <mergeCell ref="B410:B415"/>
    <mergeCell ref="B416:B421"/>
    <mergeCell ref="B422:B427"/>
    <mergeCell ref="B428:B433"/>
    <mergeCell ref="B434:B439"/>
    <mergeCell ref="B440:B445"/>
    <mergeCell ref="B446:B451"/>
    <mergeCell ref="B452:B457"/>
    <mergeCell ref="B458:B463"/>
    <mergeCell ref="B464:B469"/>
    <mergeCell ref="B470:B475"/>
    <mergeCell ref="B476:B481"/>
    <mergeCell ref="B482:B487"/>
    <mergeCell ref="B488:B493"/>
    <mergeCell ref="B494:B499"/>
    <mergeCell ref="B500:B505"/>
    <mergeCell ref="B506:B511"/>
    <mergeCell ref="B512:B517"/>
    <mergeCell ref="B518:B523"/>
    <mergeCell ref="B524:B529"/>
    <mergeCell ref="B530:B535"/>
    <mergeCell ref="B536:B541"/>
    <mergeCell ref="B542:B547"/>
    <mergeCell ref="B548:B553"/>
    <mergeCell ref="B554:B559"/>
    <mergeCell ref="B560:B565"/>
    <mergeCell ref="B566:B571"/>
    <mergeCell ref="B572:B577"/>
    <mergeCell ref="B578:B583"/>
    <mergeCell ref="B584:B589"/>
    <mergeCell ref="B590:B595"/>
    <mergeCell ref="B596:B601"/>
    <mergeCell ref="B602:B607"/>
    <mergeCell ref="B608:B613"/>
    <mergeCell ref="B614:B619"/>
    <mergeCell ref="B620:B625"/>
    <mergeCell ref="B626:B631"/>
    <mergeCell ref="B632:B637"/>
    <mergeCell ref="B638:B643"/>
    <mergeCell ref="B644:B649"/>
    <mergeCell ref="B650:B655"/>
    <mergeCell ref="B656:B661"/>
    <mergeCell ref="B662:B667"/>
    <mergeCell ref="B668:B673"/>
    <mergeCell ref="B674:B679"/>
    <mergeCell ref="B680:B685"/>
    <mergeCell ref="B686:B691"/>
    <mergeCell ref="B692:B697"/>
    <mergeCell ref="B698:B703"/>
    <mergeCell ref="B704:B709"/>
    <mergeCell ref="B710:B715"/>
    <mergeCell ref="B716:B721"/>
    <mergeCell ref="B722:B727"/>
    <mergeCell ref="B728:B733"/>
    <mergeCell ref="B734:B739"/>
    <mergeCell ref="B740:B745"/>
    <mergeCell ref="B746:B751"/>
    <mergeCell ref="B752:B757"/>
    <mergeCell ref="B758:B763"/>
    <mergeCell ref="B764:B769"/>
    <mergeCell ref="B770:B775"/>
    <mergeCell ref="B776:B781"/>
    <mergeCell ref="B782:B787"/>
    <mergeCell ref="B788:B793"/>
    <mergeCell ref="B794:B799"/>
    <mergeCell ref="B800:B805"/>
    <mergeCell ref="B806:B811"/>
    <mergeCell ref="B812:B817"/>
    <mergeCell ref="B818:B823"/>
    <mergeCell ref="B824:B829"/>
    <mergeCell ref="B830:B835"/>
    <mergeCell ref="B836:B841"/>
    <mergeCell ref="B842:B847"/>
    <mergeCell ref="B848:B853"/>
    <mergeCell ref="B854:B859"/>
    <mergeCell ref="B860:B865"/>
    <mergeCell ref="B866:B871"/>
    <mergeCell ref="B872:B877"/>
    <mergeCell ref="B878:B883"/>
    <mergeCell ref="B884:B889"/>
    <mergeCell ref="B890:B895"/>
    <mergeCell ref="B896:B901"/>
    <mergeCell ref="B902:B907"/>
    <mergeCell ref="B908:B913"/>
    <mergeCell ref="B914:B919"/>
    <mergeCell ref="B920:B925"/>
    <mergeCell ref="B926:B931"/>
    <mergeCell ref="B932:B937"/>
    <mergeCell ref="B938:B943"/>
    <mergeCell ref="B944:B949"/>
    <mergeCell ref="B950:B955"/>
    <mergeCell ref="B956:B961"/>
    <mergeCell ref="B962:B967"/>
    <mergeCell ref="B968:B973"/>
    <mergeCell ref="B974:B979"/>
    <mergeCell ref="B980:B985"/>
    <mergeCell ref="J476:J481"/>
    <mergeCell ref="J482:J487"/>
    <mergeCell ref="J488:J493"/>
    <mergeCell ref="J494:J499"/>
    <mergeCell ref="J500:J505"/>
    <mergeCell ref="J506:J511"/>
    <mergeCell ref="J512:J517"/>
    <mergeCell ref="J518:J523"/>
    <mergeCell ref="J524:J529"/>
    <mergeCell ref="J530:J535"/>
    <mergeCell ref="J536:J541"/>
    <mergeCell ref="J542:J547"/>
    <mergeCell ref="J548:J553"/>
    <mergeCell ref="J554:J559"/>
    <mergeCell ref="J560:J565"/>
    <mergeCell ref="J566:J571"/>
    <mergeCell ref="J572:J577"/>
    <mergeCell ref="J578:J583"/>
    <mergeCell ref="J584:J589"/>
    <mergeCell ref="J590:J595"/>
    <mergeCell ref="J596:J601"/>
    <mergeCell ref="J602:J607"/>
    <mergeCell ref="J608:J613"/>
    <mergeCell ref="J614:J619"/>
    <mergeCell ref="J620:J625"/>
    <mergeCell ref="J626:J631"/>
    <mergeCell ref="J632:J637"/>
    <mergeCell ref="J638:J643"/>
    <mergeCell ref="J644:J649"/>
    <mergeCell ref="J650:J655"/>
    <mergeCell ref="J656:J661"/>
    <mergeCell ref="J662:J667"/>
    <mergeCell ref="J668:J673"/>
    <mergeCell ref="J674:J679"/>
    <mergeCell ref="J680:J685"/>
    <mergeCell ref="J686:J691"/>
    <mergeCell ref="J692:J697"/>
    <mergeCell ref="J698:J703"/>
    <mergeCell ref="J704:J709"/>
    <mergeCell ref="J710:J715"/>
    <mergeCell ref="J716:J721"/>
    <mergeCell ref="J722:J727"/>
    <mergeCell ref="J728:J733"/>
    <mergeCell ref="J734:J739"/>
    <mergeCell ref="J740:J745"/>
    <mergeCell ref="J746:J751"/>
    <mergeCell ref="J752:J757"/>
    <mergeCell ref="J758:J763"/>
    <mergeCell ref="J764:J769"/>
    <mergeCell ref="J1412:J1417"/>
    <mergeCell ref="J1418:J1423"/>
    <mergeCell ref="J1424:J1429"/>
    <mergeCell ref="J1430:J1435"/>
    <mergeCell ref="J1436:J1441"/>
    <mergeCell ref="J1442:J1447"/>
    <mergeCell ref="J1448:J1453"/>
    <mergeCell ref="J1454:J1459"/>
    <mergeCell ref="J1460:J1465"/>
    <mergeCell ref="J1466:J1471"/>
    <mergeCell ref="J1472:J1477"/>
    <mergeCell ref="J1478:J1483"/>
    <mergeCell ref="J1484:J1489"/>
    <mergeCell ref="J1490:J1495"/>
    <mergeCell ref="J1496:J1501"/>
    <mergeCell ref="J1502:J1507"/>
    <mergeCell ref="J1508:J1513"/>
    <mergeCell ref="J1514:J1519"/>
    <mergeCell ref="J1520:J1525"/>
    <mergeCell ref="J1526:J1531"/>
    <mergeCell ref="J1532:J1537"/>
    <mergeCell ref="J1538:J1543"/>
    <mergeCell ref="J1544:J1549"/>
    <mergeCell ref="J1550:J1555"/>
    <mergeCell ref="J1556:J1561"/>
    <mergeCell ref="J1562:J1567"/>
    <mergeCell ref="J1568:J1573"/>
    <mergeCell ref="J1574:J1579"/>
    <mergeCell ref="J1580:J1585"/>
    <mergeCell ref="J1586:J1591"/>
    <mergeCell ref="J1592:J1597"/>
    <mergeCell ref="J1598:J1603"/>
    <mergeCell ref="J1604:J1609"/>
    <mergeCell ref="J1610:J1615"/>
    <mergeCell ref="J1616:J1621"/>
    <mergeCell ref="J1622:J1627"/>
    <mergeCell ref="J1628:J1633"/>
    <mergeCell ref="J1634:J1639"/>
    <mergeCell ref="J1640:J1645"/>
    <mergeCell ref="J1646:J1651"/>
    <mergeCell ref="J1652:J1657"/>
    <mergeCell ref="J1658:J1663"/>
    <mergeCell ref="J1706:J1711"/>
    <mergeCell ref="J1712:J1717"/>
    <mergeCell ref="J1664:J1669"/>
    <mergeCell ref="J1670:J1675"/>
    <mergeCell ref="J1676:J1681"/>
    <mergeCell ref="J1682:J1687"/>
    <mergeCell ref="J1688:J1693"/>
    <mergeCell ref="J1694:J1699"/>
    <mergeCell ref="J1700:J1705"/>
    <mergeCell ref="J1118:J1123"/>
    <mergeCell ref="J1124:J1129"/>
    <mergeCell ref="J1130:J1135"/>
    <mergeCell ref="J1136:J1141"/>
    <mergeCell ref="J1142:J1147"/>
    <mergeCell ref="J1148:J1153"/>
    <mergeCell ref="J1154:J1159"/>
    <mergeCell ref="J1160:J1165"/>
    <mergeCell ref="J1166:J1171"/>
    <mergeCell ref="J1172:J1177"/>
    <mergeCell ref="J1178:J1183"/>
    <mergeCell ref="J1184:J1189"/>
    <mergeCell ref="J1190:J1195"/>
    <mergeCell ref="J1196:J1201"/>
    <mergeCell ref="J1202:J1207"/>
    <mergeCell ref="J1208:J1213"/>
    <mergeCell ref="J1214:J1219"/>
    <mergeCell ref="J1220:J1225"/>
    <mergeCell ref="J1226:J1231"/>
    <mergeCell ref="J1232:J1237"/>
    <mergeCell ref="J1238:J1243"/>
    <mergeCell ref="J1244:J1249"/>
    <mergeCell ref="J1250:J1255"/>
    <mergeCell ref="J1256:J1261"/>
    <mergeCell ref="J1262:J1267"/>
    <mergeCell ref="J1268:J1273"/>
    <mergeCell ref="J1274:J1279"/>
    <mergeCell ref="J1280:J1285"/>
    <mergeCell ref="J1286:J1291"/>
    <mergeCell ref="J1292:J1297"/>
    <mergeCell ref="J1298:J1303"/>
    <mergeCell ref="J1304:J1309"/>
    <mergeCell ref="J1310:J1315"/>
    <mergeCell ref="J1316:J1321"/>
    <mergeCell ref="J1322:J1327"/>
    <mergeCell ref="J1328:J1333"/>
    <mergeCell ref="J1334:J1339"/>
    <mergeCell ref="J1340:J1345"/>
    <mergeCell ref="J1346:J1351"/>
    <mergeCell ref="J1352:J1357"/>
    <mergeCell ref="J1358:J1363"/>
    <mergeCell ref="J1364:J1369"/>
    <mergeCell ref="J1370:J1375"/>
    <mergeCell ref="J1376:J1381"/>
    <mergeCell ref="J1382:J1387"/>
    <mergeCell ref="J1388:J1393"/>
    <mergeCell ref="J1394:J1399"/>
    <mergeCell ref="J1400:J1405"/>
    <mergeCell ref="J1406:J1411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0.75"/>
    <col customWidth="1" min="3" max="3" width="10.88"/>
    <col customWidth="1" min="4" max="4" width="16.38"/>
    <col customWidth="1" min="5" max="5" width="13.0"/>
    <col customWidth="1" min="6" max="6" width="164.75"/>
  </cols>
  <sheetData>
    <row r="1">
      <c r="A1" s="10" t="s">
        <v>8</v>
      </c>
      <c r="B1" s="10" t="s">
        <v>9</v>
      </c>
      <c r="C1" s="10" t="s">
        <v>10</v>
      </c>
      <c r="D1" s="10" t="s">
        <v>11</v>
      </c>
      <c r="E1" s="12" t="s">
        <v>12</v>
      </c>
      <c r="F1" s="13" t="s">
        <v>14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19</v>
      </c>
      <c r="B2" s="15" t="s">
        <v>21</v>
      </c>
      <c r="C2" s="15" t="s">
        <v>22</v>
      </c>
      <c r="D2" s="15">
        <v>8.524862209E9</v>
      </c>
      <c r="E2" s="15" t="s">
        <v>23</v>
      </c>
      <c r="F2" s="15" t="s">
        <v>25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28</v>
      </c>
      <c r="B3" s="15" t="s">
        <v>29</v>
      </c>
      <c r="C3" s="15" t="s">
        <v>22</v>
      </c>
      <c r="D3" s="15">
        <v>9.787120076E9</v>
      </c>
      <c r="E3" s="15" t="s">
        <v>31</v>
      </c>
      <c r="F3" s="15" t="s">
        <v>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37</v>
      </c>
      <c r="B4" s="15" t="s">
        <v>38</v>
      </c>
      <c r="C4" s="15" t="s">
        <v>22</v>
      </c>
      <c r="D4" s="15">
        <v>9.025114083E9</v>
      </c>
      <c r="E4" s="15" t="s">
        <v>31</v>
      </c>
      <c r="F4" s="15" t="s">
        <v>40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43</v>
      </c>
      <c r="B5" s="15" t="s">
        <v>44</v>
      </c>
      <c r="C5" s="15" t="s">
        <v>22</v>
      </c>
      <c r="D5" s="15">
        <v>8.072898657E9</v>
      </c>
      <c r="E5" s="15" t="s">
        <v>31</v>
      </c>
      <c r="F5" s="15" t="s">
        <v>45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 t="s">
        <v>19</v>
      </c>
      <c r="B6" s="15" t="s">
        <v>21</v>
      </c>
      <c r="C6" s="15" t="s">
        <v>22</v>
      </c>
      <c r="D6" s="15">
        <v>8.524862209E9</v>
      </c>
      <c r="E6" s="15" t="s">
        <v>23</v>
      </c>
      <c r="F6" s="15" t="s">
        <v>32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 t="s">
        <v>47</v>
      </c>
      <c r="B7" s="15" t="s">
        <v>29</v>
      </c>
      <c r="C7" s="15" t="s">
        <v>22</v>
      </c>
      <c r="D7" s="15">
        <v>9.787120076E9</v>
      </c>
      <c r="E7" s="15" t="s">
        <v>31</v>
      </c>
      <c r="F7" s="15" t="s">
        <v>32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 t="s">
        <v>50</v>
      </c>
      <c r="B8" s="15" t="s">
        <v>51</v>
      </c>
      <c r="C8" s="15" t="s">
        <v>22</v>
      </c>
      <c r="D8" s="15">
        <v>8.87014672E9</v>
      </c>
      <c r="E8" s="15" t="s">
        <v>31</v>
      </c>
      <c r="F8" s="15" t="s">
        <v>45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55</v>
      </c>
      <c r="B9" s="15" t="s">
        <v>56</v>
      </c>
      <c r="C9" s="15" t="s">
        <v>22</v>
      </c>
      <c r="D9" s="15">
        <v>9.025303285E9</v>
      </c>
      <c r="E9" s="15" t="s">
        <v>31</v>
      </c>
      <c r="F9" s="15" t="s">
        <v>57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 t="s">
        <v>61</v>
      </c>
      <c r="B10" s="15" t="s">
        <v>62</v>
      </c>
      <c r="C10" s="15" t="s">
        <v>22</v>
      </c>
      <c r="D10" s="15">
        <v>8.83810202E9</v>
      </c>
      <c r="E10" s="15" t="s">
        <v>31</v>
      </c>
      <c r="F10" s="15" t="s">
        <v>64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 t="s">
        <v>66</v>
      </c>
      <c r="B11" s="15" t="s">
        <v>68</v>
      </c>
      <c r="C11" s="15" t="s">
        <v>69</v>
      </c>
      <c r="D11" s="15">
        <v>7.871736516E9</v>
      </c>
      <c r="E11" s="15" t="s">
        <v>23</v>
      </c>
      <c r="F11" s="15" t="s">
        <v>70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 t="s">
        <v>72</v>
      </c>
      <c r="B12" s="15" t="s">
        <v>73</v>
      </c>
      <c r="C12" s="15" t="s">
        <v>69</v>
      </c>
      <c r="D12" s="15">
        <v>8.438497339E9</v>
      </c>
      <c r="E12" s="15" t="s">
        <v>31</v>
      </c>
      <c r="F12" s="15" t="s">
        <v>74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 t="s">
        <v>76</v>
      </c>
      <c r="B13" s="15" t="s">
        <v>77</v>
      </c>
      <c r="C13" s="15" t="s">
        <v>78</v>
      </c>
      <c r="D13" s="15" t="s">
        <v>79</v>
      </c>
      <c r="E13" s="15" t="s">
        <v>23</v>
      </c>
      <c r="F13" s="15" t="s">
        <v>81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 t="s">
        <v>83</v>
      </c>
      <c r="B14" s="15" t="s">
        <v>84</v>
      </c>
      <c r="C14" s="15" t="s">
        <v>78</v>
      </c>
      <c r="D14" s="15">
        <v>6.374788857E9</v>
      </c>
      <c r="E14" s="15" t="s">
        <v>23</v>
      </c>
      <c r="F14" s="21" t="s">
        <v>85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 t="s">
        <v>88</v>
      </c>
      <c r="B15" s="15" t="s">
        <v>90</v>
      </c>
      <c r="C15" s="15" t="s">
        <v>78</v>
      </c>
      <c r="D15" s="15" t="s">
        <v>91</v>
      </c>
      <c r="E15" s="15" t="s">
        <v>31</v>
      </c>
      <c r="F15" s="15" t="s">
        <v>93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 t="s">
        <v>95</v>
      </c>
      <c r="B16" s="15" t="s">
        <v>96</v>
      </c>
      <c r="C16" s="15" t="s">
        <v>78</v>
      </c>
      <c r="D16" s="15">
        <v>7.708805902E9</v>
      </c>
      <c r="E16" s="15" t="s">
        <v>31</v>
      </c>
      <c r="F16" s="15" t="s">
        <v>97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 t="s">
        <v>100</v>
      </c>
      <c r="B17" s="15" t="s">
        <v>101</v>
      </c>
      <c r="C17" s="15" t="s">
        <v>78</v>
      </c>
      <c r="D17" s="15">
        <v>9.019938209E9</v>
      </c>
      <c r="E17" s="15" t="s">
        <v>23</v>
      </c>
      <c r="F17" s="15" t="s">
        <v>70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 t="s">
        <v>102</v>
      </c>
      <c r="B18" s="15" t="s">
        <v>104</v>
      </c>
      <c r="C18" s="15" t="s">
        <v>78</v>
      </c>
      <c r="D18" s="15">
        <v>7.904469199E9</v>
      </c>
      <c r="E18" s="15" t="s">
        <v>23</v>
      </c>
      <c r="F18" s="15" t="s">
        <v>105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 t="s">
        <v>108</v>
      </c>
      <c r="B19" s="15" t="s">
        <v>110</v>
      </c>
      <c r="C19" s="15" t="s">
        <v>78</v>
      </c>
      <c r="D19" s="15">
        <v>8.015708733E9</v>
      </c>
      <c r="E19" s="15" t="s">
        <v>31</v>
      </c>
      <c r="F19" s="21" t="s">
        <v>112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 t="s">
        <v>118</v>
      </c>
      <c r="B20" s="15" t="s">
        <v>119</v>
      </c>
      <c r="C20" s="15" t="s">
        <v>78</v>
      </c>
      <c r="D20" s="15">
        <v>7.200584652E9</v>
      </c>
      <c r="E20" s="15" t="s">
        <v>31</v>
      </c>
      <c r="F20" s="15" t="s">
        <v>120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 t="s">
        <v>122</v>
      </c>
      <c r="B21" s="15" t="s">
        <v>123</v>
      </c>
      <c r="C21" s="15" t="s">
        <v>78</v>
      </c>
      <c r="D21" s="15">
        <v>9.38438968E9</v>
      </c>
      <c r="E21" s="15" t="s">
        <v>23</v>
      </c>
      <c r="F21" s="15" t="s">
        <v>125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 t="s">
        <v>127</v>
      </c>
      <c r="B22" s="15" t="s">
        <v>128</v>
      </c>
      <c r="C22" s="15" t="s">
        <v>78</v>
      </c>
      <c r="D22" s="15">
        <v>9.99477932E9</v>
      </c>
      <c r="E22" s="15" t="s">
        <v>23</v>
      </c>
      <c r="F22" s="15" t="s">
        <v>130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7" t="s">
        <v>132</v>
      </c>
      <c r="B23" s="26" t="s">
        <v>133</v>
      </c>
      <c r="C23" s="26" t="s">
        <v>94</v>
      </c>
      <c r="D23" s="26">
        <v>7.873737353E9</v>
      </c>
      <c r="E23" s="26" t="s">
        <v>31</v>
      </c>
      <c r="F23" s="26" t="s">
        <v>135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 t="s">
        <v>136</v>
      </c>
      <c r="B24" s="15" t="s">
        <v>137</v>
      </c>
      <c r="C24" s="15" t="s">
        <v>94</v>
      </c>
      <c r="D24" s="15">
        <v>8.680008969E9</v>
      </c>
      <c r="E24" s="15" t="s">
        <v>31</v>
      </c>
      <c r="F24" s="15" t="s">
        <v>139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 t="s">
        <v>142</v>
      </c>
      <c r="B25" s="15" t="s">
        <v>143</v>
      </c>
      <c r="C25" s="15" t="s">
        <v>94</v>
      </c>
      <c r="D25" s="15">
        <v>9.384481724E9</v>
      </c>
      <c r="E25" s="15" t="s">
        <v>31</v>
      </c>
      <c r="F25" s="15" t="s">
        <v>144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 t="s">
        <v>146</v>
      </c>
      <c r="B26" s="15" t="s">
        <v>147</v>
      </c>
      <c r="C26" s="15" t="s">
        <v>94</v>
      </c>
      <c r="D26" s="15">
        <v>9.486682048E9</v>
      </c>
      <c r="E26" s="15" t="s">
        <v>31</v>
      </c>
      <c r="F26" s="15" t="s">
        <v>149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 t="s">
        <v>150</v>
      </c>
      <c r="B27" s="15" t="s">
        <v>151</v>
      </c>
      <c r="C27" s="15" t="s">
        <v>94</v>
      </c>
      <c r="D27" s="15">
        <v>6.374548131E9</v>
      </c>
      <c r="E27" s="15" t="s">
        <v>31</v>
      </c>
      <c r="F27" s="21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 t="s">
        <v>154</v>
      </c>
      <c r="B28" s="15" t="s">
        <v>155</v>
      </c>
      <c r="C28" s="15" t="s">
        <v>94</v>
      </c>
      <c r="D28" s="15">
        <v>9.626023872E9</v>
      </c>
      <c r="E28" s="15" t="s">
        <v>31</v>
      </c>
      <c r="F28" s="15" t="s">
        <v>149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 t="s">
        <v>157</v>
      </c>
      <c r="B29" s="15" t="s">
        <v>158</v>
      </c>
      <c r="C29" s="15" t="s">
        <v>94</v>
      </c>
      <c r="D29" s="15">
        <v>8.87092866E9</v>
      </c>
      <c r="E29" s="15" t="s">
        <v>31</v>
      </c>
      <c r="F29" s="15" t="s">
        <v>159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6" t="s">
        <v>161</v>
      </c>
      <c r="B30" s="26" t="s">
        <v>162</v>
      </c>
      <c r="C30" s="26" t="s">
        <v>94</v>
      </c>
      <c r="D30" s="26" t="s">
        <v>163</v>
      </c>
      <c r="E30" s="26" t="s">
        <v>23</v>
      </c>
      <c r="F30" s="26" t="s">
        <v>165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 t="s">
        <v>166</v>
      </c>
      <c r="B31" s="15" t="s">
        <v>167</v>
      </c>
      <c r="C31" s="15" t="s">
        <v>94</v>
      </c>
      <c r="D31" s="15">
        <v>8.903450031E9</v>
      </c>
      <c r="E31" s="15" t="s">
        <v>31</v>
      </c>
      <c r="F31" s="15" t="s">
        <v>85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 t="s">
        <v>170</v>
      </c>
      <c r="B32" s="15" t="s">
        <v>171</v>
      </c>
      <c r="C32" s="15" t="s">
        <v>94</v>
      </c>
      <c r="D32" s="15" t="s">
        <v>172</v>
      </c>
      <c r="E32" s="15" t="s">
        <v>89</v>
      </c>
      <c r="F32" s="15" t="s">
        <v>173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 t="s">
        <v>175</v>
      </c>
      <c r="B33" s="15" t="s">
        <v>176</v>
      </c>
      <c r="C33" s="15" t="s">
        <v>94</v>
      </c>
      <c r="D33" s="15">
        <v>9.363058606E9</v>
      </c>
      <c r="E33" s="15" t="s">
        <v>31</v>
      </c>
      <c r="F33" s="15" t="s">
        <v>97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5" t="s">
        <v>179</v>
      </c>
      <c r="B34" s="15" t="s">
        <v>180</v>
      </c>
      <c r="C34" s="15" t="s">
        <v>94</v>
      </c>
      <c r="D34" s="15">
        <v>6.38207742E9</v>
      </c>
      <c r="E34" s="15" t="s">
        <v>31</v>
      </c>
      <c r="F34" s="15" t="s">
        <v>182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1" t="s">
        <v>184</v>
      </c>
      <c r="B35" s="15" t="s">
        <v>185</v>
      </c>
      <c r="C35" s="15" t="s">
        <v>94</v>
      </c>
      <c r="D35" s="15">
        <v>6.369303183E9</v>
      </c>
      <c r="E35" s="15" t="s">
        <v>31</v>
      </c>
      <c r="F35" s="15" t="s">
        <v>85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5" t="s">
        <v>186</v>
      </c>
      <c r="B36" s="15" t="s">
        <v>187</v>
      </c>
      <c r="C36" s="15" t="s">
        <v>94</v>
      </c>
      <c r="D36" s="15">
        <v>8.248894369E9</v>
      </c>
      <c r="E36" s="15" t="s">
        <v>31</v>
      </c>
      <c r="F36" s="15" t="s">
        <v>85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5" t="s">
        <v>189</v>
      </c>
      <c r="B37" s="15" t="s">
        <v>191</v>
      </c>
      <c r="C37" s="15" t="s">
        <v>94</v>
      </c>
      <c r="D37" s="15">
        <v>9.67755859E9</v>
      </c>
      <c r="E37" s="15" t="s">
        <v>23</v>
      </c>
      <c r="F37" s="15" t="s">
        <v>192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5" t="s">
        <v>196</v>
      </c>
      <c r="B38" s="15" t="s">
        <v>197</v>
      </c>
      <c r="C38" s="15" t="s">
        <v>94</v>
      </c>
      <c r="D38" s="15">
        <v>9.842208406E9</v>
      </c>
      <c r="E38" s="15" t="s">
        <v>31</v>
      </c>
      <c r="F38" s="15" t="s">
        <v>198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5" t="s">
        <v>199</v>
      </c>
      <c r="B39" s="15" t="s">
        <v>200</v>
      </c>
      <c r="C39" s="15" t="s">
        <v>94</v>
      </c>
      <c r="D39" s="15" t="s">
        <v>172</v>
      </c>
      <c r="E39" s="15" t="s">
        <v>89</v>
      </c>
      <c r="F39" s="15" t="s">
        <v>201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5" t="s">
        <v>203</v>
      </c>
      <c r="B40" s="15" t="s">
        <v>204</v>
      </c>
      <c r="C40" s="15" t="s">
        <v>94</v>
      </c>
      <c r="D40" s="15">
        <v>6.379341807E9</v>
      </c>
      <c r="E40" s="15" t="s">
        <v>23</v>
      </c>
      <c r="F40" s="15" t="s">
        <v>192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5" t="s">
        <v>207</v>
      </c>
      <c r="B41" s="15" t="s">
        <v>208</v>
      </c>
      <c r="C41" s="15" t="s">
        <v>94</v>
      </c>
      <c r="D41" s="15" t="s">
        <v>210</v>
      </c>
      <c r="E41" s="15" t="s">
        <v>23</v>
      </c>
      <c r="F41" s="15" t="s">
        <v>211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6" t="s">
        <v>213</v>
      </c>
      <c r="B42" s="26" t="s">
        <v>214</v>
      </c>
      <c r="C42" s="26" t="s">
        <v>94</v>
      </c>
      <c r="D42" s="26" t="s">
        <v>215</v>
      </c>
      <c r="E42" s="26" t="s">
        <v>23</v>
      </c>
      <c r="F42" s="26" t="s">
        <v>165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5" t="s">
        <v>217</v>
      </c>
      <c r="B43" s="15" t="s">
        <v>218</v>
      </c>
      <c r="C43" s="15" t="s">
        <v>219</v>
      </c>
      <c r="D43" s="15">
        <v>9.629815118E9</v>
      </c>
      <c r="E43" s="15" t="s">
        <v>31</v>
      </c>
      <c r="F43" s="15" t="s">
        <v>221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5" t="s">
        <v>222</v>
      </c>
      <c r="B44" s="15" t="s">
        <v>223</v>
      </c>
      <c r="C44" s="15" t="s">
        <v>219</v>
      </c>
      <c r="D44" s="15">
        <v>7.708957447E9</v>
      </c>
      <c r="E44" s="15" t="s">
        <v>31</v>
      </c>
      <c r="F44" s="15" t="s">
        <v>225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5" t="s">
        <v>227</v>
      </c>
      <c r="B45" s="15" t="s">
        <v>228</v>
      </c>
      <c r="C45" s="15" t="s">
        <v>219</v>
      </c>
      <c r="D45" s="15">
        <v>8.489738089E9</v>
      </c>
      <c r="E45" s="15" t="s">
        <v>31</v>
      </c>
      <c r="F45" s="15" t="s">
        <v>229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5" t="s">
        <v>232</v>
      </c>
      <c r="B46" s="15" t="s">
        <v>233</v>
      </c>
      <c r="C46" s="15" t="s">
        <v>219</v>
      </c>
      <c r="D46" s="15">
        <v>9.003467159E9</v>
      </c>
      <c r="E46" s="15" t="s">
        <v>31</v>
      </c>
      <c r="F46" s="15" t="s">
        <v>74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5" t="s">
        <v>234</v>
      </c>
      <c r="B47" s="15" t="s">
        <v>235</v>
      </c>
      <c r="C47" s="15" t="s">
        <v>219</v>
      </c>
      <c r="D47" s="15">
        <v>7.708916752E9</v>
      </c>
      <c r="E47" s="15" t="s">
        <v>23</v>
      </c>
      <c r="F47" s="15" t="s">
        <v>236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5" t="s">
        <v>237</v>
      </c>
      <c r="B48" s="15" t="s">
        <v>238</v>
      </c>
      <c r="C48" s="15" t="s">
        <v>219</v>
      </c>
      <c r="D48" s="15">
        <v>9.597158465E9</v>
      </c>
      <c r="E48" s="15" t="s">
        <v>23</v>
      </c>
      <c r="F48" s="15" t="s">
        <v>85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5" t="s">
        <v>241</v>
      </c>
      <c r="B49" s="15" t="s">
        <v>242</v>
      </c>
      <c r="C49" s="15" t="s">
        <v>243</v>
      </c>
      <c r="D49" s="15">
        <v>9.363239595E9</v>
      </c>
      <c r="E49" s="15" t="s">
        <v>31</v>
      </c>
      <c r="F49" s="15" t="s">
        <v>244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5" t="s">
        <v>247</v>
      </c>
      <c r="B50" s="15" t="s">
        <v>248</v>
      </c>
      <c r="C50" s="15" t="s">
        <v>243</v>
      </c>
      <c r="D50" s="15">
        <v>9.600443377E9</v>
      </c>
      <c r="E50" s="15" t="s">
        <v>31</v>
      </c>
      <c r="F50" s="15" t="s">
        <v>249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5" t="s">
        <v>250</v>
      </c>
      <c r="B51" s="15" t="s">
        <v>250</v>
      </c>
      <c r="C51" s="15" t="s">
        <v>243</v>
      </c>
      <c r="D51" s="15">
        <v>9.9769632E9</v>
      </c>
      <c r="E51" s="15" t="s">
        <v>31</v>
      </c>
      <c r="F51" s="15" t="s">
        <v>251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5" t="s">
        <v>254</v>
      </c>
      <c r="B52" s="15" t="s">
        <v>255</v>
      </c>
      <c r="C52" s="15" t="s">
        <v>243</v>
      </c>
      <c r="D52" s="15">
        <v>7.904961079E9</v>
      </c>
      <c r="E52" s="15" t="s">
        <v>31</v>
      </c>
      <c r="F52" s="15" t="s">
        <v>120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5" t="s">
        <v>257</v>
      </c>
      <c r="B53" s="15" t="s">
        <v>258</v>
      </c>
      <c r="C53" s="15" t="s">
        <v>243</v>
      </c>
      <c r="D53" s="15">
        <v>9.994688761E9</v>
      </c>
      <c r="E53" s="15" t="s">
        <v>23</v>
      </c>
      <c r="F53" s="15" t="s">
        <v>259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5" t="s">
        <v>261</v>
      </c>
      <c r="B54" s="15" t="s">
        <v>262</v>
      </c>
      <c r="C54" s="15" t="s">
        <v>243</v>
      </c>
      <c r="D54" s="15">
        <v>6.369985285E9</v>
      </c>
      <c r="E54" s="15" t="s">
        <v>31</v>
      </c>
      <c r="F54" s="15" t="s">
        <v>263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5" t="s">
        <v>266</v>
      </c>
      <c r="B55" s="15" t="s">
        <v>267</v>
      </c>
      <c r="C55" s="15" t="s">
        <v>243</v>
      </c>
      <c r="D55" s="15">
        <v>9.361575861E9</v>
      </c>
      <c r="E55" s="15" t="s">
        <v>31</v>
      </c>
      <c r="F55" s="15" t="s">
        <v>268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5" t="s">
        <v>241</v>
      </c>
      <c r="B56" s="15" t="s">
        <v>242</v>
      </c>
      <c r="C56" s="15" t="s">
        <v>243</v>
      </c>
      <c r="D56" s="15">
        <v>9.363239595E9</v>
      </c>
      <c r="E56" s="15" t="s">
        <v>31</v>
      </c>
      <c r="F56" s="15" t="s">
        <v>269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5" t="s">
        <v>272</v>
      </c>
      <c r="B57" s="15" t="s">
        <v>273</v>
      </c>
      <c r="C57" s="15" t="s">
        <v>243</v>
      </c>
      <c r="D57" s="15">
        <v>9.150773538E9</v>
      </c>
      <c r="E57" s="15" t="s">
        <v>31</v>
      </c>
      <c r="F57" s="15" t="s">
        <v>274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5" t="s">
        <v>277</v>
      </c>
      <c r="B58" s="15" t="s">
        <v>278</v>
      </c>
      <c r="C58" s="15" t="s">
        <v>243</v>
      </c>
      <c r="D58" s="15">
        <v>9.600443377E9</v>
      </c>
      <c r="E58" s="15" t="s">
        <v>31</v>
      </c>
      <c r="F58" s="15" t="s">
        <v>279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5" t="s">
        <v>261</v>
      </c>
      <c r="B59" s="15" t="s">
        <v>262</v>
      </c>
      <c r="C59" s="15" t="s">
        <v>243</v>
      </c>
      <c r="D59" s="15">
        <v>6.369985285E9</v>
      </c>
      <c r="E59" s="15" t="s">
        <v>31</v>
      </c>
      <c r="F59" s="15" t="s">
        <v>281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5" t="s">
        <v>266</v>
      </c>
      <c r="B60" s="15" t="s">
        <v>267</v>
      </c>
      <c r="C60" s="15" t="s">
        <v>243</v>
      </c>
      <c r="D60" s="15">
        <v>9.361575861E9</v>
      </c>
      <c r="E60" s="15" t="s">
        <v>31</v>
      </c>
      <c r="F60" s="15" t="s">
        <v>268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5" t="s">
        <v>285</v>
      </c>
      <c r="B61" s="15" t="s">
        <v>286</v>
      </c>
      <c r="C61" s="15" t="s">
        <v>243</v>
      </c>
      <c r="D61" s="15">
        <v>6.381695252E9</v>
      </c>
      <c r="E61" s="15" t="s">
        <v>23</v>
      </c>
      <c r="F61" s="15" t="s">
        <v>288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5" t="s">
        <v>290</v>
      </c>
      <c r="B62" s="15" t="s">
        <v>291</v>
      </c>
      <c r="C62" s="15" t="s">
        <v>126</v>
      </c>
      <c r="D62" s="15">
        <v>8.825744843E9</v>
      </c>
      <c r="E62" s="15" t="s">
        <v>31</v>
      </c>
      <c r="F62" s="15" t="s">
        <v>292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5" t="s">
        <v>293</v>
      </c>
      <c r="B63" s="15" t="s">
        <v>294</v>
      </c>
      <c r="C63" s="15" t="s">
        <v>126</v>
      </c>
      <c r="D63" s="15">
        <v>8.667452377E9</v>
      </c>
      <c r="E63" s="15" t="s">
        <v>31</v>
      </c>
      <c r="F63" s="15" t="s">
        <v>32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5" t="s">
        <v>293</v>
      </c>
      <c r="B64" s="15" t="s">
        <v>294</v>
      </c>
      <c r="C64" s="15" t="s">
        <v>126</v>
      </c>
      <c r="D64" s="15">
        <v>8.667452377E9</v>
      </c>
      <c r="E64" s="15" t="s">
        <v>31</v>
      </c>
      <c r="F64" s="15" t="s">
        <v>32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5" t="s">
        <v>299</v>
      </c>
      <c r="B65" s="15" t="s">
        <v>300</v>
      </c>
      <c r="C65" s="15" t="s">
        <v>126</v>
      </c>
      <c r="D65" s="15">
        <v>9.345640074E9</v>
      </c>
      <c r="E65" s="15" t="s">
        <v>31</v>
      </c>
      <c r="F65" s="15" t="s">
        <v>32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5" t="s">
        <v>302</v>
      </c>
      <c r="B66" s="15" t="s">
        <v>303</v>
      </c>
      <c r="C66" s="15" t="s">
        <v>126</v>
      </c>
      <c r="D66" s="15">
        <v>9.500041099E9</v>
      </c>
      <c r="E66" s="15" t="s">
        <v>23</v>
      </c>
      <c r="F66" s="15" t="s">
        <v>32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5" t="s">
        <v>306</v>
      </c>
      <c r="B67" s="15" t="s">
        <v>303</v>
      </c>
      <c r="C67" s="15" t="s">
        <v>126</v>
      </c>
      <c r="D67" s="15">
        <v>9.500041099E9</v>
      </c>
      <c r="E67" s="15" t="s">
        <v>23</v>
      </c>
      <c r="F67" s="15" t="s">
        <v>32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5" t="s">
        <v>308</v>
      </c>
      <c r="B68" s="15" t="s">
        <v>309</v>
      </c>
      <c r="C68" s="15" t="s">
        <v>126</v>
      </c>
      <c r="D68" s="15">
        <v>6.385436562E9</v>
      </c>
      <c r="E68" s="15" t="s">
        <v>31</v>
      </c>
      <c r="F68" s="15" t="s">
        <v>310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5" t="s">
        <v>312</v>
      </c>
      <c r="B69" s="15" t="s">
        <v>314</v>
      </c>
      <c r="C69" s="15" t="s">
        <v>126</v>
      </c>
      <c r="D69" s="15">
        <v>9.00350905E9</v>
      </c>
      <c r="E69" s="15" t="s">
        <v>31</v>
      </c>
      <c r="F69" s="15" t="s">
        <v>315</v>
      </c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5" t="s">
        <v>318</v>
      </c>
      <c r="B70" s="15" t="s">
        <v>319</v>
      </c>
      <c r="C70" s="15" t="s">
        <v>126</v>
      </c>
      <c r="D70" s="15">
        <v>6.380608892E9</v>
      </c>
      <c r="E70" s="15" t="s">
        <v>31</v>
      </c>
      <c r="F70" s="15" t="s">
        <v>320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5" t="s">
        <v>322</v>
      </c>
      <c r="B71" s="15" t="s">
        <v>323</v>
      </c>
      <c r="C71" s="15" t="s">
        <v>126</v>
      </c>
      <c r="D71" s="15">
        <v>9.79148621E9</v>
      </c>
      <c r="E71" s="15" t="s">
        <v>31</v>
      </c>
      <c r="F71" s="15" t="s">
        <v>325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6" t="s">
        <v>327</v>
      </c>
      <c r="B72" s="26" t="s">
        <v>328</v>
      </c>
      <c r="C72" s="26" t="s">
        <v>126</v>
      </c>
      <c r="D72" s="26">
        <v>9.789603102E9</v>
      </c>
      <c r="E72" s="26" t="s">
        <v>23</v>
      </c>
      <c r="F72" s="26" t="s">
        <v>330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6" t="s">
        <v>331</v>
      </c>
      <c r="B73" s="26" t="s">
        <v>332</v>
      </c>
      <c r="C73" s="26" t="s">
        <v>126</v>
      </c>
      <c r="D73" s="26">
        <v>7.708840346E9</v>
      </c>
      <c r="E73" s="26" t="s">
        <v>23</v>
      </c>
      <c r="F73" s="26" t="s">
        <v>333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5" t="s">
        <v>335</v>
      </c>
      <c r="B74" s="15" t="s">
        <v>300</v>
      </c>
      <c r="C74" s="15" t="s">
        <v>126</v>
      </c>
      <c r="D74" s="15">
        <v>9.345640074E9</v>
      </c>
      <c r="E74" s="15" t="s">
        <v>31</v>
      </c>
      <c r="F74" s="15" t="s">
        <v>337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5" t="s">
        <v>338</v>
      </c>
      <c r="B75" s="15" t="s">
        <v>340</v>
      </c>
      <c r="C75" s="15" t="s">
        <v>178</v>
      </c>
      <c r="D75" s="15">
        <v>9.944862206E9</v>
      </c>
      <c r="E75" s="15" t="s">
        <v>31</v>
      </c>
      <c r="F75" s="15" t="s">
        <v>341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5" t="s">
        <v>343</v>
      </c>
      <c r="B76" s="15" t="s">
        <v>344</v>
      </c>
      <c r="C76" s="15" t="s">
        <v>280</v>
      </c>
      <c r="D76" s="15">
        <v>8.667874415E9</v>
      </c>
      <c r="E76" s="15" t="s">
        <v>31</v>
      </c>
      <c r="F76" s="15" t="s">
        <v>345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5" t="s">
        <v>348</v>
      </c>
      <c r="B77" s="15" t="s">
        <v>349</v>
      </c>
      <c r="C77" s="15" t="s">
        <v>280</v>
      </c>
      <c r="D77" s="15">
        <v>6.385343034E9</v>
      </c>
      <c r="E77" s="15" t="s">
        <v>31</v>
      </c>
      <c r="F77" s="15" t="s">
        <v>350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5" t="s">
        <v>352</v>
      </c>
      <c r="B78" s="15" t="s">
        <v>353</v>
      </c>
      <c r="C78" s="15" t="s">
        <v>280</v>
      </c>
      <c r="D78" s="15">
        <v>8.110875768E9</v>
      </c>
      <c r="E78" s="15" t="s">
        <v>23</v>
      </c>
      <c r="F78" s="15" t="s">
        <v>32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5" t="s">
        <v>355</v>
      </c>
      <c r="B79" s="15" t="s">
        <v>356</v>
      </c>
      <c r="C79" s="15" t="s">
        <v>280</v>
      </c>
      <c r="D79" s="15">
        <v>6.382255457E9</v>
      </c>
      <c r="E79" s="15" t="s">
        <v>31</v>
      </c>
      <c r="F79" s="15" t="s">
        <v>350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5" t="s">
        <v>360</v>
      </c>
      <c r="B80" s="15" t="s">
        <v>361</v>
      </c>
      <c r="C80" s="15" t="s">
        <v>280</v>
      </c>
      <c r="D80" s="15">
        <v>8.667097599E9</v>
      </c>
      <c r="E80" s="15" t="s">
        <v>31</v>
      </c>
      <c r="F80" s="15" t="s">
        <v>362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5" t="s">
        <v>363</v>
      </c>
      <c r="B81" s="15" t="s">
        <v>353</v>
      </c>
      <c r="C81" s="15" t="s">
        <v>280</v>
      </c>
      <c r="D81" s="15">
        <v>8.110875768E9</v>
      </c>
      <c r="E81" s="15" t="s">
        <v>23</v>
      </c>
      <c r="F81" s="15" t="s">
        <v>32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5" t="s">
        <v>365</v>
      </c>
      <c r="B82" s="15" t="s">
        <v>366</v>
      </c>
      <c r="C82" s="15" t="s">
        <v>280</v>
      </c>
      <c r="D82" s="15">
        <v>8.220999865E9</v>
      </c>
      <c r="E82" s="15" t="s">
        <v>31</v>
      </c>
      <c r="F82" s="15" t="s">
        <v>368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5" t="s">
        <v>371</v>
      </c>
      <c r="B83" s="15" t="s">
        <v>372</v>
      </c>
      <c r="C83" s="15" t="s">
        <v>280</v>
      </c>
      <c r="D83" s="15">
        <v>7.904049559E9</v>
      </c>
      <c r="E83" s="15" t="s">
        <v>23</v>
      </c>
      <c r="F83" s="15" t="s">
        <v>373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5" t="s">
        <v>374</v>
      </c>
      <c r="B84" s="15" t="s">
        <v>375</v>
      </c>
      <c r="C84" s="15" t="s">
        <v>280</v>
      </c>
      <c r="D84" s="15" t="s">
        <v>376</v>
      </c>
      <c r="E84" s="15" t="s">
        <v>31</v>
      </c>
      <c r="F84" s="15" t="s">
        <v>377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5" t="s">
        <v>380</v>
      </c>
      <c r="B85" s="15" t="s">
        <v>361</v>
      </c>
      <c r="C85" s="15" t="s">
        <v>280</v>
      </c>
      <c r="D85" s="15">
        <v>8.667097599E9</v>
      </c>
      <c r="E85" s="15" t="s">
        <v>31</v>
      </c>
      <c r="F85" s="15" t="s">
        <v>381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5"/>
      <c r="B86" s="35"/>
      <c r="C86" s="35"/>
      <c r="D86" s="35"/>
      <c r="E86" s="35"/>
      <c r="F86" s="3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5"/>
      <c r="B87" s="35"/>
      <c r="C87" s="35"/>
      <c r="D87" s="35"/>
      <c r="E87" s="35"/>
      <c r="F87" s="3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5"/>
      <c r="B88" s="35"/>
      <c r="C88" s="35"/>
      <c r="D88" s="35"/>
      <c r="E88" s="35"/>
      <c r="F88" s="3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5"/>
      <c r="B89" s="35"/>
      <c r="C89" s="35"/>
      <c r="D89" s="35"/>
      <c r="E89" s="35"/>
      <c r="F89" s="3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5"/>
      <c r="B90" s="35"/>
      <c r="C90" s="35"/>
      <c r="D90" s="35"/>
      <c r="E90" s="35"/>
      <c r="F90" s="3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5"/>
      <c r="B91" s="35"/>
      <c r="C91" s="35"/>
      <c r="D91" s="35"/>
      <c r="E91" s="35"/>
      <c r="F91" s="3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5"/>
      <c r="B92" s="35"/>
      <c r="C92" s="35"/>
      <c r="D92" s="35"/>
      <c r="E92" s="35"/>
      <c r="F92" s="3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5"/>
      <c r="B93" s="35"/>
      <c r="C93" s="35"/>
      <c r="D93" s="35"/>
      <c r="E93" s="35"/>
      <c r="F93" s="3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5"/>
      <c r="B94" s="35"/>
      <c r="C94" s="35"/>
      <c r="D94" s="35"/>
      <c r="E94" s="35"/>
      <c r="F94" s="3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5"/>
      <c r="B95" s="35"/>
      <c r="C95" s="35"/>
      <c r="D95" s="35"/>
      <c r="E95" s="35"/>
      <c r="F95" s="3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5"/>
      <c r="B96" s="35"/>
      <c r="C96" s="35"/>
      <c r="D96" s="35"/>
      <c r="E96" s="35"/>
      <c r="F96" s="3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5"/>
      <c r="B97" s="35"/>
      <c r="C97" s="35"/>
      <c r="D97" s="35"/>
      <c r="E97" s="35"/>
      <c r="F97" s="3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5"/>
      <c r="B98" s="35"/>
      <c r="C98" s="35"/>
      <c r="D98" s="35"/>
      <c r="E98" s="35"/>
      <c r="F98" s="3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5"/>
      <c r="B99" s="35"/>
      <c r="C99" s="35"/>
      <c r="D99" s="35"/>
      <c r="E99" s="35"/>
      <c r="F99" s="3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5"/>
      <c r="B100" s="35"/>
      <c r="C100" s="35"/>
      <c r="D100" s="35"/>
      <c r="E100" s="35"/>
      <c r="F100" s="3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5"/>
      <c r="B101" s="35"/>
      <c r="C101" s="35"/>
      <c r="D101" s="35"/>
      <c r="E101" s="35"/>
      <c r="F101" s="3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5"/>
      <c r="B102" s="35"/>
      <c r="C102" s="35"/>
      <c r="D102" s="35"/>
      <c r="E102" s="35"/>
      <c r="F102" s="3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5"/>
      <c r="B103" s="35"/>
      <c r="C103" s="35"/>
      <c r="D103" s="35"/>
      <c r="E103" s="35"/>
      <c r="F103" s="3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5"/>
      <c r="B104" s="35"/>
      <c r="C104" s="35"/>
      <c r="D104" s="35"/>
      <c r="E104" s="35"/>
      <c r="F104" s="3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5"/>
      <c r="B105" s="35"/>
      <c r="C105" s="35"/>
      <c r="D105" s="35"/>
      <c r="E105" s="35"/>
      <c r="F105" s="3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5"/>
      <c r="B106" s="35"/>
      <c r="C106" s="35"/>
      <c r="D106" s="35"/>
      <c r="E106" s="35"/>
      <c r="F106" s="3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5"/>
      <c r="B107" s="35"/>
      <c r="C107" s="35"/>
      <c r="D107" s="35"/>
      <c r="E107" s="35"/>
      <c r="F107" s="3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5"/>
      <c r="B108" s="35"/>
      <c r="C108" s="35"/>
      <c r="D108" s="35"/>
      <c r="E108" s="35"/>
      <c r="F108" s="3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5"/>
      <c r="B109" s="35"/>
      <c r="C109" s="35"/>
      <c r="D109" s="35"/>
      <c r="E109" s="35"/>
      <c r="F109" s="3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5"/>
      <c r="B110" s="35"/>
      <c r="C110" s="35"/>
      <c r="D110" s="35"/>
      <c r="E110" s="35"/>
      <c r="F110" s="3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5"/>
      <c r="B111" s="35"/>
      <c r="C111" s="35"/>
      <c r="D111" s="35"/>
      <c r="E111" s="35"/>
      <c r="F111" s="3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5"/>
      <c r="B112" s="35"/>
      <c r="C112" s="35"/>
      <c r="D112" s="35"/>
      <c r="E112" s="35"/>
      <c r="F112" s="3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5"/>
      <c r="B113" s="35"/>
      <c r="C113" s="35"/>
      <c r="D113" s="35"/>
      <c r="E113" s="35"/>
      <c r="F113" s="3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5"/>
      <c r="B114" s="35"/>
      <c r="C114" s="35"/>
      <c r="D114" s="35"/>
      <c r="E114" s="35"/>
      <c r="F114" s="3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5"/>
      <c r="B115" s="35"/>
      <c r="C115" s="35"/>
      <c r="D115" s="35"/>
      <c r="E115" s="35"/>
      <c r="F115" s="3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5"/>
      <c r="B116" s="35"/>
      <c r="C116" s="35"/>
      <c r="D116" s="35"/>
      <c r="E116" s="35"/>
      <c r="F116" s="3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5"/>
      <c r="B117" s="35"/>
      <c r="C117" s="35"/>
      <c r="D117" s="35"/>
      <c r="E117" s="35"/>
      <c r="F117" s="3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5"/>
      <c r="B118" s="35"/>
      <c r="C118" s="35"/>
      <c r="D118" s="35"/>
      <c r="E118" s="35"/>
      <c r="F118" s="3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5"/>
      <c r="B119" s="35"/>
      <c r="C119" s="35"/>
      <c r="D119" s="35"/>
      <c r="E119" s="35"/>
      <c r="F119" s="3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5"/>
      <c r="B120" s="35"/>
      <c r="C120" s="35"/>
      <c r="D120" s="35"/>
      <c r="E120" s="35"/>
      <c r="F120" s="3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5"/>
      <c r="B121" s="35"/>
      <c r="C121" s="35"/>
      <c r="D121" s="35"/>
      <c r="E121" s="35"/>
      <c r="F121" s="3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5"/>
      <c r="B122" s="35"/>
      <c r="C122" s="35"/>
      <c r="D122" s="35"/>
      <c r="E122" s="35"/>
      <c r="F122" s="3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5"/>
      <c r="B123" s="35"/>
      <c r="C123" s="35"/>
      <c r="D123" s="35"/>
      <c r="E123" s="35"/>
      <c r="F123" s="3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5"/>
      <c r="B124" s="35"/>
      <c r="C124" s="35"/>
      <c r="D124" s="35"/>
      <c r="E124" s="35"/>
      <c r="F124" s="3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5"/>
      <c r="B125" s="35"/>
      <c r="C125" s="35"/>
      <c r="D125" s="35"/>
      <c r="E125" s="35"/>
      <c r="F125" s="3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76.63"/>
    <col customWidth="1" min="3" max="3" width="87.38"/>
  </cols>
  <sheetData>
    <row r="1" ht="22.5" customHeight="1">
      <c r="A1" s="41" t="s">
        <v>8</v>
      </c>
      <c r="B1" s="41" t="s">
        <v>477</v>
      </c>
      <c r="C1" s="41" t="s">
        <v>478</v>
      </c>
    </row>
    <row r="2" ht="22.5" customHeight="1">
      <c r="A2" s="42" t="str">
        <f>IFERROR(__xludf.DUMMYFUNCTION("LET(total_teams, 286, team_indices, SEQUENCE(total_teams, 1, 0, 1), all_team_names, FILTER('Team Details'!B2:B1000, 'Team Details'!C2:C1000=""Team Leader""), results, MAP(team_indices, LAMBDA(i, LET(start_row, i * 6 + 2, rows_seq, SEQUENCE(6, 1, start_row"&amp;"), team_name, INDEX('Team Details'!B:B, start_row), team_names_arr, CHOOSEROWS('Team Details'!E:E, rows_seq), team_rolls_arr, CHOOSEROWS('Team Details'!D:D, rows_seq), valid_member_count, SUM(MAP(team_names_arr, LAMBDA(n, IF(REGEXMATCH(TRIM(n), ""(?i)^(--"&amp;"\\s*NA\\s*--|NA|NIL.*|NONE|\\.\\.\\.|-+|)$""), 0, 1)))), is_dup_team, IF(TRIM(team_name)="""", FALSE, COUNTIF(all_team_names, team_name) &gt; 1), team_dup_count, COUNTIF(all_team_names, team_name), dup_rolls, MAP(team_rolls_arr, LAMBDA(r, IF(AND(NOT(REGEXMAT"&amp;"CH(TRIM(r), ""(?i)^(LATERAL.*|NIL.*|NONE|NA|--\\s*NA\\s*--|\\.\\.\\.|-+|)$"")), COUNTIF('Team Details'!D:D, r) &gt; 1), r, """"))), has_dup_members, SUM(MAP(dup_rolls, LAMBDA(x, IF(x="""", 0, 1)))) &gt; 0, reason_1, IF(valid_member_count &lt; 6, ""Not having 6 mem"&amp;"bers"", """"), reason_2, IF(is_dup_team, ""Registered twice or more"", """"), reason_3, IF(has_dup_members, ""Has members that belong to more than 1 team / duplicated"", """"), reason_4, IF(TRIM(team_name)="""", ""Missing Team Name"", """"), all_reasons, "&amp;"TEXTJOIN("" | "", TRUE, reason_1, reason_2, reason_3, reason_4), detail_1, IF(valid_member_count &lt; 6, ""Has "" &amp; valid_member_count &amp; "" valid members"", """"), detail_2, IF(is_dup_team, ""Team name appears "" &amp; team_dup_count &amp; "" times"", """"), detail_"&amp;"3, IF(has_dup_members, ""Duplicate rolls: "" &amp; TEXTJOIN("", "", TRUE, IFERROR(UNIQUE(FILTER(dup_rolls, dup_rolls&lt;&gt;"""")), """")), """"), detail_4, IF(TRIM(team_name)="""", ""Team name is empty"", """"), all_details, TEXTJOIN("" | "", TRUE, detail_1, detai"&amp;"l_2, detail_3, detail_4), all_reasons_arr, {IF(team_name="""", ""(Empty)"", team_name), all_reasons, all_details}, TEXTJOIN(""█"", FALSE, all_reasons_arr)))), filtered_results, FILTER(results, NOT(REGEXMATCH(results, ""█{2}$""))), IFERROR(MAP(filtered_res"&amp;"ults, LAMBDA(r, SPLIT(r, ""█"", FALSE, FALSE))), {""No Invalid Teams"","""",""""}))"),"HexaMinds")</f>
        <v>HexaMinds</v>
      </c>
      <c r="B2" s="42" t="str">
        <f>IFERROR(__xludf.DUMMYFUNCTION("""COMPUTED_VALUE"""),"Registered twice or more")</f>
        <v>Registered twice or more</v>
      </c>
      <c r="C2" s="42" t="str">
        <f>IFERROR(__xludf.DUMMYFUNCTION("""COMPUTED_VALUE"""),"Team name appears 2 times")</f>
        <v>Team name appears 2 times</v>
      </c>
    </row>
    <row r="3" ht="22.5" customHeight="1">
      <c r="A3" s="42" t="str">
        <f>IFERROR(__xludf.DUMMYFUNCTION("""COMPUTED_VALUE"""),"HexaMinds")</f>
        <v>HexaMinds</v>
      </c>
      <c r="B3" s="42" t="str">
        <f>IFERROR(__xludf.DUMMYFUNCTION("""COMPUTED_VALUE"""),"Registered twice or more")</f>
        <v>Registered twice or more</v>
      </c>
      <c r="C3" s="42" t="str">
        <f>IFERROR(__xludf.DUMMYFUNCTION("""COMPUTED_VALUE"""),"Team name appears 2 times")</f>
        <v>Team name appears 2 times</v>
      </c>
    </row>
    <row r="4" ht="22.5" customHeight="1">
      <c r="A4" s="42" t="str">
        <f>IFERROR(__xludf.DUMMYFUNCTION("""COMPUTED_VALUE"""),"NOVA NEXUS")</f>
        <v>NOVA NEXUS</v>
      </c>
      <c r="B4" s="42" t="str">
        <f>IFERROR(__xludf.DUMMYFUNCTION("""COMPUTED_VALUE"""),"Has members that belong to more than 1 team / duplicated")</f>
        <v>Has members that belong to more than 1 team / duplicated</v>
      </c>
      <c r="C4" s="42" t="str">
        <f>IFERROR(__xludf.DUMMYFUNCTION("""COMPUTED_VALUE"""),"Duplicate rolls: 25AD206")</f>
        <v>Duplicate rolls: 25AD206</v>
      </c>
    </row>
    <row r="5" ht="22.5" customHeight="1">
      <c r="A5" s="42" t="str">
        <f>IFERROR(__xludf.DUMMYFUNCTION("""COMPUTED_VALUE"""),"Team GodLike")</f>
        <v>Team GodLike</v>
      </c>
      <c r="B5" s="42" t="str">
        <f>IFERROR(__xludf.DUMMYFUNCTION("""COMPUTED_VALUE"""),"Has members that belong to more than 1 team / duplicated")</f>
        <v>Has members that belong to more than 1 team / duplicated</v>
      </c>
      <c r="C5" s="42" t="str">
        <f>IFERROR(__xludf.DUMMYFUNCTION("""COMPUTED_VALUE"""),"Duplicate rolls: 24CC043")</f>
        <v>Duplicate rolls: 24CC043</v>
      </c>
    </row>
    <row r="6" ht="22.5" customHeight="1">
      <c r="A6" s="42" t="str">
        <f>IFERROR(__xludf.DUMMYFUNCTION("""COMPUTED_VALUE"""),"TEAM DAKAITS")</f>
        <v>TEAM DAKAITS</v>
      </c>
      <c r="B6" s="42" t="str">
        <f>IFERROR(__xludf.DUMMYFUNCTION("""COMPUTED_VALUE"""),"Not having 6 members")</f>
        <v>Not having 6 members</v>
      </c>
      <c r="C6" s="42" t="str">
        <f>IFERROR(__xludf.DUMMYFUNCTION("""COMPUTED_VALUE"""),"Has 5 valid members")</f>
        <v>Has 5 valid members</v>
      </c>
    </row>
    <row r="7" ht="22.5" customHeight="1">
      <c r="A7" s="42" t="str">
        <f>IFERROR(__xludf.DUMMYFUNCTION("""COMPUTED_VALUE"""),"Sinister Six ")</f>
        <v>Sinister Six </v>
      </c>
      <c r="B7" s="42" t="str">
        <f>IFERROR(__xludf.DUMMYFUNCTION("""COMPUTED_VALUE"""),"Has members that belong to more than 1 team / duplicated")</f>
        <v>Has members that belong to more than 1 team / duplicated</v>
      </c>
      <c r="C7" s="42" t="str">
        <f>IFERROR(__xludf.DUMMYFUNCTION("""COMPUTED_VALUE"""),"Duplicate rolls: 24IT001")</f>
        <v>Duplicate rolls: 24IT001</v>
      </c>
    </row>
    <row r="8" ht="22.5" customHeight="1">
      <c r="A8" s="42" t="str">
        <f>IFERROR(__xludf.DUMMYFUNCTION("""COMPUTED_VALUE"""),"Code Storm")</f>
        <v>Code Storm</v>
      </c>
      <c r="B8" s="42" t="str">
        <f>IFERROR(__xludf.DUMMYFUNCTION("""COMPUTED_VALUE"""),"Has members that belong to more than 1 team / duplicated")</f>
        <v>Has members that belong to more than 1 team / duplicated</v>
      </c>
      <c r="C8" s="42" t="str">
        <f>IFERROR(__xludf.DUMMYFUNCTION("""COMPUTED_VALUE"""),"Duplicate rolls: 24IT001")</f>
        <v>Duplicate rolls: 24IT001</v>
      </c>
    </row>
    <row r="9" ht="22.5" customHeight="1">
      <c r="A9" s="42" t="str">
        <f>IFERROR(__xludf.DUMMYFUNCTION("""COMPUTED_VALUE"""),"VISION X 2")</f>
        <v>VISION X 2</v>
      </c>
      <c r="B9" s="42" t="str">
        <f>IFERROR(__xludf.DUMMYFUNCTION("""COMPUTED_VALUE"""),"Not having 6 members")</f>
        <v>Not having 6 members</v>
      </c>
      <c r="C9" s="42" t="str">
        <f>IFERROR(__xludf.DUMMYFUNCTION("""COMPUTED_VALUE"""),"Has 5 valid members")</f>
        <v>Has 5 valid members</v>
      </c>
    </row>
    <row r="10" ht="22.5" customHeight="1">
      <c r="A10" s="42" t="str">
        <f>IFERROR(__xludf.DUMMYFUNCTION("""COMPUTED_VALUE"""),"SMART CRAFTERS")</f>
        <v>SMART CRAFTERS</v>
      </c>
      <c r="B10" s="42" t="str">
        <f>IFERROR(__xludf.DUMMYFUNCTION("""COMPUTED_VALUE"""),"Has members that belong to more than 1 team / duplicated")</f>
        <v>Has members that belong to more than 1 team / duplicated</v>
      </c>
      <c r="C10" s="42" t="str">
        <f>IFERROR(__xludf.DUMMYFUNCTION("""COMPUTED_VALUE"""),"Duplicate rolls: 24CC043")</f>
        <v>Duplicate rolls: 24CC043</v>
      </c>
    </row>
    <row r="11" ht="22.5" customHeight="1">
      <c r="A11" s="42" t="str">
        <f>IFERROR(__xludf.DUMMYFUNCTION("""COMPUTED_VALUE"""),"OMNISCIENTOPS")</f>
        <v>OMNISCIENTOPS</v>
      </c>
      <c r="B11" s="42" t="str">
        <f>IFERROR(__xludf.DUMMYFUNCTION("""COMPUTED_VALUE"""),"Has members that belong to more than 1 team / duplicated")</f>
        <v>Has members that belong to more than 1 team / duplicated</v>
      </c>
      <c r="C11" s="42" t="str">
        <f>IFERROR(__xludf.DUMMYFUNCTION("""COMPUTED_VALUE"""),"Duplicate rolls: 25AD206")</f>
        <v>Duplicate rolls: 25AD206</v>
      </c>
    </row>
    <row r="12" ht="22.5" customHeight="1">
      <c r="A12" s="42" t="str">
        <f>IFERROR(__xludf.DUMMYFUNCTION("""COMPUTED_VALUE"""),"(Empty)")</f>
        <v>(Empty)</v>
      </c>
      <c r="B12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2" s="42" t="str">
        <f>IFERROR(__xludf.DUMMYFUNCTION("""COMPUTED_VALUE"""),"Duplicate rolls: --NA-- | Team name is empty")</f>
        <v>Duplicate rolls: --NA-- | Team name is empty</v>
      </c>
    </row>
    <row r="13" ht="22.5" customHeight="1">
      <c r="A13" s="42" t="str">
        <f>IFERROR(__xludf.DUMMYFUNCTION("""COMPUTED_VALUE"""),"(Empty)")</f>
        <v>(Empty)</v>
      </c>
      <c r="B13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3" s="42" t="str">
        <f>IFERROR(__xludf.DUMMYFUNCTION("""COMPUTED_VALUE"""),"Duplicate rolls: --NA-- | Team name is empty")</f>
        <v>Duplicate rolls: --NA-- | Team name is empty</v>
      </c>
    </row>
    <row r="14" ht="22.5" customHeight="1">
      <c r="A14" s="42" t="str">
        <f>IFERROR(__xludf.DUMMYFUNCTION("""COMPUTED_VALUE"""),"(Empty)")</f>
        <v>(Empty)</v>
      </c>
      <c r="B14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4" s="42" t="str">
        <f>IFERROR(__xludf.DUMMYFUNCTION("""COMPUTED_VALUE"""),"Duplicate rolls: --NA-- | Team name is empty")</f>
        <v>Duplicate rolls: --NA-- | Team name is empty</v>
      </c>
    </row>
    <row r="15" ht="22.5" customHeight="1">
      <c r="A15" s="42" t="str">
        <f>IFERROR(__xludf.DUMMYFUNCTION("""COMPUTED_VALUE"""),"(Empty)")</f>
        <v>(Empty)</v>
      </c>
      <c r="B15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5" s="42" t="str">
        <f>IFERROR(__xludf.DUMMYFUNCTION("""COMPUTED_VALUE"""),"Duplicate rolls: --NA-- | Team name is empty")</f>
        <v>Duplicate rolls: --NA-- | Team name is empty</v>
      </c>
    </row>
    <row r="16" ht="22.5" customHeight="1">
      <c r="A16" s="42" t="str">
        <f>IFERROR(__xludf.DUMMYFUNCTION("""COMPUTED_VALUE"""),"(Empty)")</f>
        <v>(Empty)</v>
      </c>
      <c r="B16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6" s="42" t="str">
        <f>IFERROR(__xludf.DUMMYFUNCTION("""COMPUTED_VALUE"""),"Duplicate rolls: --NA-- | Team name is empty")</f>
        <v>Duplicate rolls: --NA-- | Team name is empty</v>
      </c>
    </row>
    <row r="17" ht="22.5" customHeight="1">
      <c r="A17" s="42" t="str">
        <f>IFERROR(__xludf.DUMMYFUNCTION("""COMPUTED_VALUE"""),"(Empty)")</f>
        <v>(Empty)</v>
      </c>
      <c r="B17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7" s="42" t="str">
        <f>IFERROR(__xludf.DUMMYFUNCTION("""COMPUTED_VALUE"""),"Duplicate rolls: --NA-- | Team name is empty")</f>
        <v>Duplicate rolls: --NA-- | Team name is empty</v>
      </c>
    </row>
    <row r="18" ht="22.5" customHeight="1">
      <c r="A18" s="42" t="str">
        <f>IFERROR(__xludf.DUMMYFUNCTION("""COMPUTED_VALUE"""),"(Empty)")</f>
        <v>(Empty)</v>
      </c>
      <c r="B18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8" s="42" t="str">
        <f>IFERROR(__xludf.DUMMYFUNCTION("""COMPUTED_VALUE"""),"Duplicate rolls: --NA-- | Team name is empty")</f>
        <v>Duplicate rolls: --NA-- | Team name is empty</v>
      </c>
    </row>
    <row r="19" ht="22.5" customHeight="1">
      <c r="A19" s="42" t="str">
        <f>IFERROR(__xludf.DUMMYFUNCTION("""COMPUTED_VALUE"""),"(Empty)")</f>
        <v>(Empty)</v>
      </c>
      <c r="B19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19" s="42" t="str">
        <f>IFERROR(__xludf.DUMMYFUNCTION("""COMPUTED_VALUE"""),"Duplicate rolls: --NA-- | Team name is empty")</f>
        <v>Duplicate rolls: --NA-- | Team name is empty</v>
      </c>
    </row>
    <row r="20" ht="22.5" customHeight="1">
      <c r="A20" s="42" t="str">
        <f>IFERROR(__xludf.DUMMYFUNCTION("""COMPUTED_VALUE"""),"(Empty)")</f>
        <v>(Empty)</v>
      </c>
      <c r="B20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20" s="42" t="str">
        <f>IFERROR(__xludf.DUMMYFUNCTION("""COMPUTED_VALUE"""),"Duplicate rolls: --NA-- | Team name is empty")</f>
        <v>Duplicate rolls: --NA-- | Team name is empty</v>
      </c>
    </row>
    <row r="21" ht="22.5" customHeight="1">
      <c r="A21" s="42" t="str">
        <f>IFERROR(__xludf.DUMMYFUNCTION("""COMPUTED_VALUE"""),"(Empty)")</f>
        <v>(Empty)</v>
      </c>
      <c r="B21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21" s="42" t="str">
        <f>IFERROR(__xludf.DUMMYFUNCTION("""COMPUTED_VALUE"""),"Duplicate rolls: --NA-- | Team name is empty")</f>
        <v>Duplicate rolls: --NA-- | Team name is empty</v>
      </c>
    </row>
    <row r="22" ht="22.5" customHeight="1">
      <c r="A22" s="42" t="str">
        <f>IFERROR(__xludf.DUMMYFUNCTION("""COMPUTED_VALUE"""),"(Empty)")</f>
        <v>(Empty)</v>
      </c>
      <c r="B22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22" s="42" t="str">
        <f>IFERROR(__xludf.DUMMYFUNCTION("""COMPUTED_VALUE"""),"Duplicate rolls: --NA-- | Team name is empty")</f>
        <v>Duplicate rolls: --NA-- | Team name is empty</v>
      </c>
    </row>
    <row r="23" ht="22.5" customHeight="1">
      <c r="A23" s="42" t="str">
        <f>IFERROR(__xludf.DUMMYFUNCTION("""COMPUTED_VALUE"""),"(Empty)")</f>
        <v>(Empty)</v>
      </c>
      <c r="B23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23" s="42" t="str">
        <f>IFERROR(__xludf.DUMMYFUNCTION("""COMPUTED_VALUE"""),"Duplicate rolls: --NA-- | Team name is empty")</f>
        <v>Duplicate rolls: --NA-- | Team name is empty</v>
      </c>
    </row>
    <row r="24" ht="22.5" customHeight="1">
      <c r="A24" s="42" t="str">
        <f>IFERROR(__xludf.DUMMYFUNCTION("""COMPUTED_VALUE"""),"(Empty)")</f>
        <v>(Empty)</v>
      </c>
      <c r="B24" s="42" t="str">
        <f>IFERROR(__xludf.DUMMYFUNCTION("""COMPUTED_VALUE"""),"Has members that belong to more than 1 team / duplicated | Missing Team Name")</f>
        <v>Has members that belong to more than 1 team / duplicated | Missing Team Name</v>
      </c>
      <c r="C24" s="42" t="str">
        <f>IFERROR(__xludf.DUMMYFUNCTION("""COMPUTED_VALUE"""),"Duplicate rolls: --NA-- | Team name is empty")</f>
        <v>Duplicate rolls: --NA-- | Team name is empty</v>
      </c>
    </row>
    <row r="25" ht="22.5" customHeight="1">
      <c r="A25" s="42"/>
      <c r="B25" s="42"/>
      <c r="C25" s="42"/>
    </row>
    <row r="26" ht="22.5" customHeight="1">
      <c r="A26" s="42"/>
      <c r="B26" s="42"/>
      <c r="C26" s="42"/>
    </row>
    <row r="27" ht="22.5" customHeight="1">
      <c r="A27" s="42"/>
      <c r="B27" s="42"/>
      <c r="C27" s="42"/>
    </row>
    <row r="28" ht="22.5" customHeight="1">
      <c r="A28" s="42"/>
      <c r="B28" s="42"/>
      <c r="C28" s="42"/>
    </row>
    <row r="29" ht="22.5" customHeight="1">
      <c r="A29" s="42"/>
      <c r="B29" s="42"/>
      <c r="C29" s="42"/>
    </row>
    <row r="30" ht="22.5" customHeight="1">
      <c r="A30" s="42"/>
      <c r="B30" s="42"/>
      <c r="C30" s="42"/>
    </row>
    <row r="31" ht="22.5" customHeight="1">
      <c r="A31" s="42"/>
      <c r="B31" s="42"/>
      <c r="C31" s="42"/>
    </row>
    <row r="32" ht="22.5" customHeight="1">
      <c r="A32" s="42"/>
      <c r="B32" s="42"/>
      <c r="C32" s="42"/>
    </row>
    <row r="33" ht="22.5" customHeight="1">
      <c r="A33" s="42"/>
      <c r="B33" s="42"/>
      <c r="C33" s="42"/>
    </row>
    <row r="34" ht="22.5" customHeight="1">
      <c r="A34" s="42"/>
      <c r="B34" s="42"/>
      <c r="C34" s="42"/>
    </row>
    <row r="35" ht="22.5" customHeight="1">
      <c r="A35" s="42"/>
      <c r="B35" s="42"/>
      <c r="C35" s="42"/>
    </row>
    <row r="36" ht="22.5" customHeight="1">
      <c r="A36" s="42"/>
      <c r="B36" s="42"/>
      <c r="C36" s="42"/>
    </row>
    <row r="37" ht="22.5" customHeight="1">
      <c r="A37" s="42"/>
      <c r="B37" s="42"/>
      <c r="C37" s="42"/>
    </row>
    <row r="38" ht="22.5" customHeight="1">
      <c r="A38" s="42"/>
      <c r="B38" s="42"/>
      <c r="C38" s="42"/>
    </row>
    <row r="39" ht="22.5" customHeight="1">
      <c r="A39" s="42"/>
      <c r="B39" s="42"/>
      <c r="C39" s="42"/>
    </row>
    <row r="40" ht="22.5" customHeight="1">
      <c r="A40" s="42"/>
      <c r="B40" s="42"/>
      <c r="C40" s="42"/>
    </row>
    <row r="41" ht="22.5" customHeight="1">
      <c r="A41" s="42"/>
      <c r="B41" s="42"/>
      <c r="C41" s="42"/>
    </row>
    <row r="42" ht="22.5" customHeight="1">
      <c r="A42" s="42"/>
      <c r="B42" s="42"/>
      <c r="C42" s="42"/>
    </row>
    <row r="43" ht="22.5" customHeight="1">
      <c r="A43" s="42"/>
      <c r="B43" s="42"/>
      <c r="C43" s="42"/>
    </row>
    <row r="44" ht="22.5" customHeight="1">
      <c r="A44" s="42"/>
      <c r="B44" s="42"/>
      <c r="C44" s="42"/>
    </row>
    <row r="45" ht="22.5" customHeight="1">
      <c r="A45" s="42"/>
      <c r="B45" s="42"/>
      <c r="C45" s="42"/>
    </row>
    <row r="46" ht="22.5" customHeight="1">
      <c r="A46" s="42"/>
      <c r="B46" s="42"/>
      <c r="C46" s="42"/>
    </row>
    <row r="47" ht="22.5" customHeight="1">
      <c r="A47" s="42"/>
      <c r="B47" s="42"/>
      <c r="C47" s="42"/>
    </row>
    <row r="48" ht="22.5" customHeight="1">
      <c r="A48" s="42"/>
      <c r="B48" s="42"/>
      <c r="C48" s="42"/>
    </row>
    <row r="49" ht="22.5" customHeight="1">
      <c r="A49" s="42"/>
      <c r="B49" s="42"/>
      <c r="C49" s="42"/>
    </row>
    <row r="50" ht="22.5" customHeight="1">
      <c r="A50" s="42"/>
      <c r="B50" s="42"/>
      <c r="C50" s="42"/>
    </row>
    <row r="51" ht="22.5" customHeight="1">
      <c r="A51" s="42"/>
      <c r="B51" s="42"/>
      <c r="C51" s="42"/>
    </row>
    <row r="52" ht="22.5" customHeight="1">
      <c r="A52" s="42"/>
      <c r="B52" s="42"/>
      <c r="C52" s="42"/>
    </row>
    <row r="53" ht="22.5" customHeight="1">
      <c r="A53" s="42"/>
      <c r="B53" s="42"/>
      <c r="C53" s="42"/>
    </row>
    <row r="54" ht="22.5" customHeight="1">
      <c r="A54" s="42"/>
      <c r="B54" s="42"/>
      <c r="C54" s="42"/>
    </row>
    <row r="55" ht="22.5" customHeight="1">
      <c r="A55" s="42"/>
      <c r="B55" s="42"/>
      <c r="C55" s="42"/>
    </row>
    <row r="56" ht="22.5" customHeight="1">
      <c r="A56" s="42"/>
      <c r="B56" s="42"/>
      <c r="C56" s="42"/>
    </row>
    <row r="57" ht="22.5" customHeight="1">
      <c r="A57" s="42"/>
      <c r="B57" s="42"/>
      <c r="C57" s="42"/>
    </row>
    <row r="58" ht="22.5" customHeight="1">
      <c r="A58" s="42"/>
      <c r="B58" s="42"/>
      <c r="C58" s="42"/>
    </row>
    <row r="59" ht="22.5" customHeight="1">
      <c r="A59" s="42"/>
      <c r="B59" s="42"/>
      <c r="C59" s="42"/>
    </row>
    <row r="60" ht="22.5" customHeight="1">
      <c r="A60" s="42"/>
      <c r="B60" s="42"/>
      <c r="C60" s="42"/>
    </row>
    <row r="61" ht="22.5" customHeight="1">
      <c r="A61" s="42"/>
      <c r="B61" s="42"/>
      <c r="C61" s="42"/>
    </row>
    <row r="62" ht="22.5" customHeight="1">
      <c r="A62" s="42"/>
      <c r="B62" s="42"/>
      <c r="C62" s="42"/>
    </row>
    <row r="63" ht="22.5" customHeight="1">
      <c r="A63" s="42"/>
      <c r="B63" s="42"/>
      <c r="C63" s="42"/>
    </row>
    <row r="64" ht="22.5" customHeight="1">
      <c r="A64" s="42"/>
      <c r="B64" s="42"/>
      <c r="C64" s="42"/>
    </row>
    <row r="65" ht="22.5" customHeight="1">
      <c r="A65" s="42"/>
      <c r="B65" s="42"/>
      <c r="C65" s="42"/>
    </row>
    <row r="66" ht="22.5" customHeight="1">
      <c r="A66" s="42"/>
      <c r="B66" s="42"/>
      <c r="C66" s="42"/>
    </row>
    <row r="67" ht="22.5" customHeight="1">
      <c r="A67" s="42"/>
      <c r="B67" s="42"/>
      <c r="C67" s="42"/>
    </row>
    <row r="68" ht="22.5" customHeight="1">
      <c r="A68" s="42"/>
      <c r="B68" s="42"/>
      <c r="C68" s="42"/>
    </row>
    <row r="69" ht="22.5" customHeight="1">
      <c r="A69" s="42"/>
      <c r="B69" s="42"/>
      <c r="C69" s="42"/>
    </row>
    <row r="70" ht="22.5" customHeight="1">
      <c r="A70" s="42"/>
      <c r="B70" s="42"/>
      <c r="C70" s="42"/>
    </row>
    <row r="71" ht="22.5" customHeight="1">
      <c r="A71" s="42"/>
      <c r="B71" s="42"/>
      <c r="C71" s="42"/>
    </row>
    <row r="72" ht="22.5" customHeight="1">
      <c r="A72" s="42"/>
      <c r="B72" s="42"/>
      <c r="C72" s="42"/>
    </row>
    <row r="73" ht="22.5" customHeight="1">
      <c r="A73" s="42"/>
      <c r="B73" s="42"/>
      <c r="C73" s="42"/>
    </row>
    <row r="74" ht="22.5" customHeight="1">
      <c r="A74" s="42"/>
      <c r="B74" s="42"/>
      <c r="C74" s="42"/>
    </row>
    <row r="75" ht="22.5" customHeight="1">
      <c r="A75" s="42"/>
      <c r="B75" s="42"/>
      <c r="C75" s="42"/>
    </row>
    <row r="76" ht="22.5" customHeight="1">
      <c r="A76" s="42"/>
      <c r="B76" s="42"/>
      <c r="C76" s="42"/>
    </row>
    <row r="77" ht="22.5" customHeight="1">
      <c r="A77" s="42"/>
      <c r="B77" s="42"/>
      <c r="C77" s="42"/>
    </row>
    <row r="78" ht="22.5" customHeight="1">
      <c r="A78" s="42"/>
      <c r="B78" s="42"/>
      <c r="C78" s="42"/>
    </row>
    <row r="79" ht="22.5" customHeight="1">
      <c r="A79" s="42"/>
      <c r="B79" s="42"/>
      <c r="C79" s="42"/>
    </row>
    <row r="80" ht="22.5" customHeight="1">
      <c r="A80" s="42"/>
      <c r="B80" s="42"/>
      <c r="C80" s="42"/>
    </row>
    <row r="81" ht="22.5" customHeight="1">
      <c r="A81" s="42"/>
      <c r="B81" s="42"/>
      <c r="C81" s="42"/>
    </row>
    <row r="82" ht="22.5" customHeight="1">
      <c r="A82" s="43"/>
      <c r="B82" s="43"/>
      <c r="C82" s="43"/>
    </row>
    <row r="83" ht="22.5" customHeight="1">
      <c r="A83" s="42"/>
      <c r="B83" s="42"/>
      <c r="C83" s="42"/>
    </row>
    <row r="84" ht="22.5" customHeight="1">
      <c r="A84" s="42"/>
      <c r="B84" s="42"/>
      <c r="C84" s="42"/>
    </row>
    <row r="85" ht="22.5" customHeight="1">
      <c r="A85" s="42"/>
      <c r="B85" s="42"/>
      <c r="C85" s="42"/>
    </row>
    <row r="86" ht="22.5" customHeight="1">
      <c r="A86" s="42"/>
      <c r="B86" s="42"/>
      <c r="C86" s="42"/>
    </row>
    <row r="87" ht="22.5" customHeight="1">
      <c r="A87" s="42"/>
      <c r="B87" s="42"/>
      <c r="C87" s="42"/>
    </row>
    <row r="88" ht="22.5" customHeight="1">
      <c r="A88" s="42"/>
      <c r="B88" s="42"/>
      <c r="C88" s="42"/>
    </row>
    <row r="89" ht="22.5" customHeight="1">
      <c r="A89" s="42"/>
      <c r="B89" s="42"/>
      <c r="C89" s="42"/>
    </row>
    <row r="90" ht="22.5" customHeight="1">
      <c r="A90" s="42"/>
      <c r="B90" s="42"/>
      <c r="C90" s="42"/>
    </row>
    <row r="91" ht="22.5" customHeight="1">
      <c r="A91" s="42"/>
      <c r="B91" s="42"/>
      <c r="C91" s="42"/>
    </row>
    <row r="92" ht="22.5" customHeight="1">
      <c r="A92" s="42"/>
      <c r="B92" s="42"/>
      <c r="C92" s="42"/>
    </row>
    <row r="93" ht="22.5" customHeight="1">
      <c r="A93" s="42"/>
      <c r="B93" s="42"/>
      <c r="C93" s="42"/>
    </row>
    <row r="94" ht="22.5" customHeight="1">
      <c r="A94" s="42"/>
      <c r="B94" s="42"/>
      <c r="C94" s="42"/>
    </row>
    <row r="95" ht="22.5" customHeight="1">
      <c r="A95" s="42"/>
      <c r="B95" s="42"/>
      <c r="C95" s="42"/>
    </row>
    <row r="96">
      <c r="A96" s="44"/>
      <c r="B96" s="44"/>
      <c r="C96" s="44"/>
    </row>
    <row r="97">
      <c r="A97" s="44"/>
      <c r="B97" s="44"/>
      <c r="C97" s="44"/>
    </row>
    <row r="98">
      <c r="A98" s="44"/>
      <c r="B98" s="44"/>
      <c r="C98" s="44"/>
    </row>
    <row r="99">
      <c r="A99" s="44"/>
      <c r="B99" s="44"/>
      <c r="C99" s="44"/>
    </row>
    <row r="100">
      <c r="A100" s="44"/>
      <c r="B100" s="44"/>
      <c r="C100" s="44"/>
    </row>
    <row r="101">
      <c r="A101" s="44"/>
      <c r="B101" s="44"/>
      <c r="C101" s="44"/>
    </row>
    <row r="102">
      <c r="A102" s="44"/>
      <c r="B102" s="44"/>
      <c r="C102" s="44"/>
    </row>
    <row r="103">
      <c r="A103" s="44"/>
      <c r="B103" s="44"/>
      <c r="C103" s="44"/>
    </row>
    <row r="104">
      <c r="A104" s="44"/>
      <c r="B104" s="44"/>
      <c r="C104" s="44"/>
    </row>
    <row r="105">
      <c r="A105" s="44"/>
      <c r="B105" s="44"/>
      <c r="C105" s="44"/>
    </row>
    <row r="106">
      <c r="A106" s="44"/>
      <c r="B106" s="44"/>
      <c r="C106" s="44"/>
    </row>
    <row r="107">
      <c r="A107" s="44"/>
      <c r="B107" s="44"/>
      <c r="C107" s="44"/>
    </row>
    <row r="108">
      <c r="A108" s="44"/>
      <c r="B108" s="44"/>
      <c r="C108" s="44"/>
    </row>
    <row r="109">
      <c r="A109" s="44"/>
      <c r="B109" s="44"/>
      <c r="C109" s="44"/>
    </row>
    <row r="110">
      <c r="A110" s="44"/>
      <c r="B110" s="44"/>
      <c r="C110" s="44"/>
    </row>
    <row r="111">
      <c r="A111" s="44"/>
      <c r="B111" s="44"/>
      <c r="C111" s="44"/>
    </row>
    <row r="112">
      <c r="A112" s="44"/>
      <c r="B112" s="44"/>
      <c r="C112" s="44"/>
    </row>
    <row r="113">
      <c r="A113" s="44"/>
      <c r="B113" s="44"/>
      <c r="C113" s="44"/>
    </row>
    <row r="114">
      <c r="A114" s="44"/>
      <c r="B114" s="44"/>
      <c r="C114" s="44"/>
    </row>
    <row r="115">
      <c r="A115" s="44"/>
      <c r="B115" s="44"/>
      <c r="C115" s="44"/>
    </row>
    <row r="116">
      <c r="A116" s="44"/>
      <c r="B116" s="44"/>
      <c r="C116" s="44"/>
    </row>
    <row r="117">
      <c r="A117" s="44"/>
      <c r="B117" s="44"/>
      <c r="C117" s="44"/>
    </row>
    <row r="118">
      <c r="A118" s="44"/>
      <c r="B118" s="44"/>
      <c r="C118" s="44"/>
    </row>
    <row r="119">
      <c r="A119" s="44"/>
      <c r="B119" s="44"/>
      <c r="C119" s="44"/>
    </row>
    <row r="120">
      <c r="A120" s="44"/>
      <c r="B120" s="44"/>
      <c r="C120" s="44"/>
    </row>
    <row r="121">
      <c r="A121" s="44"/>
      <c r="B121" s="44"/>
      <c r="C121" s="44"/>
    </row>
    <row r="122">
      <c r="A122" s="44"/>
      <c r="B122" s="44"/>
      <c r="C122" s="44"/>
    </row>
    <row r="123">
      <c r="A123" s="44"/>
      <c r="B123" s="44"/>
      <c r="C123" s="44"/>
    </row>
    <row r="124">
      <c r="A124" s="44"/>
      <c r="B124" s="44"/>
      <c r="C124" s="44"/>
    </row>
    <row r="125">
      <c r="A125" s="44"/>
      <c r="B125" s="44"/>
      <c r="C125" s="44"/>
    </row>
    <row r="126">
      <c r="A126" s="44"/>
      <c r="B126" s="44"/>
      <c r="C126" s="44"/>
    </row>
    <row r="127">
      <c r="A127" s="44"/>
      <c r="B127" s="44"/>
      <c r="C127" s="44"/>
    </row>
    <row r="128">
      <c r="A128" s="44"/>
      <c r="B128" s="44"/>
      <c r="C128" s="44"/>
    </row>
    <row r="129">
      <c r="A129" s="44"/>
      <c r="B129" s="44"/>
      <c r="C129" s="44"/>
    </row>
    <row r="130">
      <c r="A130" s="44"/>
      <c r="B130" s="44"/>
      <c r="C130" s="44"/>
    </row>
    <row r="131">
      <c r="A131" s="44"/>
      <c r="B131" s="44"/>
      <c r="C131" s="44"/>
    </row>
    <row r="132">
      <c r="A132" s="44"/>
      <c r="B132" s="44"/>
      <c r="C132" s="44"/>
    </row>
    <row r="133">
      <c r="A133" s="44"/>
      <c r="B133" s="44"/>
      <c r="C133" s="44"/>
    </row>
    <row r="134">
      <c r="A134" s="44"/>
      <c r="B134" s="44"/>
      <c r="C134" s="44"/>
    </row>
    <row r="135">
      <c r="A135" s="44"/>
      <c r="B135" s="44"/>
      <c r="C135" s="44"/>
    </row>
    <row r="136">
      <c r="A136" s="44"/>
      <c r="B136" s="44"/>
      <c r="C136" s="44"/>
    </row>
    <row r="137">
      <c r="A137" s="44"/>
      <c r="B137" s="44"/>
      <c r="C137" s="44"/>
    </row>
    <row r="138">
      <c r="A138" s="44"/>
      <c r="B138" s="44"/>
      <c r="C138" s="44"/>
    </row>
    <row r="139">
      <c r="A139" s="44"/>
      <c r="B139" s="44"/>
      <c r="C139" s="44"/>
    </row>
    <row r="140">
      <c r="A140" s="44"/>
      <c r="B140" s="44"/>
      <c r="C140" s="44"/>
    </row>
    <row r="141">
      <c r="A141" s="44"/>
      <c r="B141" s="44"/>
      <c r="C141" s="44"/>
    </row>
    <row r="142">
      <c r="A142" s="44"/>
      <c r="B142" s="44"/>
      <c r="C142" s="44"/>
    </row>
    <row r="143">
      <c r="A143" s="44"/>
      <c r="B143" s="44"/>
      <c r="C143" s="44"/>
    </row>
    <row r="144">
      <c r="A144" s="44"/>
      <c r="B144" s="44"/>
      <c r="C144" s="44"/>
    </row>
    <row r="145">
      <c r="A145" s="44"/>
      <c r="B145" s="44"/>
      <c r="C145" s="44"/>
    </row>
    <row r="146">
      <c r="A146" s="44"/>
      <c r="B146" s="44"/>
      <c r="C146" s="44"/>
    </row>
    <row r="147">
      <c r="A147" s="44"/>
      <c r="B147" s="44"/>
      <c r="C147" s="44"/>
    </row>
    <row r="148">
      <c r="A148" s="44"/>
      <c r="B148" s="44"/>
      <c r="C148" s="44"/>
    </row>
    <row r="149">
      <c r="A149" s="44"/>
      <c r="B149" s="44"/>
      <c r="C149" s="44"/>
    </row>
    <row r="150">
      <c r="A150" s="44"/>
      <c r="B150" s="44"/>
      <c r="C150" s="44"/>
    </row>
    <row r="151">
      <c r="A151" s="44"/>
      <c r="B151" s="44"/>
      <c r="C151" s="44"/>
    </row>
    <row r="152">
      <c r="A152" s="44"/>
      <c r="B152" s="44"/>
      <c r="C152" s="44"/>
    </row>
    <row r="153">
      <c r="A153" s="44"/>
      <c r="B153" s="44"/>
      <c r="C153" s="44"/>
    </row>
    <row r="154">
      <c r="A154" s="44"/>
      <c r="B154" s="44"/>
      <c r="C154" s="44"/>
    </row>
    <row r="155">
      <c r="A155" s="44"/>
      <c r="B155" s="44"/>
      <c r="C155" s="44"/>
    </row>
    <row r="156">
      <c r="A156" s="44"/>
      <c r="B156" s="44"/>
      <c r="C156" s="44"/>
    </row>
    <row r="157">
      <c r="A157" s="44"/>
      <c r="B157" s="44"/>
      <c r="C157" s="44"/>
    </row>
    <row r="158">
      <c r="A158" s="44"/>
      <c r="B158" s="44"/>
      <c r="C158" s="44"/>
    </row>
    <row r="159">
      <c r="A159" s="44"/>
      <c r="B159" s="44"/>
      <c r="C159" s="44"/>
    </row>
    <row r="160">
      <c r="A160" s="44"/>
      <c r="B160" s="44"/>
      <c r="C160" s="44"/>
    </row>
    <row r="161">
      <c r="A161" s="44"/>
      <c r="B161" s="44"/>
      <c r="C161" s="44"/>
    </row>
    <row r="162">
      <c r="A162" s="44"/>
      <c r="B162" s="44"/>
      <c r="C162" s="44"/>
    </row>
    <row r="163">
      <c r="A163" s="44"/>
      <c r="B163" s="44"/>
      <c r="C163" s="44"/>
    </row>
    <row r="164">
      <c r="A164" s="44"/>
      <c r="B164" s="44"/>
      <c r="C164" s="44"/>
    </row>
    <row r="165">
      <c r="A165" s="44"/>
      <c r="B165" s="44"/>
      <c r="C165" s="44"/>
    </row>
    <row r="166">
      <c r="A166" s="44"/>
      <c r="B166" s="44"/>
      <c r="C166" s="44"/>
    </row>
    <row r="167">
      <c r="A167" s="44"/>
      <c r="B167" s="44"/>
      <c r="C167" s="44"/>
    </row>
    <row r="168">
      <c r="A168" s="44"/>
      <c r="B168" s="44"/>
      <c r="C168" s="44"/>
    </row>
    <row r="169">
      <c r="A169" s="44"/>
      <c r="B169" s="44"/>
      <c r="C169" s="44"/>
    </row>
    <row r="170">
      <c r="A170" s="44"/>
      <c r="B170" s="44"/>
      <c r="C170" s="44"/>
    </row>
    <row r="171">
      <c r="A171" s="44"/>
      <c r="B171" s="44"/>
      <c r="C171" s="44"/>
    </row>
    <row r="172">
      <c r="A172" s="44"/>
      <c r="B172" s="44"/>
      <c r="C172" s="44"/>
    </row>
    <row r="173">
      <c r="A173" s="44"/>
      <c r="B173" s="44"/>
      <c r="C173" s="44"/>
    </row>
    <row r="174">
      <c r="A174" s="44"/>
      <c r="B174" s="44"/>
      <c r="C174" s="44"/>
    </row>
    <row r="175">
      <c r="A175" s="44"/>
      <c r="B175" s="44"/>
      <c r="C175" s="44"/>
    </row>
    <row r="176">
      <c r="A176" s="44"/>
      <c r="B176" s="44"/>
      <c r="C176" s="44"/>
    </row>
    <row r="177">
      <c r="A177" s="44"/>
      <c r="B177" s="44"/>
      <c r="C177" s="44"/>
    </row>
    <row r="178">
      <c r="A178" s="44"/>
      <c r="B178" s="44"/>
      <c r="C178" s="44"/>
    </row>
    <row r="179">
      <c r="A179" s="44"/>
      <c r="B179" s="44"/>
      <c r="C179" s="44"/>
    </row>
    <row r="180">
      <c r="A180" s="44"/>
      <c r="B180" s="44"/>
      <c r="C180" s="44"/>
    </row>
    <row r="181">
      <c r="A181" s="44"/>
      <c r="B181" s="44"/>
      <c r="C181" s="44"/>
    </row>
    <row r="182">
      <c r="A182" s="44"/>
      <c r="B182" s="44"/>
      <c r="C182" s="44"/>
    </row>
    <row r="183">
      <c r="A183" s="44"/>
      <c r="B183" s="44"/>
      <c r="C183" s="44"/>
    </row>
    <row r="184">
      <c r="A184" s="44"/>
      <c r="B184" s="44"/>
      <c r="C184" s="44"/>
    </row>
    <row r="185">
      <c r="A185" s="44"/>
      <c r="B185" s="44"/>
      <c r="C185" s="44"/>
    </row>
    <row r="186">
      <c r="A186" s="44"/>
      <c r="B186" s="44"/>
      <c r="C186" s="44"/>
    </row>
    <row r="187">
      <c r="A187" s="44"/>
      <c r="B187" s="44"/>
      <c r="C187" s="44"/>
    </row>
    <row r="188">
      <c r="A188" s="44"/>
      <c r="B188" s="44"/>
      <c r="C188" s="44"/>
    </row>
    <row r="189">
      <c r="A189" s="44"/>
      <c r="B189" s="44"/>
      <c r="C189" s="44"/>
    </row>
    <row r="190">
      <c r="A190" s="44"/>
      <c r="B190" s="44"/>
      <c r="C190" s="44"/>
    </row>
    <row r="191">
      <c r="A191" s="44"/>
      <c r="B191" s="44"/>
      <c r="C191" s="44"/>
    </row>
    <row r="192">
      <c r="A192" s="44"/>
      <c r="B192" s="44"/>
      <c r="C192" s="44"/>
    </row>
    <row r="193">
      <c r="A193" s="44"/>
      <c r="B193" s="44"/>
      <c r="C193" s="44"/>
    </row>
    <row r="194">
      <c r="A194" s="44"/>
      <c r="B194" s="44"/>
      <c r="C194" s="44"/>
    </row>
    <row r="195">
      <c r="A195" s="44"/>
      <c r="B195" s="44"/>
      <c r="C195" s="44"/>
    </row>
    <row r="196">
      <c r="A196" s="44"/>
      <c r="B196" s="44"/>
      <c r="C196" s="44"/>
    </row>
    <row r="197">
      <c r="A197" s="44"/>
      <c r="B197" s="44"/>
      <c r="C197" s="44"/>
    </row>
    <row r="198">
      <c r="A198" s="44"/>
      <c r="B198" s="44"/>
      <c r="C198" s="44"/>
    </row>
    <row r="199">
      <c r="A199" s="44"/>
      <c r="B199" s="44"/>
      <c r="C199" s="44"/>
    </row>
    <row r="200">
      <c r="A200" s="44"/>
      <c r="B200" s="44"/>
      <c r="C200" s="44"/>
    </row>
    <row r="201">
      <c r="A201" s="44"/>
      <c r="B201" s="44"/>
      <c r="C201" s="44"/>
    </row>
    <row r="202">
      <c r="A202" s="44"/>
      <c r="B202" s="44"/>
      <c r="C202" s="44"/>
    </row>
    <row r="203">
      <c r="A203" s="44"/>
      <c r="B203" s="44"/>
      <c r="C203" s="44"/>
    </row>
    <row r="204">
      <c r="A204" s="44"/>
      <c r="B204" s="44"/>
      <c r="C204" s="44"/>
    </row>
    <row r="205">
      <c r="A205" s="44"/>
      <c r="B205" s="44"/>
      <c r="C205" s="44"/>
    </row>
    <row r="206">
      <c r="A206" s="44"/>
      <c r="B206" s="44"/>
      <c r="C206" s="44"/>
    </row>
    <row r="207">
      <c r="A207" s="44"/>
      <c r="B207" s="44"/>
      <c r="C207" s="44"/>
    </row>
    <row r="208">
      <c r="A208" s="44"/>
      <c r="B208" s="44"/>
      <c r="C208" s="44"/>
    </row>
    <row r="209">
      <c r="A209" s="44"/>
      <c r="B209" s="44"/>
      <c r="C209" s="44"/>
    </row>
    <row r="210">
      <c r="A210" s="44"/>
      <c r="B210" s="44"/>
      <c r="C210" s="44"/>
    </row>
    <row r="211">
      <c r="A211" s="44"/>
      <c r="B211" s="44"/>
      <c r="C211" s="44"/>
    </row>
    <row r="212">
      <c r="A212" s="44"/>
      <c r="B212" s="44"/>
      <c r="C212" s="44"/>
    </row>
    <row r="213">
      <c r="A213" s="44"/>
      <c r="B213" s="44"/>
      <c r="C213" s="44"/>
    </row>
    <row r="214">
      <c r="A214" s="44"/>
      <c r="B214" s="44"/>
      <c r="C214" s="44"/>
    </row>
    <row r="215">
      <c r="A215" s="44"/>
      <c r="B215" s="44"/>
      <c r="C215" s="44"/>
    </row>
    <row r="216">
      <c r="A216" s="44"/>
      <c r="B216" s="44"/>
      <c r="C216" s="44"/>
    </row>
    <row r="217">
      <c r="A217" s="44"/>
      <c r="B217" s="44"/>
      <c r="C217" s="44"/>
    </row>
    <row r="218">
      <c r="A218" s="44"/>
      <c r="B218" s="44"/>
      <c r="C218" s="44"/>
    </row>
    <row r="219">
      <c r="A219" s="44"/>
      <c r="B219" s="44"/>
      <c r="C219" s="44"/>
    </row>
    <row r="220">
      <c r="A220" s="44"/>
      <c r="B220" s="44"/>
      <c r="C220" s="44"/>
    </row>
    <row r="221">
      <c r="A221" s="44"/>
      <c r="B221" s="44"/>
      <c r="C221" s="44"/>
    </row>
    <row r="222">
      <c r="A222" s="44"/>
      <c r="B222" s="44"/>
      <c r="C222" s="44"/>
    </row>
    <row r="223">
      <c r="A223" s="44"/>
      <c r="B223" s="44"/>
      <c r="C223" s="44"/>
    </row>
    <row r="224">
      <c r="A224" s="44"/>
      <c r="B224" s="44"/>
      <c r="C224" s="44"/>
    </row>
    <row r="225">
      <c r="A225" s="44"/>
      <c r="B225" s="44"/>
      <c r="C225" s="44"/>
    </row>
    <row r="226">
      <c r="A226" s="44"/>
      <c r="B226" s="44"/>
      <c r="C226" s="44"/>
    </row>
    <row r="227">
      <c r="A227" s="44"/>
      <c r="B227" s="44"/>
      <c r="C227" s="44"/>
    </row>
    <row r="228">
      <c r="A228" s="44"/>
      <c r="B228" s="44"/>
      <c r="C228" s="44"/>
    </row>
    <row r="229">
      <c r="A229" s="44"/>
      <c r="B229" s="44"/>
      <c r="C229" s="44"/>
    </row>
    <row r="230">
      <c r="A230" s="44"/>
      <c r="B230" s="44"/>
      <c r="C230" s="44"/>
    </row>
    <row r="231">
      <c r="A231" s="44"/>
      <c r="B231" s="44"/>
      <c r="C231" s="44"/>
    </row>
    <row r="232">
      <c r="A232" s="44"/>
      <c r="B232" s="44"/>
      <c r="C232" s="44"/>
    </row>
    <row r="233">
      <c r="A233" s="44"/>
      <c r="B233" s="44"/>
      <c r="C233" s="44"/>
    </row>
    <row r="234">
      <c r="A234" s="44"/>
      <c r="B234" s="44"/>
      <c r="C234" s="44"/>
    </row>
    <row r="235">
      <c r="A235" s="44"/>
      <c r="B235" s="44"/>
      <c r="C235" s="44"/>
    </row>
    <row r="236">
      <c r="A236" s="44"/>
      <c r="B236" s="44"/>
      <c r="C236" s="44"/>
    </row>
    <row r="237">
      <c r="A237" s="44"/>
      <c r="B237" s="44"/>
      <c r="C237" s="44"/>
    </row>
    <row r="238">
      <c r="A238" s="44"/>
      <c r="B238" s="44"/>
      <c r="C238" s="44"/>
    </row>
    <row r="239">
      <c r="A239" s="44"/>
      <c r="B239" s="44"/>
      <c r="C239" s="44"/>
    </row>
    <row r="240">
      <c r="A240" s="44"/>
      <c r="B240" s="44"/>
      <c r="C240" s="44"/>
    </row>
    <row r="241">
      <c r="A241" s="44"/>
      <c r="B241" s="44"/>
      <c r="C241" s="44"/>
    </row>
    <row r="242">
      <c r="A242" s="44"/>
      <c r="B242" s="44"/>
      <c r="C242" s="44"/>
    </row>
    <row r="243">
      <c r="A243" s="44"/>
      <c r="B243" s="44"/>
      <c r="C243" s="44"/>
    </row>
    <row r="244">
      <c r="A244" s="44"/>
      <c r="B244" s="44"/>
      <c r="C244" s="44"/>
    </row>
    <row r="245">
      <c r="A245" s="44"/>
      <c r="B245" s="44"/>
      <c r="C245" s="44"/>
    </row>
    <row r="246">
      <c r="A246" s="44"/>
      <c r="B246" s="44"/>
      <c r="C246" s="44"/>
    </row>
    <row r="247">
      <c r="A247" s="44"/>
      <c r="B247" s="44"/>
      <c r="C247" s="44"/>
    </row>
    <row r="248">
      <c r="A248" s="44"/>
      <c r="B248" s="44"/>
      <c r="C248" s="44"/>
    </row>
    <row r="249">
      <c r="A249" s="44"/>
      <c r="B249" s="44"/>
      <c r="C249" s="44"/>
    </row>
    <row r="250">
      <c r="A250" s="44"/>
      <c r="B250" s="44"/>
      <c r="C250" s="44"/>
    </row>
    <row r="251">
      <c r="A251" s="44"/>
      <c r="B251" s="44"/>
      <c r="C251" s="44"/>
    </row>
    <row r="252">
      <c r="A252" s="44"/>
      <c r="B252" s="44"/>
      <c r="C252" s="44"/>
    </row>
    <row r="253">
      <c r="A253" s="44"/>
      <c r="B253" s="44"/>
      <c r="C253" s="44"/>
    </row>
    <row r="254">
      <c r="A254" s="44"/>
      <c r="B254" s="44"/>
      <c r="C254" s="44"/>
    </row>
    <row r="255">
      <c r="A255" s="44"/>
      <c r="B255" s="44"/>
      <c r="C255" s="44"/>
    </row>
    <row r="256">
      <c r="A256" s="44"/>
      <c r="B256" s="44"/>
      <c r="C256" s="44"/>
    </row>
    <row r="257">
      <c r="A257" s="44"/>
      <c r="B257" s="44"/>
      <c r="C257" s="44"/>
    </row>
    <row r="258">
      <c r="A258" s="44"/>
      <c r="B258" s="44"/>
      <c r="C258" s="44"/>
    </row>
    <row r="259">
      <c r="A259" s="44"/>
      <c r="B259" s="44"/>
      <c r="C259" s="44"/>
    </row>
    <row r="260">
      <c r="A260" s="44"/>
      <c r="B260" s="44"/>
      <c r="C260" s="44"/>
    </row>
    <row r="261">
      <c r="A261" s="44"/>
      <c r="B261" s="44"/>
      <c r="C261" s="44"/>
    </row>
    <row r="262">
      <c r="A262" s="44"/>
      <c r="B262" s="44"/>
      <c r="C262" s="44"/>
    </row>
    <row r="263">
      <c r="A263" s="44"/>
      <c r="B263" s="44"/>
      <c r="C263" s="44"/>
    </row>
    <row r="264">
      <c r="A264" s="44"/>
      <c r="B264" s="44"/>
      <c r="C264" s="44"/>
    </row>
    <row r="265">
      <c r="A265" s="44"/>
      <c r="B265" s="44"/>
      <c r="C265" s="44"/>
    </row>
    <row r="266">
      <c r="A266" s="44"/>
      <c r="B266" s="44"/>
      <c r="C266" s="44"/>
    </row>
    <row r="267">
      <c r="A267" s="44"/>
      <c r="B267" s="44"/>
      <c r="C267" s="44"/>
    </row>
    <row r="268">
      <c r="A268" s="44"/>
      <c r="B268" s="44"/>
      <c r="C268" s="44"/>
    </row>
    <row r="269">
      <c r="A269" s="44"/>
      <c r="B269" s="44"/>
      <c r="C269" s="44"/>
    </row>
    <row r="270">
      <c r="A270" s="44"/>
      <c r="B270" s="44"/>
      <c r="C270" s="44"/>
    </row>
    <row r="271">
      <c r="A271" s="44"/>
      <c r="B271" s="44"/>
      <c r="C271" s="44"/>
    </row>
    <row r="272">
      <c r="A272" s="44"/>
      <c r="B272" s="44"/>
      <c r="C272" s="44"/>
    </row>
    <row r="273">
      <c r="A273" s="44"/>
      <c r="B273" s="44"/>
      <c r="C273" s="44"/>
    </row>
    <row r="274">
      <c r="A274" s="44"/>
      <c r="B274" s="44"/>
      <c r="C274" s="44"/>
    </row>
    <row r="275">
      <c r="A275" s="44"/>
      <c r="B275" s="44"/>
      <c r="C275" s="44"/>
    </row>
    <row r="276">
      <c r="A276" s="44"/>
      <c r="B276" s="44"/>
      <c r="C276" s="44"/>
    </row>
    <row r="277">
      <c r="A277" s="44"/>
      <c r="B277" s="44"/>
      <c r="C277" s="44"/>
    </row>
    <row r="278">
      <c r="A278" s="44"/>
      <c r="B278" s="44"/>
      <c r="C278" s="44"/>
    </row>
    <row r="279">
      <c r="A279" s="44"/>
      <c r="B279" s="44"/>
      <c r="C279" s="44"/>
    </row>
    <row r="280">
      <c r="A280" s="44"/>
      <c r="B280" s="44"/>
      <c r="C280" s="44"/>
    </row>
    <row r="281">
      <c r="A281" s="44"/>
      <c r="B281" s="44"/>
      <c r="C281" s="44"/>
    </row>
    <row r="282">
      <c r="A282" s="44"/>
      <c r="B282" s="44"/>
      <c r="C282" s="44"/>
    </row>
    <row r="283">
      <c r="A283" s="44"/>
      <c r="B283" s="44"/>
      <c r="C283" s="44"/>
    </row>
    <row r="284">
      <c r="A284" s="44"/>
      <c r="B284" s="44"/>
      <c r="C284" s="44"/>
    </row>
    <row r="285">
      <c r="A285" s="44"/>
      <c r="B285" s="44"/>
      <c r="C285" s="44"/>
    </row>
    <row r="286">
      <c r="A286" s="44"/>
      <c r="B286" s="44"/>
      <c r="C286" s="44"/>
    </row>
    <row r="287">
      <c r="A287" s="44"/>
      <c r="B287" s="44"/>
      <c r="C287" s="44"/>
    </row>
    <row r="288">
      <c r="A288" s="44"/>
      <c r="B288" s="44"/>
      <c r="C288" s="44"/>
    </row>
    <row r="289">
      <c r="A289" s="44"/>
      <c r="B289" s="44"/>
      <c r="C289" s="44"/>
    </row>
    <row r="290">
      <c r="A290" s="44"/>
      <c r="B290" s="44"/>
      <c r="C290" s="44"/>
    </row>
    <row r="291">
      <c r="A291" s="44"/>
      <c r="B291" s="44"/>
      <c r="C291" s="44"/>
    </row>
    <row r="292">
      <c r="A292" s="44"/>
      <c r="B292" s="44"/>
      <c r="C292" s="44"/>
    </row>
    <row r="293">
      <c r="A293" s="44"/>
      <c r="B293" s="44"/>
      <c r="C293" s="44"/>
    </row>
    <row r="294">
      <c r="A294" s="44"/>
      <c r="B294" s="44"/>
      <c r="C294" s="44"/>
    </row>
    <row r="295">
      <c r="A295" s="44"/>
      <c r="B295" s="44"/>
      <c r="C295" s="44"/>
    </row>
    <row r="296">
      <c r="A296" s="44"/>
      <c r="B296" s="44"/>
      <c r="C296" s="44"/>
    </row>
    <row r="297">
      <c r="A297" s="44"/>
      <c r="B297" s="44"/>
      <c r="C297" s="44"/>
    </row>
    <row r="298">
      <c r="A298" s="44"/>
      <c r="B298" s="44"/>
      <c r="C298" s="44"/>
    </row>
    <row r="299">
      <c r="A299" s="44"/>
      <c r="B299" s="44"/>
      <c r="C299" s="44"/>
    </row>
    <row r="300">
      <c r="A300" s="44"/>
      <c r="B300" s="44"/>
      <c r="C300" s="44"/>
    </row>
    <row r="301">
      <c r="A301" s="44"/>
      <c r="B301" s="44"/>
      <c r="C301" s="44"/>
    </row>
    <row r="302">
      <c r="A302" s="44"/>
      <c r="B302" s="44"/>
      <c r="C302" s="44"/>
    </row>
    <row r="303">
      <c r="A303" s="44"/>
      <c r="B303" s="44"/>
      <c r="C303" s="44"/>
    </row>
    <row r="304">
      <c r="A304" s="44"/>
      <c r="B304" s="44"/>
      <c r="C304" s="44"/>
    </row>
    <row r="305">
      <c r="A305" s="44"/>
      <c r="B305" s="44"/>
      <c r="C305" s="44"/>
    </row>
    <row r="306">
      <c r="A306" s="44"/>
      <c r="B306" s="44"/>
      <c r="C306" s="44"/>
    </row>
    <row r="307">
      <c r="A307" s="44"/>
      <c r="B307" s="44"/>
      <c r="C307" s="44"/>
    </row>
    <row r="308">
      <c r="A308" s="44"/>
      <c r="B308" s="44"/>
      <c r="C308" s="44"/>
    </row>
    <row r="309">
      <c r="A309" s="44"/>
      <c r="B309" s="44"/>
      <c r="C309" s="44"/>
    </row>
    <row r="310">
      <c r="A310" s="44"/>
      <c r="B310" s="44"/>
      <c r="C310" s="44"/>
    </row>
    <row r="311">
      <c r="A311" s="44"/>
      <c r="B311" s="44"/>
      <c r="C311" s="44"/>
    </row>
    <row r="312">
      <c r="A312" s="44"/>
      <c r="B312" s="44"/>
      <c r="C312" s="44"/>
    </row>
    <row r="313">
      <c r="A313" s="44"/>
      <c r="B313" s="44"/>
      <c r="C313" s="44"/>
    </row>
    <row r="314">
      <c r="A314" s="44"/>
      <c r="B314" s="44"/>
      <c r="C314" s="44"/>
    </row>
    <row r="315">
      <c r="A315" s="44"/>
      <c r="B315" s="44"/>
      <c r="C315" s="44"/>
    </row>
    <row r="316">
      <c r="A316" s="44"/>
      <c r="B316" s="44"/>
      <c r="C316" s="44"/>
    </row>
    <row r="317">
      <c r="A317" s="44"/>
      <c r="B317" s="44"/>
      <c r="C317" s="44"/>
    </row>
    <row r="318">
      <c r="A318" s="44"/>
      <c r="B318" s="44"/>
      <c r="C318" s="44"/>
    </row>
    <row r="319">
      <c r="A319" s="44"/>
      <c r="B319" s="44"/>
      <c r="C319" s="44"/>
    </row>
    <row r="320">
      <c r="A320" s="44"/>
      <c r="B320" s="44"/>
      <c r="C320" s="44"/>
    </row>
    <row r="321">
      <c r="A321" s="44"/>
      <c r="B321" s="44"/>
      <c r="C321" s="44"/>
    </row>
    <row r="322">
      <c r="A322" s="44"/>
      <c r="B322" s="44"/>
      <c r="C322" s="44"/>
    </row>
    <row r="323">
      <c r="A323" s="44"/>
      <c r="B323" s="44"/>
      <c r="C323" s="44"/>
    </row>
    <row r="324">
      <c r="A324" s="44"/>
      <c r="B324" s="44"/>
      <c r="C324" s="44"/>
    </row>
    <row r="325">
      <c r="A325" s="44"/>
      <c r="B325" s="44"/>
      <c r="C325" s="44"/>
    </row>
    <row r="326">
      <c r="A326" s="44"/>
      <c r="B326" s="44"/>
      <c r="C326" s="44"/>
    </row>
    <row r="327">
      <c r="A327" s="44"/>
      <c r="B327" s="44"/>
      <c r="C327" s="44"/>
    </row>
    <row r="328">
      <c r="A328" s="44"/>
      <c r="B328" s="44"/>
      <c r="C328" s="44"/>
    </row>
    <row r="329">
      <c r="A329" s="44"/>
      <c r="B329" s="44"/>
      <c r="C329" s="44"/>
    </row>
    <row r="330">
      <c r="A330" s="44"/>
      <c r="B330" s="44"/>
      <c r="C330" s="44"/>
    </row>
    <row r="331">
      <c r="A331" s="44"/>
      <c r="B331" s="44"/>
      <c r="C331" s="44"/>
    </row>
    <row r="332">
      <c r="A332" s="44"/>
      <c r="B332" s="44"/>
      <c r="C332" s="44"/>
    </row>
    <row r="333">
      <c r="A333" s="44"/>
      <c r="B333" s="44"/>
      <c r="C333" s="44"/>
    </row>
    <row r="334">
      <c r="A334" s="44"/>
      <c r="B334" s="44"/>
      <c r="C334" s="44"/>
    </row>
    <row r="335">
      <c r="A335" s="44"/>
      <c r="B335" s="44"/>
      <c r="C335" s="44"/>
    </row>
    <row r="336">
      <c r="A336" s="44"/>
      <c r="B336" s="44"/>
      <c r="C336" s="44"/>
    </row>
    <row r="337">
      <c r="A337" s="44"/>
      <c r="B337" s="44"/>
      <c r="C337" s="44"/>
    </row>
    <row r="338">
      <c r="A338" s="44"/>
      <c r="B338" s="44"/>
      <c r="C338" s="44"/>
    </row>
    <row r="339">
      <c r="A339" s="44"/>
      <c r="B339" s="44"/>
      <c r="C339" s="44"/>
    </row>
    <row r="340">
      <c r="A340" s="44"/>
      <c r="B340" s="44"/>
      <c r="C340" s="44"/>
    </row>
    <row r="341">
      <c r="A341" s="44"/>
      <c r="B341" s="44"/>
      <c r="C341" s="44"/>
    </row>
    <row r="342">
      <c r="A342" s="44"/>
      <c r="B342" s="44"/>
      <c r="C342" s="44"/>
    </row>
    <row r="343">
      <c r="A343" s="44"/>
      <c r="B343" s="44"/>
      <c r="C343" s="44"/>
    </row>
    <row r="344">
      <c r="A344" s="44"/>
      <c r="B344" s="44"/>
      <c r="C344" s="44"/>
    </row>
    <row r="345">
      <c r="A345" s="44"/>
      <c r="B345" s="44"/>
      <c r="C345" s="44"/>
    </row>
    <row r="346">
      <c r="A346" s="44"/>
      <c r="B346" s="44"/>
      <c r="C346" s="44"/>
    </row>
    <row r="347">
      <c r="A347" s="44"/>
      <c r="B347" s="44"/>
      <c r="C347" s="44"/>
    </row>
    <row r="348">
      <c r="A348" s="44"/>
      <c r="B348" s="44"/>
      <c r="C348" s="44"/>
    </row>
    <row r="349">
      <c r="A349" s="44"/>
      <c r="B349" s="44"/>
      <c r="C349" s="44"/>
    </row>
    <row r="350">
      <c r="A350" s="44"/>
      <c r="B350" s="44"/>
      <c r="C350" s="44"/>
    </row>
    <row r="351">
      <c r="A351" s="44"/>
      <c r="B351" s="44"/>
      <c r="C351" s="44"/>
    </row>
    <row r="352">
      <c r="A352" s="44"/>
      <c r="B352" s="44"/>
      <c r="C352" s="44"/>
    </row>
    <row r="353">
      <c r="A353" s="44"/>
      <c r="B353" s="44"/>
      <c r="C353" s="44"/>
    </row>
    <row r="354">
      <c r="A354" s="44"/>
      <c r="B354" s="44"/>
      <c r="C354" s="44"/>
    </row>
    <row r="355">
      <c r="A355" s="44"/>
      <c r="B355" s="44"/>
      <c r="C355" s="44"/>
    </row>
    <row r="356">
      <c r="A356" s="44"/>
      <c r="B356" s="44"/>
      <c r="C356" s="44"/>
    </row>
    <row r="357">
      <c r="A357" s="44"/>
      <c r="B357" s="44"/>
      <c r="C357" s="44"/>
    </row>
    <row r="358">
      <c r="A358" s="44"/>
      <c r="B358" s="44"/>
      <c r="C358" s="44"/>
    </row>
    <row r="359">
      <c r="A359" s="44"/>
      <c r="B359" s="44"/>
      <c r="C359" s="44"/>
    </row>
    <row r="360">
      <c r="A360" s="44"/>
      <c r="B360" s="44"/>
      <c r="C360" s="44"/>
    </row>
    <row r="361">
      <c r="A361" s="44"/>
      <c r="B361" s="44"/>
      <c r="C361" s="44"/>
    </row>
    <row r="362">
      <c r="A362" s="44"/>
      <c r="B362" s="44"/>
      <c r="C362" s="44"/>
    </row>
    <row r="363">
      <c r="A363" s="44"/>
      <c r="B363" s="44"/>
      <c r="C363" s="44"/>
    </row>
    <row r="364">
      <c r="A364" s="44"/>
      <c r="B364" s="44"/>
      <c r="C364" s="44"/>
    </row>
    <row r="365">
      <c r="A365" s="44"/>
      <c r="B365" s="44"/>
      <c r="C365" s="44"/>
    </row>
    <row r="366">
      <c r="A366" s="44"/>
      <c r="B366" s="44"/>
      <c r="C366" s="44"/>
    </row>
    <row r="367">
      <c r="A367" s="44"/>
      <c r="B367" s="44"/>
      <c r="C367" s="44"/>
    </row>
    <row r="368">
      <c r="A368" s="44"/>
      <c r="B368" s="44"/>
      <c r="C368" s="44"/>
    </row>
    <row r="369">
      <c r="A369" s="44"/>
      <c r="B369" s="44"/>
      <c r="C369" s="44"/>
    </row>
    <row r="370">
      <c r="A370" s="44"/>
      <c r="B370" s="44"/>
      <c r="C370" s="44"/>
    </row>
    <row r="371">
      <c r="A371" s="44"/>
      <c r="B371" s="44"/>
      <c r="C371" s="44"/>
    </row>
    <row r="372">
      <c r="A372" s="44"/>
      <c r="B372" s="44"/>
      <c r="C372" s="44"/>
    </row>
    <row r="373">
      <c r="A373" s="44"/>
      <c r="B373" s="44"/>
      <c r="C373" s="44"/>
    </row>
    <row r="374">
      <c r="A374" s="44"/>
      <c r="B374" s="44"/>
      <c r="C374" s="44"/>
    </row>
    <row r="375">
      <c r="A375" s="44"/>
      <c r="B375" s="44"/>
      <c r="C375" s="44"/>
    </row>
    <row r="376">
      <c r="A376" s="44"/>
      <c r="B376" s="44"/>
      <c r="C376" s="44"/>
    </row>
    <row r="377">
      <c r="A377" s="44"/>
      <c r="B377" s="44"/>
      <c r="C377" s="44"/>
    </row>
    <row r="378">
      <c r="A378" s="44"/>
      <c r="B378" s="44"/>
      <c r="C378" s="44"/>
    </row>
    <row r="379">
      <c r="A379" s="44"/>
      <c r="B379" s="44"/>
      <c r="C379" s="44"/>
    </row>
    <row r="380">
      <c r="A380" s="44"/>
      <c r="B380" s="44"/>
      <c r="C380" s="44"/>
    </row>
    <row r="381">
      <c r="A381" s="44"/>
      <c r="B381" s="44"/>
      <c r="C381" s="44"/>
    </row>
    <row r="382">
      <c r="A382" s="44"/>
      <c r="B382" s="44"/>
      <c r="C382" s="44"/>
    </row>
    <row r="383">
      <c r="A383" s="44"/>
      <c r="B383" s="44"/>
      <c r="C383" s="44"/>
    </row>
    <row r="384">
      <c r="A384" s="44"/>
      <c r="B384" s="44"/>
      <c r="C384" s="44"/>
    </row>
    <row r="385">
      <c r="A385" s="44"/>
      <c r="B385" s="44"/>
      <c r="C385" s="44"/>
    </row>
    <row r="386">
      <c r="A386" s="44"/>
      <c r="B386" s="44"/>
      <c r="C386" s="44"/>
    </row>
    <row r="387">
      <c r="A387" s="44"/>
      <c r="B387" s="44"/>
      <c r="C387" s="44"/>
    </row>
    <row r="388">
      <c r="A388" s="44"/>
      <c r="B388" s="44"/>
      <c r="C388" s="44"/>
    </row>
    <row r="389">
      <c r="A389" s="44"/>
      <c r="B389" s="44"/>
      <c r="C389" s="44"/>
    </row>
    <row r="390">
      <c r="A390" s="44"/>
      <c r="B390" s="44"/>
      <c r="C390" s="44"/>
    </row>
    <row r="391">
      <c r="A391" s="44"/>
      <c r="B391" s="44"/>
      <c r="C391" s="44"/>
    </row>
    <row r="392">
      <c r="A392" s="44"/>
      <c r="B392" s="44"/>
      <c r="C392" s="44"/>
    </row>
    <row r="393">
      <c r="A393" s="44"/>
      <c r="B393" s="44"/>
      <c r="C393" s="44"/>
    </row>
    <row r="394">
      <c r="A394" s="44"/>
      <c r="B394" s="44"/>
      <c r="C394" s="44"/>
    </row>
    <row r="395">
      <c r="A395" s="44"/>
      <c r="B395" s="44"/>
      <c r="C395" s="44"/>
    </row>
    <row r="396">
      <c r="A396" s="44"/>
      <c r="B396" s="44"/>
      <c r="C396" s="44"/>
    </row>
    <row r="397">
      <c r="A397" s="44"/>
      <c r="B397" s="44"/>
      <c r="C397" s="44"/>
    </row>
    <row r="398">
      <c r="A398" s="44"/>
      <c r="B398" s="44"/>
      <c r="C398" s="44"/>
    </row>
    <row r="399">
      <c r="A399" s="44"/>
      <c r="B399" s="44"/>
      <c r="C399" s="44"/>
    </row>
    <row r="400">
      <c r="A400" s="44"/>
      <c r="B400" s="44"/>
      <c r="C400" s="44"/>
    </row>
    <row r="401">
      <c r="A401" s="44"/>
      <c r="B401" s="44"/>
      <c r="C401" s="44"/>
    </row>
    <row r="402">
      <c r="A402" s="44"/>
      <c r="B402" s="44"/>
      <c r="C402" s="44"/>
    </row>
    <row r="403">
      <c r="A403" s="44"/>
      <c r="B403" s="44"/>
      <c r="C403" s="44"/>
    </row>
    <row r="404">
      <c r="A404" s="44"/>
      <c r="B404" s="44"/>
      <c r="C404" s="44"/>
    </row>
    <row r="405">
      <c r="A405" s="44"/>
      <c r="B405" s="44"/>
      <c r="C405" s="44"/>
    </row>
    <row r="406">
      <c r="A406" s="44"/>
      <c r="B406" s="44"/>
      <c r="C406" s="44"/>
    </row>
    <row r="407">
      <c r="A407" s="44"/>
      <c r="B407" s="44"/>
      <c r="C407" s="44"/>
    </row>
    <row r="408">
      <c r="A408" s="44"/>
      <c r="B408" s="44"/>
      <c r="C408" s="44"/>
    </row>
    <row r="409">
      <c r="A409" s="44"/>
      <c r="B409" s="44"/>
      <c r="C409" s="44"/>
    </row>
    <row r="410">
      <c r="A410" s="44"/>
      <c r="B410" s="44"/>
      <c r="C410" s="44"/>
    </row>
    <row r="411">
      <c r="A411" s="44"/>
      <c r="B411" s="44"/>
      <c r="C411" s="44"/>
    </row>
    <row r="412">
      <c r="A412" s="44"/>
      <c r="B412" s="44"/>
      <c r="C412" s="44"/>
    </row>
    <row r="413">
      <c r="A413" s="44"/>
      <c r="B413" s="44"/>
      <c r="C413" s="44"/>
    </row>
    <row r="414">
      <c r="A414" s="44"/>
      <c r="B414" s="44"/>
      <c r="C414" s="44"/>
    </row>
    <row r="415">
      <c r="A415" s="44"/>
      <c r="B415" s="44"/>
      <c r="C415" s="44"/>
    </row>
    <row r="416">
      <c r="A416" s="44"/>
      <c r="B416" s="44"/>
      <c r="C416" s="44"/>
    </row>
    <row r="417">
      <c r="A417" s="44"/>
      <c r="B417" s="44"/>
      <c r="C417" s="44"/>
    </row>
    <row r="418">
      <c r="A418" s="44"/>
      <c r="B418" s="44"/>
      <c r="C418" s="44"/>
    </row>
    <row r="419">
      <c r="A419" s="44"/>
      <c r="B419" s="44"/>
      <c r="C419" s="44"/>
    </row>
    <row r="420">
      <c r="A420" s="44"/>
      <c r="B420" s="44"/>
      <c r="C420" s="44"/>
    </row>
    <row r="421">
      <c r="A421" s="44"/>
      <c r="B421" s="44"/>
      <c r="C421" s="44"/>
    </row>
    <row r="422">
      <c r="A422" s="44"/>
      <c r="B422" s="44"/>
      <c r="C422" s="44"/>
    </row>
    <row r="423">
      <c r="A423" s="44"/>
      <c r="B423" s="44"/>
      <c r="C423" s="44"/>
    </row>
    <row r="424">
      <c r="A424" s="44"/>
      <c r="B424" s="44"/>
      <c r="C424" s="44"/>
    </row>
    <row r="425">
      <c r="A425" s="44"/>
      <c r="B425" s="44"/>
      <c r="C425" s="44"/>
    </row>
    <row r="426">
      <c r="A426" s="44"/>
      <c r="B426" s="44"/>
      <c r="C426" s="44"/>
    </row>
    <row r="427">
      <c r="A427" s="44"/>
      <c r="B427" s="44"/>
      <c r="C427" s="44"/>
    </row>
    <row r="428">
      <c r="A428" s="44"/>
      <c r="B428" s="44"/>
      <c r="C428" s="44"/>
    </row>
    <row r="429">
      <c r="A429" s="44"/>
      <c r="B429" s="44"/>
      <c r="C429" s="44"/>
    </row>
    <row r="430">
      <c r="A430" s="44"/>
      <c r="B430" s="44"/>
      <c r="C430" s="44"/>
    </row>
    <row r="431">
      <c r="A431" s="44"/>
      <c r="B431" s="44"/>
      <c r="C431" s="44"/>
    </row>
    <row r="432">
      <c r="A432" s="44"/>
      <c r="B432" s="44"/>
      <c r="C432" s="44"/>
    </row>
    <row r="433">
      <c r="A433" s="44"/>
      <c r="B433" s="44"/>
      <c r="C433" s="44"/>
    </row>
    <row r="434">
      <c r="A434" s="44"/>
      <c r="B434" s="44"/>
      <c r="C434" s="44"/>
    </row>
    <row r="435">
      <c r="A435" s="44"/>
      <c r="B435" s="44"/>
      <c r="C435" s="44"/>
    </row>
    <row r="436">
      <c r="A436" s="44"/>
      <c r="B436" s="44"/>
      <c r="C436" s="44"/>
    </row>
    <row r="437">
      <c r="A437" s="44"/>
      <c r="B437" s="44"/>
      <c r="C437" s="44"/>
    </row>
    <row r="438">
      <c r="A438" s="44"/>
      <c r="B438" s="44"/>
      <c r="C438" s="44"/>
    </row>
    <row r="439">
      <c r="A439" s="44"/>
      <c r="B439" s="44"/>
      <c r="C439" s="44"/>
    </row>
    <row r="440">
      <c r="A440" s="44"/>
      <c r="B440" s="44"/>
      <c r="C440" s="44"/>
    </row>
    <row r="441">
      <c r="A441" s="44"/>
      <c r="B441" s="44"/>
      <c r="C441" s="44"/>
    </row>
    <row r="442">
      <c r="A442" s="44"/>
      <c r="B442" s="44"/>
      <c r="C442" s="44"/>
    </row>
    <row r="443">
      <c r="A443" s="44"/>
      <c r="B443" s="44"/>
      <c r="C443" s="44"/>
    </row>
    <row r="444">
      <c r="A444" s="44"/>
      <c r="B444" s="44"/>
      <c r="C444" s="44"/>
    </row>
    <row r="445">
      <c r="A445" s="44"/>
      <c r="B445" s="44"/>
      <c r="C445" s="44"/>
    </row>
    <row r="446">
      <c r="A446" s="44"/>
      <c r="B446" s="44"/>
      <c r="C446" s="44"/>
    </row>
    <row r="447">
      <c r="A447" s="44"/>
      <c r="B447" s="44"/>
      <c r="C447" s="44"/>
    </row>
    <row r="448">
      <c r="A448" s="44"/>
      <c r="B448" s="44"/>
      <c r="C448" s="44"/>
    </row>
    <row r="449">
      <c r="A449" s="44"/>
      <c r="B449" s="44"/>
      <c r="C449" s="44"/>
    </row>
    <row r="450">
      <c r="A450" s="44"/>
      <c r="B450" s="44"/>
      <c r="C450" s="44"/>
    </row>
    <row r="451">
      <c r="A451" s="44"/>
      <c r="B451" s="44"/>
      <c r="C451" s="44"/>
    </row>
    <row r="452">
      <c r="A452" s="44"/>
      <c r="B452" s="44"/>
      <c r="C452" s="44"/>
    </row>
    <row r="453">
      <c r="A453" s="44"/>
      <c r="B453" s="44"/>
      <c r="C453" s="44"/>
    </row>
    <row r="454">
      <c r="A454" s="44"/>
      <c r="B454" s="44"/>
      <c r="C454" s="44"/>
    </row>
    <row r="455">
      <c r="A455" s="44"/>
      <c r="B455" s="44"/>
      <c r="C455" s="44"/>
    </row>
    <row r="456">
      <c r="A456" s="44"/>
      <c r="B456" s="44"/>
      <c r="C456" s="44"/>
    </row>
    <row r="457">
      <c r="A457" s="44"/>
      <c r="B457" s="44"/>
      <c r="C457" s="44"/>
    </row>
    <row r="458">
      <c r="A458" s="44"/>
      <c r="B458" s="44"/>
      <c r="C458" s="44"/>
    </row>
    <row r="459">
      <c r="A459" s="44"/>
      <c r="B459" s="44"/>
      <c r="C459" s="44"/>
    </row>
    <row r="460">
      <c r="A460" s="44"/>
      <c r="B460" s="44"/>
      <c r="C460" s="44"/>
    </row>
    <row r="461">
      <c r="A461" s="44"/>
      <c r="B461" s="44"/>
      <c r="C461" s="44"/>
    </row>
    <row r="462">
      <c r="A462" s="44"/>
      <c r="B462" s="44"/>
      <c r="C462" s="44"/>
    </row>
    <row r="463">
      <c r="A463" s="44"/>
      <c r="B463" s="44"/>
      <c r="C463" s="44"/>
    </row>
    <row r="464">
      <c r="A464" s="44"/>
      <c r="B464" s="44"/>
      <c r="C464" s="44"/>
    </row>
    <row r="465">
      <c r="A465" s="44"/>
      <c r="B465" s="44"/>
      <c r="C465" s="44"/>
    </row>
    <row r="466">
      <c r="A466" s="44"/>
      <c r="B466" s="44"/>
      <c r="C466" s="44"/>
    </row>
    <row r="467">
      <c r="A467" s="44"/>
      <c r="B467" s="44"/>
      <c r="C467" s="44"/>
    </row>
    <row r="468">
      <c r="A468" s="44"/>
      <c r="B468" s="44"/>
      <c r="C468" s="44"/>
    </row>
    <row r="469">
      <c r="A469" s="44"/>
      <c r="B469" s="44"/>
      <c r="C469" s="44"/>
    </row>
    <row r="470">
      <c r="A470" s="44"/>
      <c r="B470" s="44"/>
      <c r="C470" s="44"/>
    </row>
    <row r="471">
      <c r="A471" s="44"/>
      <c r="B471" s="44"/>
      <c r="C471" s="44"/>
    </row>
    <row r="472">
      <c r="A472" s="44"/>
      <c r="B472" s="44"/>
      <c r="C472" s="44"/>
    </row>
    <row r="473">
      <c r="A473" s="44"/>
      <c r="B473" s="44"/>
      <c r="C473" s="44"/>
    </row>
    <row r="474">
      <c r="A474" s="44"/>
      <c r="B474" s="44"/>
      <c r="C474" s="44"/>
    </row>
    <row r="475">
      <c r="A475" s="44"/>
      <c r="B475" s="44"/>
      <c r="C475" s="44"/>
    </row>
    <row r="476">
      <c r="A476" s="44"/>
      <c r="B476" s="44"/>
      <c r="C476" s="44"/>
    </row>
    <row r="477">
      <c r="A477" s="44"/>
      <c r="B477" s="44"/>
      <c r="C477" s="44"/>
    </row>
    <row r="478">
      <c r="A478" s="44"/>
      <c r="B478" s="44"/>
      <c r="C478" s="44"/>
    </row>
    <row r="479">
      <c r="A479" s="44"/>
      <c r="B479" s="44"/>
      <c r="C479" s="44"/>
    </row>
    <row r="480">
      <c r="A480" s="44"/>
      <c r="B480" s="44"/>
      <c r="C480" s="44"/>
    </row>
    <row r="481">
      <c r="A481" s="44"/>
      <c r="B481" s="44"/>
      <c r="C481" s="44"/>
    </row>
    <row r="482">
      <c r="A482" s="44"/>
      <c r="B482" s="44"/>
      <c r="C482" s="44"/>
    </row>
    <row r="483">
      <c r="A483" s="44"/>
      <c r="B483" s="44"/>
      <c r="C483" s="44"/>
    </row>
    <row r="484">
      <c r="A484" s="44"/>
      <c r="B484" s="44"/>
      <c r="C484" s="44"/>
    </row>
    <row r="485">
      <c r="A485" s="44"/>
      <c r="B485" s="44"/>
      <c r="C485" s="44"/>
    </row>
    <row r="486">
      <c r="A486" s="44"/>
      <c r="B486" s="44"/>
      <c r="C486" s="44"/>
    </row>
    <row r="487">
      <c r="A487" s="44"/>
      <c r="B487" s="44"/>
      <c r="C487" s="44"/>
    </row>
    <row r="488">
      <c r="A488" s="44"/>
      <c r="B488" s="44"/>
      <c r="C488" s="44"/>
    </row>
    <row r="489">
      <c r="A489" s="44"/>
      <c r="B489" s="44"/>
      <c r="C489" s="44"/>
    </row>
    <row r="490">
      <c r="A490" s="44"/>
      <c r="B490" s="44"/>
      <c r="C490" s="44"/>
    </row>
    <row r="491">
      <c r="A491" s="44"/>
      <c r="B491" s="44"/>
      <c r="C491" s="44"/>
    </row>
    <row r="492">
      <c r="A492" s="44"/>
      <c r="B492" s="44"/>
      <c r="C492" s="44"/>
    </row>
    <row r="493">
      <c r="A493" s="44"/>
      <c r="B493" s="44"/>
      <c r="C493" s="44"/>
    </row>
    <row r="494">
      <c r="A494" s="44"/>
      <c r="B494" s="44"/>
      <c r="C494" s="44"/>
    </row>
    <row r="495">
      <c r="A495" s="44"/>
      <c r="B495" s="44"/>
      <c r="C495" s="44"/>
    </row>
    <row r="496">
      <c r="A496" s="44"/>
      <c r="B496" s="44"/>
      <c r="C496" s="44"/>
    </row>
    <row r="497">
      <c r="A497" s="44"/>
      <c r="B497" s="44"/>
      <c r="C497" s="44"/>
    </row>
    <row r="498">
      <c r="A498" s="44"/>
      <c r="B498" s="44"/>
      <c r="C498" s="44"/>
    </row>
    <row r="499">
      <c r="A499" s="44"/>
      <c r="B499" s="44"/>
      <c r="C499" s="44"/>
    </row>
    <row r="500">
      <c r="A500" s="44"/>
      <c r="B500" s="44"/>
      <c r="C500" s="44"/>
    </row>
    <row r="501">
      <c r="A501" s="44"/>
      <c r="B501" s="44"/>
      <c r="C501" s="44"/>
    </row>
    <row r="502">
      <c r="A502" s="44"/>
      <c r="B502" s="44"/>
      <c r="C502" s="44"/>
    </row>
    <row r="503">
      <c r="A503" s="44"/>
      <c r="B503" s="44"/>
      <c r="C503" s="44"/>
    </row>
    <row r="504">
      <c r="A504" s="44"/>
      <c r="B504" s="44"/>
      <c r="C504" s="44"/>
    </row>
    <row r="505">
      <c r="A505" s="44"/>
      <c r="B505" s="44"/>
      <c r="C505" s="44"/>
    </row>
    <row r="506">
      <c r="A506" s="44"/>
      <c r="B506" s="44"/>
      <c r="C506" s="44"/>
    </row>
    <row r="507">
      <c r="A507" s="44"/>
      <c r="B507" s="44"/>
      <c r="C507" s="44"/>
    </row>
    <row r="508">
      <c r="A508" s="44"/>
      <c r="B508" s="44"/>
      <c r="C508" s="44"/>
    </row>
    <row r="509">
      <c r="A509" s="44"/>
      <c r="B509" s="44"/>
      <c r="C509" s="44"/>
    </row>
    <row r="510">
      <c r="A510" s="44"/>
      <c r="B510" s="44"/>
      <c r="C510" s="44"/>
    </row>
    <row r="511">
      <c r="A511" s="44"/>
      <c r="B511" s="44"/>
      <c r="C511" s="44"/>
    </row>
    <row r="512">
      <c r="A512" s="44"/>
      <c r="B512" s="44"/>
      <c r="C512" s="44"/>
    </row>
    <row r="513">
      <c r="A513" s="44"/>
      <c r="B513" s="44"/>
      <c r="C513" s="44"/>
    </row>
    <row r="514">
      <c r="A514" s="44"/>
      <c r="B514" s="44"/>
      <c r="C514" s="44"/>
    </row>
    <row r="515">
      <c r="A515" s="44"/>
      <c r="B515" s="44"/>
      <c r="C515" s="44"/>
    </row>
    <row r="516">
      <c r="A516" s="44"/>
      <c r="B516" s="44"/>
      <c r="C516" s="44"/>
    </row>
    <row r="517">
      <c r="A517" s="44"/>
      <c r="B517" s="44"/>
      <c r="C517" s="44"/>
    </row>
    <row r="518">
      <c r="A518" s="44"/>
      <c r="B518" s="44"/>
      <c r="C518" s="44"/>
    </row>
    <row r="519">
      <c r="A519" s="44"/>
      <c r="B519" s="44"/>
      <c r="C519" s="44"/>
    </row>
    <row r="520">
      <c r="A520" s="44"/>
      <c r="B520" s="44"/>
      <c r="C520" s="44"/>
    </row>
    <row r="521">
      <c r="A521" s="44"/>
      <c r="B521" s="44"/>
      <c r="C521" s="44"/>
    </row>
    <row r="522">
      <c r="A522" s="44"/>
      <c r="B522" s="44"/>
      <c r="C522" s="44"/>
    </row>
    <row r="523">
      <c r="A523" s="44"/>
      <c r="B523" s="44"/>
      <c r="C523" s="44"/>
    </row>
    <row r="524">
      <c r="A524" s="44"/>
      <c r="B524" s="44"/>
      <c r="C524" s="44"/>
    </row>
    <row r="525">
      <c r="A525" s="44"/>
      <c r="B525" s="44"/>
      <c r="C525" s="44"/>
    </row>
    <row r="526">
      <c r="A526" s="44"/>
      <c r="B526" s="44"/>
      <c r="C526" s="44"/>
    </row>
    <row r="527">
      <c r="A527" s="44"/>
      <c r="B527" s="44"/>
      <c r="C527" s="44"/>
    </row>
    <row r="528">
      <c r="A528" s="44"/>
      <c r="B528" s="44"/>
      <c r="C528" s="44"/>
    </row>
    <row r="529">
      <c r="A529" s="44"/>
      <c r="B529" s="44"/>
      <c r="C529" s="44"/>
    </row>
    <row r="530">
      <c r="A530" s="44"/>
      <c r="B530" s="44"/>
      <c r="C530" s="44"/>
    </row>
    <row r="531">
      <c r="A531" s="44"/>
      <c r="B531" s="44"/>
      <c r="C531" s="44"/>
    </row>
    <row r="532">
      <c r="A532" s="44"/>
      <c r="B532" s="44"/>
      <c r="C532" s="44"/>
    </row>
    <row r="533">
      <c r="A533" s="44"/>
      <c r="B533" s="44"/>
      <c r="C533" s="44"/>
    </row>
    <row r="534">
      <c r="A534" s="44"/>
      <c r="B534" s="44"/>
      <c r="C534" s="44"/>
    </row>
    <row r="535">
      <c r="A535" s="44"/>
      <c r="B535" s="44"/>
      <c r="C535" s="44"/>
    </row>
    <row r="536">
      <c r="A536" s="44"/>
      <c r="B536" s="44"/>
      <c r="C536" s="44"/>
    </row>
    <row r="537">
      <c r="A537" s="44"/>
      <c r="B537" s="44"/>
      <c r="C537" s="44"/>
    </row>
    <row r="538">
      <c r="A538" s="44"/>
      <c r="B538" s="44"/>
      <c r="C538" s="44"/>
    </row>
    <row r="539">
      <c r="A539" s="44"/>
      <c r="B539" s="44"/>
      <c r="C539" s="44"/>
    </row>
    <row r="540">
      <c r="A540" s="44"/>
      <c r="B540" s="44"/>
      <c r="C540" s="44"/>
    </row>
    <row r="541">
      <c r="A541" s="44"/>
      <c r="B541" s="44"/>
      <c r="C541" s="44"/>
    </row>
    <row r="542">
      <c r="A542" s="44"/>
      <c r="B542" s="44"/>
      <c r="C542" s="44"/>
    </row>
    <row r="543">
      <c r="A543" s="44"/>
      <c r="B543" s="44"/>
      <c r="C543" s="44"/>
    </row>
    <row r="544">
      <c r="A544" s="44"/>
      <c r="B544" s="44"/>
      <c r="C544" s="44"/>
    </row>
    <row r="545">
      <c r="A545" s="44"/>
      <c r="B545" s="44"/>
      <c r="C545" s="44"/>
    </row>
    <row r="546">
      <c r="A546" s="44"/>
      <c r="B546" s="44"/>
      <c r="C546" s="44"/>
    </row>
    <row r="547">
      <c r="A547" s="44"/>
      <c r="B547" s="44"/>
      <c r="C547" s="44"/>
    </row>
    <row r="548">
      <c r="A548" s="44"/>
      <c r="B548" s="44"/>
      <c r="C548" s="44"/>
    </row>
    <row r="549">
      <c r="A549" s="44"/>
      <c r="B549" s="44"/>
      <c r="C549" s="44"/>
    </row>
    <row r="550">
      <c r="A550" s="44"/>
      <c r="B550" s="44"/>
      <c r="C550" s="44"/>
    </row>
    <row r="551">
      <c r="A551" s="44"/>
      <c r="B551" s="44"/>
      <c r="C551" s="44"/>
    </row>
    <row r="552">
      <c r="A552" s="44"/>
      <c r="B552" s="44"/>
      <c r="C552" s="44"/>
    </row>
    <row r="553">
      <c r="A553" s="44"/>
      <c r="B553" s="44"/>
      <c r="C553" s="44"/>
    </row>
    <row r="554">
      <c r="A554" s="44"/>
      <c r="B554" s="44"/>
      <c r="C554" s="44"/>
    </row>
    <row r="555">
      <c r="A555" s="44"/>
      <c r="B555" s="44"/>
      <c r="C555" s="44"/>
    </row>
    <row r="556">
      <c r="A556" s="44"/>
      <c r="B556" s="44"/>
      <c r="C556" s="44"/>
    </row>
    <row r="557">
      <c r="A557" s="44"/>
      <c r="B557" s="44"/>
      <c r="C557" s="44"/>
    </row>
    <row r="558">
      <c r="A558" s="44"/>
      <c r="B558" s="44"/>
      <c r="C558" s="44"/>
    </row>
    <row r="559">
      <c r="A559" s="44"/>
      <c r="B559" s="44"/>
      <c r="C559" s="44"/>
    </row>
    <row r="560">
      <c r="A560" s="44"/>
      <c r="B560" s="44"/>
      <c r="C560" s="44"/>
    </row>
    <row r="561">
      <c r="A561" s="44"/>
      <c r="B561" s="44"/>
      <c r="C561" s="44"/>
    </row>
    <row r="562">
      <c r="A562" s="44"/>
      <c r="B562" s="44"/>
      <c r="C562" s="44"/>
    </row>
    <row r="563">
      <c r="A563" s="44"/>
      <c r="B563" s="44"/>
      <c r="C563" s="44"/>
    </row>
    <row r="564">
      <c r="A564" s="44"/>
      <c r="B564" s="44"/>
      <c r="C564" s="44"/>
    </row>
    <row r="565">
      <c r="A565" s="44"/>
      <c r="B565" s="44"/>
      <c r="C565" s="44"/>
    </row>
    <row r="566">
      <c r="A566" s="44"/>
      <c r="B566" s="44"/>
      <c r="C566" s="44"/>
    </row>
    <row r="567">
      <c r="A567" s="44"/>
      <c r="B567" s="44"/>
      <c r="C567" s="44"/>
    </row>
    <row r="568">
      <c r="A568" s="44"/>
      <c r="B568" s="44"/>
      <c r="C568" s="44"/>
    </row>
    <row r="569">
      <c r="A569" s="44"/>
      <c r="B569" s="44"/>
      <c r="C569" s="44"/>
    </row>
    <row r="570">
      <c r="A570" s="44"/>
      <c r="B570" s="44"/>
      <c r="C570" s="44"/>
    </row>
    <row r="571">
      <c r="A571" s="44"/>
      <c r="B571" s="44"/>
      <c r="C571" s="44"/>
    </row>
    <row r="572">
      <c r="A572" s="44"/>
      <c r="B572" s="44"/>
      <c r="C572" s="44"/>
    </row>
    <row r="573">
      <c r="A573" s="44"/>
      <c r="B573" s="44"/>
      <c r="C573" s="44"/>
    </row>
    <row r="574">
      <c r="A574" s="44"/>
      <c r="B574" s="44"/>
      <c r="C574" s="44"/>
    </row>
    <row r="575">
      <c r="A575" s="44"/>
      <c r="B575" s="44"/>
      <c r="C575" s="44"/>
    </row>
    <row r="576">
      <c r="A576" s="44"/>
      <c r="B576" s="44"/>
      <c r="C576" s="44"/>
    </row>
    <row r="577">
      <c r="A577" s="44"/>
      <c r="B577" s="44"/>
      <c r="C577" s="44"/>
    </row>
    <row r="578">
      <c r="A578" s="44"/>
      <c r="B578" s="44"/>
      <c r="C578" s="44"/>
    </row>
    <row r="579">
      <c r="A579" s="44"/>
      <c r="B579" s="44"/>
      <c r="C579" s="44"/>
    </row>
    <row r="580">
      <c r="A580" s="44"/>
      <c r="B580" s="44"/>
      <c r="C580" s="44"/>
    </row>
    <row r="581">
      <c r="A581" s="44"/>
      <c r="B581" s="44"/>
      <c r="C581" s="44"/>
    </row>
    <row r="582">
      <c r="A582" s="44"/>
      <c r="B582" s="44"/>
      <c r="C582" s="44"/>
    </row>
    <row r="583">
      <c r="A583" s="44"/>
      <c r="B583" s="44"/>
      <c r="C583" s="44"/>
    </row>
    <row r="584">
      <c r="A584" s="44"/>
      <c r="B584" s="44"/>
      <c r="C584" s="44"/>
    </row>
    <row r="585">
      <c r="A585" s="44"/>
      <c r="B585" s="44"/>
      <c r="C585" s="44"/>
    </row>
    <row r="586">
      <c r="A586" s="44"/>
      <c r="B586" s="44"/>
      <c r="C586" s="44"/>
    </row>
    <row r="587">
      <c r="A587" s="44"/>
      <c r="B587" s="44"/>
      <c r="C587" s="44"/>
    </row>
    <row r="588">
      <c r="A588" s="44"/>
      <c r="B588" s="44"/>
      <c r="C588" s="44"/>
    </row>
    <row r="589">
      <c r="A589" s="44"/>
      <c r="B589" s="44"/>
      <c r="C589" s="44"/>
    </row>
    <row r="590">
      <c r="A590" s="44"/>
      <c r="B590" s="44"/>
      <c r="C590" s="44"/>
    </row>
    <row r="591">
      <c r="A591" s="44"/>
      <c r="B591" s="44"/>
      <c r="C591" s="44"/>
    </row>
    <row r="592">
      <c r="A592" s="44"/>
      <c r="B592" s="44"/>
      <c r="C592" s="44"/>
    </row>
    <row r="593">
      <c r="A593" s="44"/>
      <c r="B593" s="44"/>
      <c r="C593" s="44"/>
    </row>
    <row r="594">
      <c r="A594" s="44"/>
      <c r="B594" s="44"/>
      <c r="C594" s="44"/>
    </row>
    <row r="595">
      <c r="A595" s="44"/>
      <c r="B595" s="44"/>
      <c r="C595" s="44"/>
    </row>
    <row r="596">
      <c r="A596" s="44"/>
      <c r="B596" s="44"/>
      <c r="C596" s="44"/>
    </row>
    <row r="597">
      <c r="A597" s="44"/>
      <c r="B597" s="44"/>
      <c r="C597" s="44"/>
    </row>
    <row r="598">
      <c r="A598" s="44"/>
      <c r="B598" s="44"/>
      <c r="C598" s="44"/>
    </row>
    <row r="599">
      <c r="A599" s="44"/>
      <c r="B599" s="44"/>
      <c r="C599" s="44"/>
    </row>
    <row r="600">
      <c r="A600" s="44"/>
      <c r="B600" s="44"/>
      <c r="C600" s="44"/>
    </row>
    <row r="601">
      <c r="A601" s="44"/>
      <c r="B601" s="44"/>
      <c r="C601" s="44"/>
    </row>
    <row r="602">
      <c r="A602" s="44"/>
      <c r="B602" s="44"/>
      <c r="C602" s="44"/>
    </row>
    <row r="603">
      <c r="A603" s="44"/>
      <c r="B603" s="44"/>
      <c r="C603" s="44"/>
    </row>
    <row r="604">
      <c r="A604" s="44"/>
      <c r="B604" s="44"/>
      <c r="C604" s="44"/>
    </row>
    <row r="605">
      <c r="A605" s="44"/>
      <c r="B605" s="44"/>
      <c r="C605" s="44"/>
    </row>
    <row r="606">
      <c r="A606" s="44"/>
      <c r="B606" s="44"/>
      <c r="C606" s="44"/>
    </row>
    <row r="607">
      <c r="A607" s="44"/>
      <c r="B607" s="44"/>
      <c r="C607" s="44"/>
    </row>
    <row r="608">
      <c r="A608" s="44"/>
      <c r="B608" s="44"/>
      <c r="C608" s="44"/>
    </row>
    <row r="609">
      <c r="A609" s="44"/>
      <c r="B609" s="44"/>
      <c r="C609" s="44"/>
    </row>
    <row r="610">
      <c r="A610" s="44"/>
      <c r="B610" s="44"/>
      <c r="C610" s="44"/>
    </row>
    <row r="611">
      <c r="A611" s="44"/>
      <c r="B611" s="44"/>
      <c r="C611" s="44"/>
    </row>
    <row r="612">
      <c r="A612" s="44"/>
      <c r="B612" s="44"/>
      <c r="C612" s="44"/>
    </row>
    <row r="613">
      <c r="A613" s="44"/>
      <c r="B613" s="44"/>
      <c r="C613" s="44"/>
    </row>
    <row r="614">
      <c r="A614" s="44"/>
      <c r="B614" s="44"/>
      <c r="C614" s="44"/>
    </row>
    <row r="615">
      <c r="A615" s="44"/>
      <c r="B615" s="44"/>
      <c r="C615" s="44"/>
    </row>
    <row r="616">
      <c r="A616" s="44"/>
      <c r="B616" s="44"/>
      <c r="C616" s="44"/>
    </row>
    <row r="617">
      <c r="A617" s="44"/>
      <c r="B617" s="44"/>
      <c r="C617" s="44"/>
    </row>
    <row r="618">
      <c r="A618" s="44"/>
      <c r="B618" s="44"/>
      <c r="C618" s="44"/>
    </row>
    <row r="619">
      <c r="A619" s="44"/>
      <c r="B619" s="44"/>
      <c r="C619" s="44"/>
    </row>
    <row r="620">
      <c r="A620" s="44"/>
      <c r="B620" s="44"/>
      <c r="C620" s="44"/>
    </row>
    <row r="621">
      <c r="A621" s="44"/>
      <c r="B621" s="44"/>
      <c r="C621" s="44"/>
    </row>
    <row r="622">
      <c r="A622" s="44"/>
      <c r="B622" s="44"/>
      <c r="C622" s="44"/>
    </row>
    <row r="623">
      <c r="A623" s="44"/>
      <c r="B623" s="44"/>
      <c r="C623" s="44"/>
    </row>
    <row r="624">
      <c r="A624" s="44"/>
      <c r="B624" s="44"/>
      <c r="C624" s="44"/>
    </row>
    <row r="625">
      <c r="A625" s="44"/>
      <c r="B625" s="44"/>
      <c r="C625" s="44"/>
    </row>
    <row r="626">
      <c r="A626" s="44"/>
      <c r="B626" s="44"/>
      <c r="C626" s="44"/>
    </row>
    <row r="627">
      <c r="A627" s="44"/>
      <c r="B627" s="44"/>
      <c r="C627" s="44"/>
    </row>
    <row r="628">
      <c r="A628" s="44"/>
      <c r="B628" s="44"/>
      <c r="C628" s="44"/>
    </row>
    <row r="629">
      <c r="A629" s="44"/>
      <c r="B629" s="44"/>
      <c r="C629" s="44"/>
    </row>
    <row r="630">
      <c r="A630" s="44"/>
      <c r="B630" s="44"/>
      <c r="C630" s="44"/>
    </row>
    <row r="631">
      <c r="A631" s="44"/>
      <c r="B631" s="44"/>
      <c r="C631" s="44"/>
    </row>
    <row r="632">
      <c r="A632" s="44"/>
      <c r="B632" s="44"/>
      <c r="C632" s="44"/>
    </row>
    <row r="633">
      <c r="A633" s="44"/>
      <c r="B633" s="44"/>
      <c r="C633" s="44"/>
    </row>
    <row r="634">
      <c r="A634" s="44"/>
      <c r="B634" s="44"/>
      <c r="C634" s="44"/>
    </row>
    <row r="635">
      <c r="A635" s="44"/>
      <c r="B635" s="44"/>
      <c r="C635" s="44"/>
    </row>
    <row r="636">
      <c r="A636" s="44"/>
      <c r="B636" s="44"/>
      <c r="C636" s="44"/>
    </row>
    <row r="637">
      <c r="A637" s="44"/>
      <c r="B637" s="44"/>
      <c r="C637" s="44"/>
    </row>
    <row r="638">
      <c r="A638" s="44"/>
      <c r="B638" s="44"/>
      <c r="C638" s="44"/>
    </row>
    <row r="639">
      <c r="A639" s="44"/>
      <c r="B639" s="44"/>
      <c r="C639" s="44"/>
    </row>
    <row r="640">
      <c r="A640" s="44"/>
      <c r="B640" s="44"/>
      <c r="C640" s="44"/>
    </row>
    <row r="641">
      <c r="A641" s="44"/>
      <c r="B641" s="44"/>
      <c r="C641" s="44"/>
    </row>
    <row r="642">
      <c r="A642" s="44"/>
      <c r="B642" s="44"/>
      <c r="C642" s="44"/>
    </row>
    <row r="643">
      <c r="A643" s="44"/>
      <c r="B643" s="44"/>
      <c r="C643" s="44"/>
    </row>
    <row r="644">
      <c r="A644" s="44"/>
      <c r="B644" s="44"/>
      <c r="C644" s="44"/>
    </row>
    <row r="645">
      <c r="A645" s="44"/>
      <c r="B645" s="44"/>
      <c r="C645" s="44"/>
    </row>
    <row r="646">
      <c r="A646" s="44"/>
      <c r="B646" s="44"/>
      <c r="C646" s="44"/>
    </row>
    <row r="647">
      <c r="A647" s="44"/>
      <c r="B647" s="44"/>
      <c r="C647" s="44"/>
    </row>
    <row r="648">
      <c r="A648" s="44"/>
      <c r="B648" s="44"/>
      <c r="C648" s="44"/>
    </row>
    <row r="649">
      <c r="A649" s="44"/>
      <c r="B649" s="44"/>
      <c r="C649" s="44"/>
    </row>
    <row r="650">
      <c r="A650" s="44"/>
      <c r="B650" s="44"/>
      <c r="C650" s="44"/>
    </row>
    <row r="651">
      <c r="A651" s="44"/>
      <c r="B651" s="44"/>
      <c r="C651" s="44"/>
    </row>
    <row r="652">
      <c r="A652" s="44"/>
      <c r="B652" s="44"/>
      <c r="C652" s="44"/>
    </row>
    <row r="653">
      <c r="A653" s="44"/>
      <c r="B653" s="44"/>
      <c r="C653" s="44"/>
    </row>
    <row r="654">
      <c r="A654" s="44"/>
      <c r="B654" s="44"/>
      <c r="C654" s="44"/>
    </row>
    <row r="655">
      <c r="A655" s="44"/>
      <c r="B655" s="44"/>
      <c r="C655" s="44"/>
    </row>
    <row r="656">
      <c r="A656" s="44"/>
      <c r="B656" s="44"/>
      <c r="C656" s="44"/>
    </row>
    <row r="657">
      <c r="A657" s="44"/>
      <c r="B657" s="44"/>
      <c r="C657" s="44"/>
    </row>
    <row r="658">
      <c r="A658" s="44"/>
      <c r="B658" s="44"/>
      <c r="C658" s="44"/>
    </row>
    <row r="659">
      <c r="A659" s="44"/>
      <c r="B659" s="44"/>
      <c r="C659" s="44"/>
    </row>
    <row r="660">
      <c r="A660" s="44"/>
      <c r="B660" s="44"/>
      <c r="C660" s="44"/>
    </row>
    <row r="661">
      <c r="A661" s="44"/>
      <c r="B661" s="44"/>
      <c r="C661" s="44"/>
    </row>
    <row r="662">
      <c r="A662" s="44"/>
      <c r="B662" s="44"/>
      <c r="C662" s="44"/>
    </row>
    <row r="663">
      <c r="A663" s="44"/>
      <c r="B663" s="44"/>
      <c r="C663" s="44"/>
    </row>
    <row r="664">
      <c r="A664" s="44"/>
      <c r="B664" s="44"/>
      <c r="C664" s="44"/>
    </row>
    <row r="665">
      <c r="A665" s="44"/>
      <c r="B665" s="44"/>
      <c r="C665" s="44"/>
    </row>
    <row r="666">
      <c r="A666" s="44"/>
      <c r="B666" s="44"/>
      <c r="C666" s="44"/>
    </row>
    <row r="667">
      <c r="A667" s="44"/>
      <c r="B667" s="44"/>
      <c r="C667" s="44"/>
    </row>
    <row r="668">
      <c r="A668" s="44"/>
      <c r="B668" s="44"/>
      <c r="C668" s="44"/>
    </row>
    <row r="669">
      <c r="A669" s="44"/>
      <c r="B669" s="44"/>
      <c r="C669" s="44"/>
    </row>
    <row r="670">
      <c r="A670" s="44"/>
      <c r="B670" s="44"/>
      <c r="C670" s="44"/>
    </row>
    <row r="671">
      <c r="A671" s="44"/>
      <c r="B671" s="44"/>
      <c r="C671" s="44"/>
    </row>
    <row r="672">
      <c r="A672" s="44"/>
      <c r="B672" s="44"/>
      <c r="C672" s="44"/>
    </row>
    <row r="673">
      <c r="A673" s="44"/>
      <c r="B673" s="44"/>
      <c r="C673" s="44"/>
    </row>
    <row r="674">
      <c r="A674" s="44"/>
      <c r="B674" s="44"/>
      <c r="C674" s="44"/>
    </row>
    <row r="675">
      <c r="A675" s="44"/>
      <c r="B675" s="44"/>
      <c r="C675" s="44"/>
    </row>
    <row r="676">
      <c r="A676" s="44"/>
      <c r="B676" s="44"/>
      <c r="C676" s="44"/>
    </row>
    <row r="677">
      <c r="A677" s="44"/>
      <c r="B677" s="44"/>
      <c r="C677" s="44"/>
    </row>
    <row r="678">
      <c r="A678" s="44"/>
      <c r="B678" s="44"/>
      <c r="C678" s="44"/>
    </row>
    <row r="679">
      <c r="A679" s="44"/>
      <c r="B679" s="44"/>
      <c r="C679" s="44"/>
    </row>
    <row r="680">
      <c r="A680" s="44"/>
      <c r="B680" s="44"/>
      <c r="C680" s="44"/>
    </row>
    <row r="681">
      <c r="A681" s="44"/>
      <c r="B681" s="44"/>
      <c r="C681" s="44"/>
    </row>
    <row r="682">
      <c r="A682" s="44"/>
      <c r="B682" s="44"/>
      <c r="C682" s="44"/>
    </row>
    <row r="683">
      <c r="A683" s="44"/>
      <c r="B683" s="44"/>
      <c r="C683" s="44"/>
    </row>
    <row r="684">
      <c r="A684" s="44"/>
      <c r="B684" s="44"/>
      <c r="C684" s="44"/>
    </row>
    <row r="685">
      <c r="A685" s="44"/>
      <c r="B685" s="44"/>
      <c r="C685" s="44"/>
    </row>
    <row r="686">
      <c r="A686" s="44"/>
      <c r="B686" s="44"/>
      <c r="C686" s="44"/>
    </row>
    <row r="687">
      <c r="A687" s="44"/>
      <c r="B687" s="44"/>
      <c r="C687" s="44"/>
    </row>
    <row r="688">
      <c r="A688" s="44"/>
      <c r="B688" s="44"/>
      <c r="C688" s="44"/>
    </row>
    <row r="689">
      <c r="A689" s="44"/>
      <c r="B689" s="44"/>
      <c r="C689" s="44"/>
    </row>
    <row r="690">
      <c r="A690" s="44"/>
      <c r="B690" s="44"/>
      <c r="C690" s="44"/>
    </row>
    <row r="691">
      <c r="A691" s="44"/>
      <c r="B691" s="44"/>
      <c r="C691" s="44"/>
    </row>
    <row r="692">
      <c r="A692" s="44"/>
      <c r="B692" s="44"/>
      <c r="C692" s="44"/>
    </row>
    <row r="693">
      <c r="A693" s="44"/>
      <c r="B693" s="44"/>
      <c r="C693" s="44"/>
    </row>
    <row r="694">
      <c r="A694" s="44"/>
      <c r="B694" s="44"/>
      <c r="C694" s="44"/>
    </row>
    <row r="695">
      <c r="A695" s="44"/>
      <c r="B695" s="44"/>
      <c r="C695" s="44"/>
    </row>
    <row r="696">
      <c r="A696" s="44"/>
      <c r="B696" s="44"/>
      <c r="C696" s="44"/>
    </row>
    <row r="697">
      <c r="A697" s="44"/>
      <c r="B697" s="44"/>
      <c r="C697" s="44"/>
    </row>
    <row r="698">
      <c r="A698" s="44"/>
      <c r="B698" s="44"/>
      <c r="C698" s="44"/>
    </row>
    <row r="699">
      <c r="A699" s="44"/>
      <c r="B699" s="44"/>
      <c r="C699" s="44"/>
    </row>
    <row r="700">
      <c r="A700" s="44"/>
      <c r="B700" s="44"/>
      <c r="C700" s="44"/>
    </row>
    <row r="701">
      <c r="A701" s="44"/>
      <c r="B701" s="44"/>
      <c r="C701" s="44"/>
    </row>
    <row r="702">
      <c r="A702" s="44"/>
      <c r="B702" s="44"/>
      <c r="C702" s="44"/>
    </row>
    <row r="703">
      <c r="A703" s="44"/>
      <c r="B703" s="44"/>
      <c r="C703" s="44"/>
    </row>
    <row r="704">
      <c r="A704" s="44"/>
      <c r="B704" s="44"/>
      <c r="C704" s="44"/>
    </row>
    <row r="705">
      <c r="A705" s="44"/>
      <c r="B705" s="44"/>
      <c r="C705" s="44"/>
    </row>
    <row r="706">
      <c r="A706" s="44"/>
      <c r="B706" s="44"/>
      <c r="C706" s="44"/>
    </row>
    <row r="707">
      <c r="A707" s="44"/>
      <c r="B707" s="44"/>
      <c r="C707" s="44"/>
    </row>
    <row r="708">
      <c r="A708" s="44"/>
      <c r="B708" s="44"/>
      <c r="C708" s="44"/>
    </row>
    <row r="709">
      <c r="A709" s="44"/>
      <c r="B709" s="44"/>
      <c r="C709" s="44"/>
    </row>
    <row r="710">
      <c r="A710" s="44"/>
      <c r="B710" s="44"/>
      <c r="C710" s="44"/>
    </row>
    <row r="711">
      <c r="A711" s="44"/>
      <c r="B711" s="44"/>
      <c r="C711" s="44"/>
    </row>
    <row r="712">
      <c r="A712" s="44"/>
      <c r="B712" s="44"/>
      <c r="C712" s="44"/>
    </row>
    <row r="713">
      <c r="A713" s="44"/>
      <c r="B713" s="44"/>
      <c r="C713" s="44"/>
    </row>
    <row r="714">
      <c r="A714" s="44"/>
      <c r="B714" s="44"/>
      <c r="C714" s="44"/>
    </row>
    <row r="715">
      <c r="A715" s="44"/>
      <c r="B715" s="44"/>
      <c r="C715" s="44"/>
    </row>
    <row r="716">
      <c r="A716" s="44"/>
      <c r="B716" s="44"/>
      <c r="C716" s="44"/>
    </row>
    <row r="717">
      <c r="A717" s="44"/>
      <c r="B717" s="44"/>
      <c r="C717" s="44"/>
    </row>
    <row r="718">
      <c r="A718" s="44"/>
      <c r="B718" s="44"/>
      <c r="C718" s="44"/>
    </row>
    <row r="719">
      <c r="A719" s="44"/>
      <c r="B719" s="44"/>
      <c r="C719" s="44"/>
    </row>
    <row r="720">
      <c r="A720" s="44"/>
      <c r="B720" s="44"/>
      <c r="C720" s="44"/>
    </row>
    <row r="721">
      <c r="A721" s="44"/>
      <c r="B721" s="44"/>
      <c r="C721" s="44"/>
    </row>
    <row r="722">
      <c r="A722" s="44"/>
      <c r="B722" s="44"/>
      <c r="C722" s="44"/>
    </row>
    <row r="723">
      <c r="A723" s="44"/>
      <c r="B723" s="44"/>
      <c r="C723" s="44"/>
    </row>
    <row r="724">
      <c r="A724" s="44"/>
      <c r="B724" s="44"/>
      <c r="C724" s="44"/>
    </row>
    <row r="725">
      <c r="A725" s="44"/>
      <c r="B725" s="44"/>
      <c r="C725" s="44"/>
    </row>
    <row r="726">
      <c r="A726" s="44"/>
      <c r="B726" s="44"/>
      <c r="C726" s="44"/>
    </row>
    <row r="727">
      <c r="A727" s="44"/>
      <c r="B727" s="44"/>
      <c r="C727" s="44"/>
    </row>
    <row r="728">
      <c r="A728" s="44"/>
      <c r="B728" s="44"/>
      <c r="C728" s="44"/>
    </row>
    <row r="729">
      <c r="A729" s="44"/>
      <c r="B729" s="44"/>
      <c r="C729" s="44"/>
    </row>
    <row r="730">
      <c r="A730" s="44"/>
      <c r="B730" s="44"/>
      <c r="C730" s="44"/>
    </row>
    <row r="731">
      <c r="A731" s="44"/>
      <c r="B731" s="44"/>
      <c r="C731" s="44"/>
    </row>
    <row r="732">
      <c r="A732" s="44"/>
      <c r="B732" s="44"/>
      <c r="C732" s="44"/>
    </row>
    <row r="733">
      <c r="A733" s="44"/>
      <c r="B733" s="44"/>
      <c r="C733" s="44"/>
    </row>
    <row r="734">
      <c r="A734" s="44"/>
      <c r="B734" s="44"/>
      <c r="C734" s="44"/>
    </row>
    <row r="735">
      <c r="A735" s="44"/>
      <c r="B735" s="44"/>
      <c r="C735" s="44"/>
    </row>
    <row r="736">
      <c r="A736" s="44"/>
      <c r="B736" s="44"/>
      <c r="C736" s="44"/>
    </row>
    <row r="737">
      <c r="A737" s="44"/>
      <c r="B737" s="44"/>
      <c r="C737" s="44"/>
    </row>
    <row r="738">
      <c r="A738" s="44"/>
      <c r="B738" s="44"/>
      <c r="C738" s="44"/>
    </row>
    <row r="739">
      <c r="A739" s="44"/>
      <c r="B739" s="44"/>
      <c r="C739" s="44"/>
    </row>
    <row r="740">
      <c r="A740" s="44"/>
      <c r="B740" s="44"/>
      <c r="C740" s="44"/>
    </row>
    <row r="741">
      <c r="A741" s="44"/>
      <c r="B741" s="44"/>
      <c r="C741" s="44"/>
    </row>
    <row r="742">
      <c r="A742" s="44"/>
      <c r="B742" s="44"/>
      <c r="C742" s="44"/>
    </row>
    <row r="743">
      <c r="A743" s="44"/>
      <c r="B743" s="44"/>
      <c r="C743" s="44"/>
    </row>
    <row r="744">
      <c r="A744" s="44"/>
      <c r="B744" s="44"/>
      <c r="C744" s="44"/>
    </row>
    <row r="745">
      <c r="A745" s="44"/>
      <c r="B745" s="44"/>
      <c r="C745" s="44"/>
    </row>
    <row r="746">
      <c r="A746" s="44"/>
      <c r="B746" s="44"/>
      <c r="C746" s="44"/>
    </row>
    <row r="747">
      <c r="A747" s="44"/>
      <c r="B747" s="44"/>
      <c r="C747" s="44"/>
    </row>
    <row r="748">
      <c r="A748" s="44"/>
      <c r="B748" s="44"/>
      <c r="C748" s="44"/>
    </row>
    <row r="749">
      <c r="A749" s="44"/>
      <c r="B749" s="44"/>
      <c r="C749" s="44"/>
    </row>
    <row r="750">
      <c r="A750" s="44"/>
      <c r="B750" s="44"/>
      <c r="C750" s="44"/>
    </row>
    <row r="751">
      <c r="A751" s="44"/>
      <c r="B751" s="44"/>
      <c r="C751" s="44"/>
    </row>
    <row r="752">
      <c r="A752" s="44"/>
      <c r="B752" s="44"/>
      <c r="C752" s="44"/>
    </row>
    <row r="753">
      <c r="A753" s="44"/>
      <c r="B753" s="44"/>
      <c r="C753" s="44"/>
    </row>
    <row r="754">
      <c r="A754" s="44"/>
      <c r="B754" s="44"/>
      <c r="C754" s="44"/>
    </row>
    <row r="755">
      <c r="A755" s="44"/>
      <c r="B755" s="44"/>
      <c r="C755" s="44"/>
    </row>
    <row r="756">
      <c r="A756" s="44"/>
      <c r="B756" s="44"/>
      <c r="C756" s="44"/>
    </row>
    <row r="757">
      <c r="A757" s="44"/>
      <c r="B757" s="44"/>
      <c r="C757" s="44"/>
    </row>
    <row r="758">
      <c r="A758" s="44"/>
      <c r="B758" s="44"/>
      <c r="C758" s="44"/>
    </row>
    <row r="759">
      <c r="A759" s="44"/>
      <c r="B759" s="44"/>
      <c r="C759" s="44"/>
    </row>
    <row r="760">
      <c r="A760" s="44"/>
      <c r="B760" s="44"/>
      <c r="C760" s="44"/>
    </row>
    <row r="761">
      <c r="A761" s="44"/>
      <c r="B761" s="44"/>
      <c r="C761" s="44"/>
    </row>
    <row r="762">
      <c r="A762" s="44"/>
      <c r="B762" s="44"/>
      <c r="C762" s="44"/>
    </row>
    <row r="763">
      <c r="A763" s="44"/>
      <c r="B763" s="44"/>
      <c r="C763" s="44"/>
    </row>
    <row r="764">
      <c r="A764" s="44"/>
      <c r="B764" s="44"/>
      <c r="C764" s="44"/>
    </row>
    <row r="765">
      <c r="A765" s="44"/>
      <c r="B765" s="44"/>
      <c r="C765" s="44"/>
    </row>
    <row r="766">
      <c r="A766" s="44"/>
      <c r="B766" s="44"/>
      <c r="C766" s="44"/>
    </row>
    <row r="767">
      <c r="A767" s="44"/>
      <c r="B767" s="44"/>
      <c r="C767" s="44"/>
    </row>
    <row r="768">
      <c r="A768" s="44"/>
      <c r="B768" s="44"/>
      <c r="C768" s="44"/>
    </row>
    <row r="769">
      <c r="A769" s="44"/>
      <c r="B769" s="44"/>
      <c r="C769" s="44"/>
    </row>
    <row r="770">
      <c r="A770" s="44"/>
      <c r="B770" s="44"/>
      <c r="C770" s="44"/>
    </row>
    <row r="771">
      <c r="A771" s="44"/>
      <c r="B771" s="44"/>
      <c r="C771" s="44"/>
    </row>
    <row r="772">
      <c r="A772" s="44"/>
      <c r="B772" s="44"/>
      <c r="C772" s="44"/>
    </row>
    <row r="773">
      <c r="A773" s="44"/>
      <c r="B773" s="44"/>
      <c r="C773" s="44"/>
    </row>
    <row r="774">
      <c r="A774" s="44"/>
      <c r="B774" s="44"/>
      <c r="C774" s="44"/>
    </row>
    <row r="775">
      <c r="A775" s="44"/>
      <c r="B775" s="44"/>
      <c r="C775" s="44"/>
    </row>
    <row r="776">
      <c r="A776" s="44"/>
      <c r="B776" s="44"/>
      <c r="C776" s="44"/>
    </row>
    <row r="777">
      <c r="A777" s="44"/>
      <c r="B777" s="44"/>
      <c r="C777" s="44"/>
    </row>
    <row r="778">
      <c r="A778" s="44"/>
      <c r="B778" s="44"/>
      <c r="C778" s="44"/>
    </row>
    <row r="779">
      <c r="A779" s="44"/>
      <c r="B779" s="44"/>
      <c r="C779" s="44"/>
    </row>
    <row r="780">
      <c r="A780" s="44"/>
      <c r="B780" s="44"/>
      <c r="C780" s="44"/>
    </row>
    <row r="781">
      <c r="A781" s="44"/>
      <c r="B781" s="44"/>
      <c r="C781" s="44"/>
    </row>
    <row r="782">
      <c r="A782" s="44"/>
      <c r="B782" s="44"/>
      <c r="C782" s="44"/>
    </row>
    <row r="783">
      <c r="A783" s="44"/>
      <c r="B783" s="44"/>
      <c r="C783" s="44"/>
    </row>
    <row r="784">
      <c r="A784" s="44"/>
      <c r="B784" s="44"/>
      <c r="C784" s="44"/>
    </row>
    <row r="785">
      <c r="A785" s="44"/>
      <c r="B785" s="44"/>
      <c r="C785" s="44"/>
    </row>
    <row r="786">
      <c r="A786" s="44"/>
      <c r="B786" s="44"/>
      <c r="C786" s="44"/>
    </row>
    <row r="787">
      <c r="A787" s="44"/>
      <c r="B787" s="44"/>
      <c r="C787" s="44"/>
    </row>
    <row r="788">
      <c r="A788" s="44"/>
      <c r="B788" s="44"/>
      <c r="C788" s="44"/>
    </row>
    <row r="789">
      <c r="A789" s="44"/>
      <c r="B789" s="44"/>
      <c r="C789" s="44"/>
    </row>
    <row r="790">
      <c r="A790" s="44"/>
      <c r="B790" s="44"/>
      <c r="C790" s="44"/>
    </row>
    <row r="791">
      <c r="A791" s="44"/>
      <c r="B791" s="44"/>
      <c r="C791" s="44"/>
    </row>
    <row r="792">
      <c r="A792" s="44"/>
      <c r="B792" s="44"/>
      <c r="C792" s="44"/>
    </row>
    <row r="793">
      <c r="A793" s="44"/>
      <c r="B793" s="44"/>
      <c r="C793" s="44"/>
    </row>
    <row r="794">
      <c r="A794" s="44"/>
      <c r="B794" s="44"/>
      <c r="C794" s="44"/>
    </row>
    <row r="795">
      <c r="A795" s="44"/>
      <c r="B795" s="44"/>
      <c r="C795" s="44"/>
    </row>
    <row r="796">
      <c r="A796" s="44"/>
      <c r="B796" s="44"/>
      <c r="C796" s="44"/>
    </row>
    <row r="797">
      <c r="A797" s="44"/>
      <c r="B797" s="44"/>
      <c r="C797" s="44"/>
    </row>
    <row r="798">
      <c r="A798" s="44"/>
      <c r="B798" s="44"/>
      <c r="C798" s="44"/>
    </row>
    <row r="799">
      <c r="A799" s="44"/>
      <c r="B799" s="44"/>
      <c r="C799" s="44"/>
    </row>
    <row r="800">
      <c r="A800" s="44"/>
      <c r="B800" s="44"/>
      <c r="C800" s="44"/>
    </row>
    <row r="801">
      <c r="A801" s="44"/>
      <c r="B801" s="44"/>
      <c r="C801" s="44"/>
    </row>
    <row r="802">
      <c r="A802" s="44"/>
      <c r="B802" s="44"/>
      <c r="C802" s="44"/>
    </row>
    <row r="803">
      <c r="A803" s="44"/>
      <c r="B803" s="44"/>
      <c r="C803" s="44"/>
    </row>
    <row r="804">
      <c r="A804" s="44"/>
      <c r="B804" s="44"/>
      <c r="C804" s="44"/>
    </row>
    <row r="805">
      <c r="A805" s="44"/>
      <c r="B805" s="44"/>
      <c r="C805" s="44"/>
    </row>
    <row r="806">
      <c r="A806" s="44"/>
      <c r="B806" s="44"/>
      <c r="C806" s="44"/>
    </row>
    <row r="807">
      <c r="A807" s="44"/>
      <c r="B807" s="44"/>
      <c r="C807" s="44"/>
    </row>
    <row r="808">
      <c r="A808" s="44"/>
      <c r="B808" s="44"/>
      <c r="C808" s="44"/>
    </row>
    <row r="809">
      <c r="A809" s="44"/>
      <c r="B809" s="44"/>
      <c r="C809" s="44"/>
    </row>
    <row r="810">
      <c r="A810" s="44"/>
      <c r="B810" s="44"/>
      <c r="C810" s="44"/>
    </row>
    <row r="811">
      <c r="A811" s="44"/>
      <c r="B811" s="44"/>
      <c r="C811" s="44"/>
    </row>
    <row r="812">
      <c r="A812" s="44"/>
      <c r="B812" s="44"/>
      <c r="C812" s="44"/>
    </row>
    <row r="813">
      <c r="A813" s="44"/>
      <c r="B813" s="44"/>
      <c r="C813" s="44"/>
    </row>
    <row r="814">
      <c r="A814" s="44"/>
      <c r="B814" s="44"/>
      <c r="C814" s="44"/>
    </row>
    <row r="815">
      <c r="A815" s="44"/>
      <c r="B815" s="44"/>
      <c r="C815" s="44"/>
    </row>
    <row r="816">
      <c r="A816" s="44"/>
      <c r="B816" s="44"/>
      <c r="C816" s="44"/>
    </row>
    <row r="817">
      <c r="A817" s="44"/>
      <c r="B817" s="44"/>
      <c r="C817" s="44"/>
    </row>
    <row r="818">
      <c r="A818" s="44"/>
      <c r="B818" s="44"/>
      <c r="C818" s="44"/>
    </row>
    <row r="819">
      <c r="A819" s="44"/>
      <c r="B819" s="44"/>
      <c r="C819" s="44"/>
    </row>
    <row r="820">
      <c r="A820" s="44"/>
      <c r="B820" s="44"/>
      <c r="C820" s="44"/>
    </row>
    <row r="821">
      <c r="A821" s="44"/>
      <c r="B821" s="44"/>
      <c r="C821" s="44"/>
    </row>
    <row r="822">
      <c r="A822" s="44"/>
      <c r="B822" s="44"/>
      <c r="C822" s="44"/>
    </row>
    <row r="823">
      <c r="A823" s="44"/>
      <c r="B823" s="44"/>
      <c r="C823" s="44"/>
    </row>
    <row r="824">
      <c r="A824" s="44"/>
      <c r="B824" s="44"/>
      <c r="C824" s="44"/>
    </row>
    <row r="825">
      <c r="A825" s="44"/>
      <c r="B825" s="44"/>
      <c r="C825" s="44"/>
    </row>
    <row r="826">
      <c r="A826" s="44"/>
      <c r="B826" s="44"/>
      <c r="C826" s="44"/>
    </row>
    <row r="827">
      <c r="A827" s="44"/>
      <c r="B827" s="44"/>
      <c r="C827" s="44"/>
    </row>
    <row r="828">
      <c r="A828" s="44"/>
      <c r="B828" s="44"/>
      <c r="C828" s="44"/>
    </row>
    <row r="829">
      <c r="A829" s="44"/>
      <c r="B829" s="44"/>
      <c r="C829" s="44"/>
    </row>
    <row r="830">
      <c r="A830" s="44"/>
      <c r="B830" s="44"/>
      <c r="C830" s="44"/>
    </row>
    <row r="831">
      <c r="A831" s="44"/>
      <c r="B831" s="44"/>
      <c r="C831" s="44"/>
    </row>
    <row r="832">
      <c r="A832" s="44"/>
      <c r="B832" s="44"/>
      <c r="C832" s="44"/>
    </row>
    <row r="833">
      <c r="A833" s="44"/>
      <c r="B833" s="44"/>
      <c r="C833" s="44"/>
    </row>
    <row r="834">
      <c r="A834" s="44"/>
      <c r="B834" s="44"/>
      <c r="C834" s="44"/>
    </row>
    <row r="835">
      <c r="A835" s="44"/>
      <c r="B835" s="44"/>
      <c r="C835" s="44"/>
    </row>
    <row r="836">
      <c r="A836" s="44"/>
      <c r="B836" s="44"/>
      <c r="C836" s="44"/>
    </row>
    <row r="837">
      <c r="A837" s="44"/>
      <c r="B837" s="44"/>
      <c r="C837" s="44"/>
    </row>
    <row r="838">
      <c r="A838" s="44"/>
      <c r="B838" s="44"/>
      <c r="C838" s="44"/>
    </row>
    <row r="839">
      <c r="A839" s="44"/>
      <c r="B839" s="44"/>
      <c r="C839" s="44"/>
    </row>
    <row r="840">
      <c r="A840" s="44"/>
      <c r="B840" s="44"/>
      <c r="C840" s="44"/>
    </row>
    <row r="841">
      <c r="A841" s="44"/>
      <c r="B841" s="44"/>
      <c r="C841" s="44"/>
    </row>
    <row r="842">
      <c r="A842" s="44"/>
      <c r="B842" s="44"/>
      <c r="C842" s="44"/>
    </row>
    <row r="843">
      <c r="A843" s="44"/>
      <c r="B843" s="44"/>
      <c r="C843" s="44"/>
    </row>
    <row r="844">
      <c r="A844" s="44"/>
      <c r="B844" s="44"/>
      <c r="C844" s="44"/>
    </row>
    <row r="845">
      <c r="A845" s="44"/>
      <c r="B845" s="44"/>
      <c r="C845" s="44"/>
    </row>
    <row r="846">
      <c r="A846" s="44"/>
      <c r="B846" s="44"/>
      <c r="C846" s="44"/>
    </row>
    <row r="847">
      <c r="A847" s="44"/>
      <c r="B847" s="44"/>
      <c r="C847" s="44"/>
    </row>
    <row r="848">
      <c r="A848" s="44"/>
      <c r="B848" s="44"/>
      <c r="C848" s="44"/>
    </row>
    <row r="849">
      <c r="A849" s="44"/>
      <c r="B849" s="44"/>
      <c r="C849" s="44"/>
    </row>
    <row r="850">
      <c r="A850" s="44"/>
      <c r="B850" s="44"/>
      <c r="C850" s="44"/>
    </row>
    <row r="851">
      <c r="A851" s="44"/>
      <c r="B851" s="44"/>
      <c r="C851" s="44"/>
    </row>
    <row r="852">
      <c r="A852" s="44"/>
      <c r="B852" s="44"/>
      <c r="C852" s="44"/>
    </row>
    <row r="853">
      <c r="A853" s="44"/>
      <c r="B853" s="44"/>
      <c r="C853" s="44"/>
    </row>
    <row r="854">
      <c r="A854" s="44"/>
      <c r="B854" s="44"/>
      <c r="C854" s="44"/>
    </row>
    <row r="855">
      <c r="A855" s="44"/>
      <c r="B855" s="44"/>
      <c r="C855" s="44"/>
    </row>
    <row r="856">
      <c r="A856" s="44"/>
      <c r="B856" s="44"/>
      <c r="C856" s="44"/>
    </row>
    <row r="857">
      <c r="A857" s="44"/>
      <c r="B857" s="44"/>
      <c r="C857" s="44"/>
    </row>
    <row r="858">
      <c r="A858" s="44"/>
      <c r="B858" s="44"/>
      <c r="C858" s="44"/>
    </row>
    <row r="859">
      <c r="A859" s="44"/>
      <c r="B859" s="44"/>
      <c r="C859" s="44"/>
    </row>
    <row r="860">
      <c r="A860" s="44"/>
      <c r="B860" s="44"/>
      <c r="C860" s="44"/>
    </row>
    <row r="861">
      <c r="A861" s="44"/>
      <c r="B861" s="44"/>
      <c r="C861" s="44"/>
    </row>
    <row r="862">
      <c r="A862" s="44"/>
      <c r="B862" s="44"/>
      <c r="C862" s="44"/>
    </row>
    <row r="863">
      <c r="A863" s="44"/>
      <c r="B863" s="44"/>
      <c r="C863" s="44"/>
    </row>
    <row r="864">
      <c r="A864" s="44"/>
      <c r="B864" s="44"/>
      <c r="C864" s="44"/>
    </row>
    <row r="865">
      <c r="A865" s="44"/>
      <c r="B865" s="44"/>
      <c r="C865" s="44"/>
    </row>
    <row r="866">
      <c r="A866" s="44"/>
      <c r="B866" s="44"/>
      <c r="C866" s="44"/>
    </row>
    <row r="867">
      <c r="A867" s="44"/>
      <c r="B867" s="44"/>
      <c r="C867" s="44"/>
    </row>
    <row r="868">
      <c r="A868" s="44"/>
      <c r="B868" s="44"/>
      <c r="C868" s="44"/>
    </row>
    <row r="869">
      <c r="A869" s="44"/>
      <c r="B869" s="44"/>
      <c r="C869" s="44"/>
    </row>
    <row r="870">
      <c r="A870" s="44"/>
      <c r="B870" s="44"/>
      <c r="C870" s="44"/>
    </row>
    <row r="871">
      <c r="A871" s="44"/>
      <c r="B871" s="44"/>
      <c r="C871" s="44"/>
    </row>
    <row r="872">
      <c r="A872" s="44"/>
      <c r="B872" s="44"/>
      <c r="C872" s="44"/>
    </row>
    <row r="873">
      <c r="A873" s="44"/>
      <c r="B873" s="44"/>
      <c r="C873" s="44"/>
    </row>
    <row r="874">
      <c r="A874" s="44"/>
      <c r="B874" s="44"/>
      <c r="C874" s="44"/>
    </row>
    <row r="875">
      <c r="A875" s="44"/>
      <c r="B875" s="44"/>
      <c r="C875" s="44"/>
    </row>
    <row r="876">
      <c r="A876" s="44"/>
      <c r="B876" s="44"/>
      <c r="C876" s="44"/>
    </row>
    <row r="877">
      <c r="A877" s="44"/>
      <c r="B877" s="44"/>
      <c r="C877" s="44"/>
    </row>
    <row r="878">
      <c r="A878" s="44"/>
      <c r="B878" s="44"/>
      <c r="C878" s="44"/>
    </row>
    <row r="879">
      <c r="A879" s="44"/>
      <c r="B879" s="44"/>
      <c r="C879" s="44"/>
    </row>
    <row r="880">
      <c r="A880" s="44"/>
      <c r="B880" s="44"/>
      <c r="C880" s="44"/>
    </row>
    <row r="881">
      <c r="A881" s="44"/>
      <c r="B881" s="44"/>
      <c r="C881" s="44"/>
    </row>
    <row r="882">
      <c r="A882" s="44"/>
      <c r="B882" s="44"/>
      <c r="C882" s="44"/>
    </row>
    <row r="883">
      <c r="A883" s="44"/>
      <c r="B883" s="44"/>
      <c r="C883" s="44"/>
    </row>
    <row r="884">
      <c r="A884" s="44"/>
      <c r="B884" s="44"/>
      <c r="C884" s="44"/>
    </row>
    <row r="885">
      <c r="A885" s="44"/>
      <c r="B885" s="44"/>
      <c r="C885" s="44"/>
    </row>
    <row r="886">
      <c r="A886" s="44"/>
      <c r="B886" s="44"/>
      <c r="C886" s="44"/>
    </row>
    <row r="887">
      <c r="A887" s="44"/>
      <c r="B887" s="44"/>
      <c r="C887" s="44"/>
    </row>
    <row r="888">
      <c r="A888" s="44"/>
      <c r="B888" s="44"/>
      <c r="C888" s="44"/>
    </row>
    <row r="889">
      <c r="A889" s="44"/>
      <c r="B889" s="44"/>
      <c r="C889" s="44"/>
    </row>
    <row r="890">
      <c r="A890" s="44"/>
      <c r="B890" s="44"/>
      <c r="C890" s="44"/>
    </row>
    <row r="891">
      <c r="A891" s="44"/>
      <c r="B891" s="44"/>
      <c r="C891" s="44"/>
    </row>
    <row r="892">
      <c r="A892" s="44"/>
      <c r="B892" s="44"/>
      <c r="C892" s="44"/>
    </row>
    <row r="893">
      <c r="A893" s="44"/>
      <c r="B893" s="44"/>
      <c r="C893" s="44"/>
    </row>
    <row r="894">
      <c r="A894" s="44"/>
      <c r="B894" s="44"/>
      <c r="C894" s="44"/>
    </row>
    <row r="895">
      <c r="A895" s="44"/>
      <c r="B895" s="44"/>
      <c r="C895" s="44"/>
    </row>
    <row r="896">
      <c r="A896" s="44"/>
      <c r="B896" s="44"/>
      <c r="C896" s="44"/>
    </row>
    <row r="897">
      <c r="A897" s="44"/>
      <c r="B897" s="44"/>
      <c r="C897" s="44"/>
    </row>
    <row r="898">
      <c r="A898" s="44"/>
      <c r="B898" s="44"/>
      <c r="C898" s="44"/>
    </row>
    <row r="899">
      <c r="A899" s="44"/>
      <c r="B899" s="44"/>
      <c r="C899" s="44"/>
    </row>
    <row r="900">
      <c r="A900" s="44"/>
      <c r="B900" s="44"/>
      <c r="C900" s="44"/>
    </row>
    <row r="901">
      <c r="A901" s="44"/>
      <c r="B901" s="44"/>
      <c r="C901" s="44"/>
    </row>
    <row r="902">
      <c r="A902" s="44"/>
      <c r="B902" s="44"/>
      <c r="C902" s="44"/>
    </row>
    <row r="903">
      <c r="A903" s="44"/>
      <c r="B903" s="44"/>
      <c r="C903" s="44"/>
    </row>
    <row r="904">
      <c r="A904" s="44"/>
      <c r="B904" s="44"/>
      <c r="C904" s="44"/>
    </row>
    <row r="905">
      <c r="A905" s="44"/>
      <c r="B905" s="44"/>
      <c r="C905" s="44"/>
    </row>
    <row r="906">
      <c r="A906" s="44"/>
      <c r="B906" s="44"/>
      <c r="C906" s="44"/>
    </row>
    <row r="907">
      <c r="A907" s="44"/>
      <c r="B907" s="44"/>
      <c r="C907" s="44"/>
    </row>
    <row r="908">
      <c r="A908" s="44"/>
      <c r="B908" s="44"/>
      <c r="C908" s="44"/>
    </row>
    <row r="909">
      <c r="A909" s="44"/>
      <c r="B909" s="44"/>
      <c r="C909" s="44"/>
    </row>
    <row r="910">
      <c r="A910" s="44"/>
      <c r="B910" s="44"/>
      <c r="C910" s="44"/>
    </row>
    <row r="911">
      <c r="A911" s="44"/>
      <c r="B911" s="44"/>
      <c r="C911" s="44"/>
    </row>
    <row r="912">
      <c r="A912" s="44"/>
      <c r="B912" s="44"/>
      <c r="C912" s="44"/>
    </row>
    <row r="913">
      <c r="A913" s="44"/>
      <c r="B913" s="44"/>
      <c r="C913" s="44"/>
    </row>
    <row r="914">
      <c r="A914" s="44"/>
      <c r="B914" s="44"/>
      <c r="C914" s="44"/>
    </row>
    <row r="915">
      <c r="A915" s="44"/>
      <c r="B915" s="44"/>
      <c r="C915" s="44"/>
    </row>
    <row r="916">
      <c r="A916" s="44"/>
      <c r="B916" s="44"/>
      <c r="C916" s="44"/>
    </row>
    <row r="917">
      <c r="A917" s="44"/>
      <c r="B917" s="44"/>
      <c r="C917" s="44"/>
    </row>
    <row r="918">
      <c r="A918" s="44"/>
      <c r="B918" s="44"/>
      <c r="C918" s="44"/>
    </row>
    <row r="919">
      <c r="A919" s="44"/>
      <c r="B919" s="44"/>
      <c r="C919" s="44"/>
    </row>
    <row r="920">
      <c r="A920" s="44"/>
      <c r="B920" s="44"/>
      <c r="C920" s="44"/>
    </row>
    <row r="921">
      <c r="A921" s="44"/>
      <c r="B921" s="44"/>
      <c r="C921" s="44"/>
    </row>
    <row r="922">
      <c r="A922" s="44"/>
      <c r="B922" s="44"/>
      <c r="C922" s="44"/>
    </row>
    <row r="923">
      <c r="A923" s="44"/>
      <c r="B923" s="44"/>
      <c r="C923" s="44"/>
    </row>
    <row r="924">
      <c r="A924" s="44"/>
      <c r="B924" s="44"/>
      <c r="C924" s="44"/>
    </row>
    <row r="925">
      <c r="A925" s="44"/>
      <c r="B925" s="44"/>
      <c r="C925" s="44"/>
    </row>
    <row r="926">
      <c r="A926" s="44"/>
      <c r="B926" s="44"/>
      <c r="C926" s="44"/>
    </row>
    <row r="927">
      <c r="A927" s="44"/>
      <c r="B927" s="44"/>
      <c r="C927" s="44"/>
    </row>
    <row r="928">
      <c r="A928" s="44"/>
      <c r="B928" s="44"/>
      <c r="C928" s="44"/>
    </row>
    <row r="929">
      <c r="A929" s="44"/>
      <c r="B929" s="44"/>
      <c r="C929" s="44"/>
    </row>
    <row r="930">
      <c r="A930" s="44"/>
      <c r="B930" s="44"/>
      <c r="C930" s="44"/>
    </row>
    <row r="931">
      <c r="A931" s="44"/>
      <c r="B931" s="44"/>
      <c r="C931" s="44"/>
    </row>
    <row r="932">
      <c r="A932" s="44"/>
      <c r="B932" s="44"/>
      <c r="C932" s="44"/>
    </row>
    <row r="933">
      <c r="A933" s="44"/>
      <c r="B933" s="44"/>
      <c r="C933" s="44"/>
    </row>
    <row r="934">
      <c r="A934" s="44"/>
      <c r="B934" s="44"/>
      <c r="C934" s="44"/>
    </row>
    <row r="935">
      <c r="A935" s="44"/>
      <c r="B935" s="44"/>
      <c r="C935" s="44"/>
    </row>
    <row r="936">
      <c r="A936" s="44"/>
      <c r="B936" s="44"/>
      <c r="C936" s="44"/>
    </row>
    <row r="937">
      <c r="A937" s="44"/>
      <c r="B937" s="44"/>
      <c r="C937" s="44"/>
    </row>
    <row r="938">
      <c r="A938" s="44"/>
      <c r="B938" s="44"/>
      <c r="C938" s="44"/>
    </row>
    <row r="939">
      <c r="A939" s="44"/>
      <c r="B939" s="44"/>
      <c r="C939" s="44"/>
    </row>
    <row r="940">
      <c r="A940" s="44"/>
      <c r="B940" s="44"/>
      <c r="C940" s="44"/>
    </row>
    <row r="941">
      <c r="A941" s="44"/>
      <c r="B941" s="44"/>
      <c r="C941" s="44"/>
    </row>
    <row r="942">
      <c r="A942" s="44"/>
      <c r="B942" s="44"/>
      <c r="C942" s="44"/>
    </row>
    <row r="943">
      <c r="A943" s="44"/>
      <c r="B943" s="44"/>
      <c r="C943" s="44"/>
    </row>
    <row r="944">
      <c r="A944" s="44"/>
      <c r="B944" s="44"/>
      <c r="C944" s="44"/>
    </row>
    <row r="945">
      <c r="A945" s="44"/>
      <c r="B945" s="44"/>
      <c r="C945" s="44"/>
    </row>
    <row r="946">
      <c r="A946" s="44"/>
      <c r="B946" s="44"/>
      <c r="C946" s="44"/>
    </row>
    <row r="947">
      <c r="A947" s="44"/>
      <c r="B947" s="44"/>
      <c r="C947" s="44"/>
    </row>
    <row r="948">
      <c r="A948" s="44"/>
      <c r="B948" s="44"/>
      <c r="C948" s="44"/>
    </row>
    <row r="949">
      <c r="A949" s="44"/>
      <c r="B949" s="44"/>
      <c r="C949" s="44"/>
    </row>
    <row r="950">
      <c r="A950" s="44"/>
      <c r="B950" s="44"/>
      <c r="C950" s="44"/>
    </row>
    <row r="951">
      <c r="A951" s="44"/>
      <c r="B951" s="44"/>
      <c r="C951" s="44"/>
    </row>
    <row r="952">
      <c r="A952" s="44"/>
      <c r="B952" s="44"/>
      <c r="C952" s="44"/>
    </row>
    <row r="953">
      <c r="A953" s="44"/>
      <c r="B953" s="44"/>
      <c r="C953" s="44"/>
    </row>
    <row r="954">
      <c r="A954" s="44"/>
      <c r="B954" s="44"/>
      <c r="C954" s="44"/>
    </row>
    <row r="955">
      <c r="A955" s="44"/>
      <c r="B955" s="44"/>
      <c r="C955" s="44"/>
    </row>
    <row r="956">
      <c r="A956" s="44"/>
      <c r="B956" s="44"/>
      <c r="C956" s="44"/>
    </row>
    <row r="957">
      <c r="A957" s="44"/>
      <c r="B957" s="44"/>
      <c r="C957" s="44"/>
    </row>
    <row r="958">
      <c r="A958" s="44"/>
      <c r="B958" s="44"/>
      <c r="C958" s="44"/>
    </row>
    <row r="959">
      <c r="A959" s="44"/>
      <c r="B959" s="44"/>
      <c r="C959" s="44"/>
    </row>
    <row r="960">
      <c r="A960" s="44"/>
      <c r="B960" s="44"/>
      <c r="C960" s="44"/>
    </row>
    <row r="961">
      <c r="A961" s="44"/>
      <c r="B961" s="44"/>
      <c r="C961" s="44"/>
    </row>
    <row r="962">
      <c r="A962" s="44"/>
      <c r="B962" s="44"/>
      <c r="C962" s="44"/>
    </row>
    <row r="963">
      <c r="A963" s="44"/>
      <c r="B963" s="44"/>
      <c r="C963" s="44"/>
    </row>
    <row r="964">
      <c r="A964" s="44"/>
      <c r="B964" s="44"/>
      <c r="C964" s="44"/>
    </row>
    <row r="965">
      <c r="A965" s="44"/>
      <c r="B965" s="44"/>
      <c r="C965" s="44"/>
    </row>
    <row r="966">
      <c r="A966" s="44"/>
      <c r="B966" s="44"/>
      <c r="C966" s="44"/>
    </row>
    <row r="967">
      <c r="A967" s="44"/>
      <c r="B967" s="44"/>
      <c r="C967" s="44"/>
    </row>
    <row r="968">
      <c r="A968" s="44"/>
      <c r="B968" s="44"/>
      <c r="C968" s="44"/>
    </row>
    <row r="969">
      <c r="A969" s="44"/>
      <c r="B969" s="44"/>
      <c r="C969" s="44"/>
    </row>
    <row r="970">
      <c r="A970" s="44"/>
      <c r="B970" s="44"/>
      <c r="C970" s="44"/>
    </row>
    <row r="971">
      <c r="A971" s="44"/>
      <c r="B971" s="44"/>
      <c r="C971" s="44"/>
    </row>
    <row r="972">
      <c r="A972" s="44"/>
      <c r="B972" s="44"/>
      <c r="C972" s="44"/>
    </row>
    <row r="973">
      <c r="A973" s="44"/>
      <c r="B973" s="44"/>
      <c r="C973" s="44"/>
    </row>
    <row r="974">
      <c r="A974" s="44"/>
      <c r="B974" s="44"/>
      <c r="C974" s="44"/>
    </row>
    <row r="975">
      <c r="A975" s="44"/>
      <c r="B975" s="44"/>
      <c r="C975" s="44"/>
    </row>
    <row r="976">
      <c r="A976" s="44"/>
      <c r="B976" s="44"/>
      <c r="C976" s="44"/>
    </row>
    <row r="977">
      <c r="A977" s="44"/>
      <c r="B977" s="44"/>
      <c r="C977" s="44"/>
    </row>
    <row r="978">
      <c r="A978" s="44"/>
      <c r="B978" s="44"/>
      <c r="C978" s="44"/>
    </row>
    <row r="979">
      <c r="A979" s="44"/>
      <c r="B979" s="44"/>
      <c r="C979" s="44"/>
    </row>
    <row r="980">
      <c r="A980" s="44"/>
      <c r="B980" s="44"/>
      <c r="C980" s="44"/>
    </row>
    <row r="981">
      <c r="A981" s="44"/>
      <c r="B981" s="44"/>
      <c r="C981" s="44"/>
    </row>
    <row r="982">
      <c r="A982" s="44"/>
      <c r="B982" s="44"/>
      <c r="C982" s="44"/>
    </row>
    <row r="983">
      <c r="A983" s="44"/>
      <c r="B983" s="44"/>
      <c r="C983" s="44"/>
    </row>
    <row r="984">
      <c r="A984" s="44"/>
      <c r="B984" s="44"/>
      <c r="C984" s="44"/>
    </row>
    <row r="985">
      <c r="A985" s="44"/>
      <c r="B985" s="44"/>
      <c r="C985" s="44"/>
    </row>
    <row r="986">
      <c r="A986" s="44"/>
      <c r="B986" s="44"/>
      <c r="C986" s="44"/>
    </row>
    <row r="987">
      <c r="A987" s="44"/>
      <c r="B987" s="44"/>
      <c r="C987" s="44"/>
    </row>
    <row r="988">
      <c r="A988" s="44"/>
      <c r="B988" s="44"/>
      <c r="C988" s="44"/>
    </row>
    <row r="989">
      <c r="A989" s="44"/>
      <c r="B989" s="44"/>
      <c r="C989" s="44"/>
    </row>
    <row r="990">
      <c r="A990" s="44"/>
      <c r="B990" s="44"/>
      <c r="C990" s="44"/>
    </row>
    <row r="991">
      <c r="A991" s="44"/>
      <c r="B991" s="44"/>
      <c r="C991" s="44"/>
    </row>
    <row r="992">
      <c r="A992" s="44"/>
      <c r="B992" s="44"/>
      <c r="C992" s="44"/>
    </row>
    <row r="993">
      <c r="A993" s="44"/>
      <c r="B993" s="44"/>
      <c r="C993" s="44"/>
    </row>
    <row r="994">
      <c r="A994" s="44"/>
      <c r="B994" s="44"/>
      <c r="C994" s="44"/>
    </row>
    <row r="995">
      <c r="A995" s="44"/>
      <c r="B995" s="44"/>
      <c r="C995" s="44"/>
    </row>
    <row r="996">
      <c r="A996" s="44"/>
      <c r="B996" s="44"/>
      <c r="C996" s="44"/>
    </row>
    <row r="997">
      <c r="A997" s="44"/>
      <c r="B997" s="44"/>
      <c r="C997" s="44"/>
    </row>
    <row r="998">
      <c r="A998" s="44"/>
      <c r="B998" s="44"/>
      <c r="C998" s="44"/>
    </row>
    <row r="999">
      <c r="A999" s="44"/>
      <c r="B999" s="44"/>
      <c r="C999" s="44"/>
    </row>
    <row r="1000">
      <c r="A1000" s="44"/>
      <c r="B1000" s="44"/>
      <c r="C1000" s="4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9.25"/>
    <col customWidth="1" min="3" max="3" width="17.5"/>
    <col customWidth="1" min="4" max="4" width="11.5"/>
    <col customWidth="1" min="5" max="5" width="6.75"/>
    <col customWidth="1" min="6" max="6" width="59.0"/>
  </cols>
  <sheetData>
    <row r="1">
      <c r="A1" s="45" t="s">
        <v>8</v>
      </c>
      <c r="B1" s="46" t="s">
        <v>9</v>
      </c>
      <c r="C1" s="46" t="s">
        <v>899</v>
      </c>
      <c r="D1" s="46" t="s">
        <v>10</v>
      </c>
      <c r="E1" s="46" t="s">
        <v>901</v>
      </c>
      <c r="F1" s="46" t="s">
        <v>902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5" t="str">
        <f>IFERROR(__xludf.DUMMYFUNCTION("LET(rolls_matrix, {'Form Responses'!E2:E1000, 'Form Responses'!K2:K1000, 'Form Responses'!O2:O1000, 'Form Responses'!S2:S1000, 'Form Responses'!W2:W1000, 'Form Responses'!AA2:AA1000}, all_rolls, FLATTEN(rolls_matrix), filtered, FILTER(all_rolls, all_rolls"&amp;"&lt;&gt;""""), unique_rolls, UNIQUE(filtered), counts, MAP(unique_rolls, LAMBDA(r, SUM(ARRAYFORMULA(--(filtered=r))))), dup_rolls, IFERROR(FILTER(unique_rolls, counts&gt;1), {""@@NO_DUPS@@""}), dup_counts, BYROW(rolls_matrix, LAMBDA(row, SUM(ARRAYFORMULA(--ISNUMBE"&amp;"R(MATCH(row, dup_rolls, 0)))))), base_data, {'Form Responses'!C2:C1000, 'Form Responses'!F2:F1000, 'Form Responses'!I2:I1000, 'Form Responses'!H2:H1000, 'Form Responses'!G2:G1000}, dup_members, BYROW(rolls_matrix, LAMBDA(row, TEXTJOIN("", "", TRUE, ARRAYF"&amp;"ORMULA(IF(ISNUMBER(MATCH(row, dup_rolls, 0)), row, """"))))), IFERROR(FILTER({base_data, dup_members}, dup_counts &gt; 0), {""No duplicates found"", """", """", """", """", """"}))"),"TEAM AURA")</f>
        <v>TEAM AURA</v>
      </c>
      <c r="B2" s="35" t="str">
        <f>IFERROR(__xludf.DUMMYFUNCTION("""COMPUTED_VALUE"""),"SRI DHARSAN S")</f>
        <v>SRI DHARSAN S</v>
      </c>
      <c r="C2" s="35">
        <f>IFERROR(__xludf.DUMMYFUNCTION("""COMPUTED_VALUE"""),6.369201441E9)</f>
        <v>6369201441</v>
      </c>
      <c r="D2" s="35" t="str">
        <f>IFERROR(__xludf.DUMMYFUNCTION("""COMPUTED_VALUE"""),"CSBS")</f>
        <v>CSBS</v>
      </c>
      <c r="E2" s="35" t="str">
        <f>IFERROR(__xludf.DUMMYFUNCTION("""COMPUTED_VALUE"""),"II")</f>
        <v>II</v>
      </c>
      <c r="F2" s="35" t="str">
        <f>IFERROR(__xludf.DUMMYFUNCTION("""COMPUTED_VALUE"""),"LATERAL ")</f>
        <v>LATERAL 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 t="str">
        <f>IFERROR(__xludf.DUMMYFUNCTION("""COMPUTED_VALUE"""),"TRIFID CODERS")</f>
        <v>TRIFID CODERS</v>
      </c>
      <c r="B3" s="35" t="str">
        <f>IFERROR(__xludf.DUMMYFUNCTION("""COMPUTED_VALUE"""),"SANJAY VIKAS R")</f>
        <v>SANJAY VIKAS R</v>
      </c>
      <c r="C3" s="35">
        <f>IFERROR(__xludf.DUMMYFUNCTION("""COMPUTED_VALUE"""),9.361006457E9)</f>
        <v>9361006457</v>
      </c>
      <c r="D3" s="35" t="str">
        <f>IFERROR(__xludf.DUMMYFUNCTION("""COMPUTED_VALUE"""),"AI &amp; DS")</f>
        <v>AI &amp; DS</v>
      </c>
      <c r="E3" s="35" t="str">
        <f>IFERROR(__xludf.DUMMYFUNCTION("""COMPUTED_VALUE"""),"III")</f>
        <v>III</v>
      </c>
      <c r="F3" s="35" t="str">
        <f>IFERROR(__xludf.DUMMYFUNCTION("""COMPUTED_VALUE"""),"Lateral entry ")</f>
        <v>Lateral entry 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 t="str">
        <f>IFERROR(__xludf.DUMMYFUNCTION("""COMPUTED_VALUE"""),"MARVELX")</f>
        <v>MARVELX</v>
      </c>
      <c r="B4" s="35" t="str">
        <f>IFERROR(__xludf.DUMMYFUNCTION("""COMPUTED_VALUE"""),"ASHMITHA P")</f>
        <v>ASHMITHA P</v>
      </c>
      <c r="C4" s="35">
        <f>IFERROR(__xludf.DUMMYFUNCTION("""COMPUTED_VALUE"""),9.095023302E9)</f>
        <v>9095023302</v>
      </c>
      <c r="D4" s="35" t="str">
        <f>IFERROR(__xludf.DUMMYFUNCTION("""COMPUTED_VALUE"""),"CSE")</f>
        <v>CSE</v>
      </c>
      <c r="E4" s="35" t="str">
        <f>IFERROR(__xludf.DUMMYFUNCTION("""COMPUTED_VALUE"""),"II")</f>
        <v>II</v>
      </c>
      <c r="F4" s="35" t="str">
        <f>IFERROR(__xludf.DUMMYFUNCTION("""COMPUTED_VALUE"""),"LATERAL ")</f>
        <v>LATERAL 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 t="str">
        <f>IFERROR(__xludf.DUMMYFUNCTION("""COMPUTED_VALUE"""),"InnovAltors")</f>
        <v>InnovAltors</v>
      </c>
      <c r="B5" s="35" t="str">
        <f>IFERROR(__xludf.DUMMYFUNCTION("""COMPUTED_VALUE"""),"Vishnu Mari N")</f>
        <v>Vishnu Mari N</v>
      </c>
      <c r="C5" s="35">
        <f>IFERROR(__xludf.DUMMYFUNCTION("""COMPUTED_VALUE"""),7.010305945E9)</f>
        <v>7010305945</v>
      </c>
      <c r="D5" s="35" t="str">
        <f>IFERROR(__xludf.DUMMYFUNCTION("""COMPUTED_VALUE"""),"AI &amp; DS")</f>
        <v>AI &amp; DS</v>
      </c>
      <c r="E5" s="35" t="str">
        <f>IFERROR(__xludf.DUMMYFUNCTION("""COMPUTED_VALUE"""),"II")</f>
        <v>II</v>
      </c>
      <c r="F5" s="35" t="str">
        <f>IFERROR(__xludf.DUMMYFUNCTION("""COMPUTED_VALUE"""),"LATERAL ")</f>
        <v>LATERAL 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 t="str">
        <f>IFERROR(__xludf.DUMMYFUNCTION("""COMPUTED_VALUE""")," QUANTUMGUARDS")</f>
        <v> QUANTUMGUARDS</v>
      </c>
      <c r="B6" s="35" t="str">
        <f>IFERROR(__xludf.DUMMYFUNCTION("""COMPUTED_VALUE"""),"ABINESH M ")</f>
        <v>ABINESH M </v>
      </c>
      <c r="C6" s="35">
        <f>IFERROR(__xludf.DUMMYFUNCTION("""COMPUTED_VALUE"""),6.374548131E9)</f>
        <v>6374548131</v>
      </c>
      <c r="D6" s="35" t="str">
        <f>IFERROR(__xludf.DUMMYFUNCTION("""COMPUTED_VALUE"""),"CSE")</f>
        <v>CSE</v>
      </c>
      <c r="E6" s="35" t="str">
        <f>IFERROR(__xludf.DUMMYFUNCTION("""COMPUTED_VALUE"""),"II")</f>
        <v>II</v>
      </c>
      <c r="F6" s="35" t="str">
        <f>IFERROR(__xludf.DUMMYFUNCTION("""COMPUTED_VALUE"""),"Lateral ")</f>
        <v>Lateral 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 t="str">
        <f>IFERROR(__xludf.DUMMYFUNCTION("""COMPUTED_VALUE"""),"YUTA")</f>
        <v>YUTA</v>
      </c>
      <c r="B7" s="35" t="str">
        <f>IFERROR(__xludf.DUMMYFUNCTION("""COMPUTED_VALUE"""),"YUGESHWARAN S")</f>
        <v>YUGESHWARAN S</v>
      </c>
      <c r="C7" s="35">
        <f>IFERROR(__xludf.DUMMYFUNCTION("""COMPUTED_VALUE"""),9.566246403E9)</f>
        <v>9566246403</v>
      </c>
      <c r="D7" s="35" t="str">
        <f>IFERROR(__xludf.DUMMYFUNCTION("""COMPUTED_VALUE"""),"CSE")</f>
        <v>CSE</v>
      </c>
      <c r="E7" s="35" t="str">
        <f>IFERROR(__xludf.DUMMYFUNCTION("""COMPUTED_VALUE"""),"II")</f>
        <v>II</v>
      </c>
      <c r="F7" s="35" t="str">
        <f>IFERROR(__xludf.DUMMYFUNCTION("""COMPUTED_VALUE"""),"NIL, NIL")</f>
        <v>NIL, NIL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 t="str">
        <f>IFERROR(__xludf.DUMMYFUNCTION("""COMPUTED_VALUE"""),"SCAR FACE")</f>
        <v>SCAR FACE</v>
      </c>
      <c r="B8" s="35" t="str">
        <f>IFERROR(__xludf.DUMMYFUNCTION("""COMPUTED_VALUE"""),"ABHISHEIK RAJA ST ")</f>
        <v>ABHISHEIK RAJA ST </v>
      </c>
      <c r="C8" s="35">
        <f>IFERROR(__xludf.DUMMYFUNCTION("""COMPUTED_VALUE"""),8.903450031E9)</f>
        <v>8903450031</v>
      </c>
      <c r="D8" s="35" t="str">
        <f>IFERROR(__xludf.DUMMYFUNCTION("""COMPUTED_VALUE"""),"CSE")</f>
        <v>CSE</v>
      </c>
      <c r="E8" s="35" t="str">
        <f>IFERROR(__xludf.DUMMYFUNCTION("""COMPUTED_VALUE"""),"II")</f>
        <v>II</v>
      </c>
      <c r="F8" s="35" t="str">
        <f>IFERROR(__xludf.DUMMYFUNCTION("""COMPUTED_VALUE"""),"Lateral")</f>
        <v>Lateral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 t="str">
        <f>IFERROR(__xludf.DUMMYFUNCTION("""COMPUTED_VALUE"""),"NOVA NEXUS")</f>
        <v>NOVA NEXUS</v>
      </c>
      <c r="B9" s="35" t="str">
        <f>IFERROR(__xludf.DUMMYFUNCTION("""COMPUTED_VALUE"""),"ASWATHA S")</f>
        <v>ASWATHA S</v>
      </c>
      <c r="C9" s="35">
        <f>IFERROR(__xludf.DUMMYFUNCTION("""COMPUTED_VALUE"""),9.952312646E9)</f>
        <v>9952312646</v>
      </c>
      <c r="D9" s="35" t="str">
        <f>IFERROR(__xludf.DUMMYFUNCTION("""COMPUTED_VALUE"""),"CSBS")</f>
        <v>CSBS</v>
      </c>
      <c r="E9" s="35" t="str">
        <f>IFERROR(__xludf.DUMMYFUNCTION("""COMPUTED_VALUE"""),"II")</f>
        <v>II</v>
      </c>
      <c r="F9" s="35" t="str">
        <f>IFERROR(__xludf.DUMMYFUNCTION("""COMPUTED_VALUE"""),"25AD206")</f>
        <v>25AD206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 t="str">
        <f>IFERROR(__xludf.DUMMYFUNCTION("""COMPUTED_VALUE"""),"Xarlex")</f>
        <v>Xarlex</v>
      </c>
      <c r="B10" s="35" t="str">
        <f>IFERROR(__xludf.DUMMYFUNCTION("""COMPUTED_VALUE"""),"GOWSALYA.B")</f>
        <v>GOWSALYA.B</v>
      </c>
      <c r="C10" s="35" t="str">
        <f>IFERROR(__xludf.DUMMYFUNCTION("""COMPUTED_VALUE""")," 86670 44834")</f>
        <v> 86670 44834</v>
      </c>
      <c r="D10" s="35" t="str">
        <f>IFERROR(__xludf.DUMMYFUNCTION("""COMPUTED_VALUE"""),"CSE")</f>
        <v>CSE</v>
      </c>
      <c r="E10" s="35" t="str">
        <f>IFERROR(__xludf.DUMMYFUNCTION("""COMPUTED_VALUE"""),"II")</f>
        <v>II</v>
      </c>
      <c r="F10" s="35" t="str">
        <f>IFERROR(__xludf.DUMMYFUNCTION("""COMPUTED_VALUE"""),"Lateral")</f>
        <v>Lateral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 t="str">
        <f>IFERROR(__xludf.DUMMYFUNCTION("""COMPUTED_VALUE"""),"CIPHER NEXUS")</f>
        <v>CIPHER NEXUS</v>
      </c>
      <c r="B11" s="35" t="str">
        <f>IFERROR(__xludf.DUMMYFUNCTION("""COMPUTED_VALUE"""),"GAVINAYAA S ")</f>
        <v>GAVINAYAA S </v>
      </c>
      <c r="C11" s="35">
        <f>IFERROR(__xludf.DUMMYFUNCTION("""COMPUTED_VALUE"""),8.870952993E9)</f>
        <v>8870952993</v>
      </c>
      <c r="D11" s="35" t="str">
        <f>IFERROR(__xludf.DUMMYFUNCTION("""COMPUTED_VALUE"""),"CSE (CYS)")</f>
        <v>CSE (CYS)</v>
      </c>
      <c r="E11" s="35" t="str">
        <f>IFERROR(__xludf.DUMMYFUNCTION("""COMPUTED_VALUE"""),"II")</f>
        <v>II</v>
      </c>
      <c r="F11" s="35" t="str">
        <f>IFERROR(__xludf.DUMMYFUNCTION("""COMPUTED_VALUE"""),"Lateral entry ")</f>
        <v>Lateral entry 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 t="str">
        <f>IFERROR(__xludf.DUMMYFUNCTION("""COMPUTED_VALUE"""),"HONOTECHS")</f>
        <v>HONOTECHS</v>
      </c>
      <c r="B12" s="35" t="str">
        <f>IFERROR(__xludf.DUMMYFUNCTION("""COMPUTED_VALUE"""),"PAVAN PRIYAN M ")</f>
        <v>PAVAN PRIYAN M </v>
      </c>
      <c r="C12" s="35" t="str">
        <f>IFERROR(__xludf.DUMMYFUNCTION("""COMPUTED_VALUE"""),"94876 64458 ")</f>
        <v>94876 64458 </v>
      </c>
      <c r="D12" s="35" t="str">
        <f>IFERROR(__xludf.DUMMYFUNCTION("""COMPUTED_VALUE"""),"ECE")</f>
        <v>ECE</v>
      </c>
      <c r="E12" s="35" t="str">
        <f>IFERROR(__xludf.DUMMYFUNCTION("""COMPUTED_VALUE"""),"II")</f>
        <v>II</v>
      </c>
      <c r="F12" s="35" t="str">
        <f>IFERROR(__xludf.DUMMYFUNCTION("""COMPUTED_VALUE"""),"LATERAL ")</f>
        <v>LATERAL 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 t="str">
        <f>IFERROR(__xludf.DUMMYFUNCTION("""COMPUTED_VALUE"""),"Vyugam ")</f>
        <v>Vyugam </v>
      </c>
      <c r="B13" s="35" t="str">
        <f>IFERROR(__xludf.DUMMYFUNCTION("""COMPUTED_VALUE"""),"ARAVINDHA RAVICHANDRAN ")</f>
        <v>ARAVINDHA RAVICHANDRAN </v>
      </c>
      <c r="C13" s="35">
        <f>IFERROR(__xludf.DUMMYFUNCTION("""COMPUTED_VALUE"""),6.380608892E9)</f>
        <v>6380608892</v>
      </c>
      <c r="D13" s="35" t="str">
        <f>IFERROR(__xludf.DUMMYFUNCTION("""COMPUTED_VALUE"""),"ECE")</f>
        <v>ECE</v>
      </c>
      <c r="E13" s="35" t="str">
        <f>IFERROR(__xludf.DUMMYFUNCTION("""COMPUTED_VALUE"""),"II")</f>
        <v>II</v>
      </c>
      <c r="F13" s="35" t="str">
        <f>IFERROR(__xludf.DUMMYFUNCTION("""COMPUTED_VALUE"""),"Lateral")</f>
        <v>Lateral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4" t="str">
        <f>IFERROR(__xludf.DUMMYFUNCTION("""COMPUTED_VALUE"""),"SPACE X")</f>
        <v>SPACE X</v>
      </c>
      <c r="B14" s="47" t="str">
        <f>IFERROR(__xludf.DUMMYFUNCTION("""COMPUTED_VALUE"""),"Gokul.PN")</f>
        <v>Gokul.PN</v>
      </c>
      <c r="C14" s="34">
        <f>IFERROR(__xludf.DUMMYFUNCTION("""COMPUTED_VALUE"""),8.489738089E9)</f>
        <v>8489738089</v>
      </c>
      <c r="D14" s="34" t="str">
        <f>IFERROR(__xludf.DUMMYFUNCTION("""COMPUTED_VALUE"""),"CSE (AIML)")</f>
        <v>CSE (AIML)</v>
      </c>
      <c r="E14" s="34" t="str">
        <f>IFERROR(__xludf.DUMMYFUNCTION("""COMPUTED_VALUE"""),"II")</f>
        <v>II</v>
      </c>
      <c r="F14" s="34" t="str">
        <f>IFERROR(__xludf.DUMMYFUNCTION("""COMPUTED_VALUE"""),"Lateral entry , Lateral entry , Lateral entry ")</f>
        <v>Lateral entry , Lateral entry , Lateral entry 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5" t="str">
        <f>IFERROR(__xludf.DUMMYFUNCTION("""COMPUTED_VALUE"""),"Team GodLike")</f>
        <v>Team GodLike</v>
      </c>
      <c r="B15" s="35" t="str">
        <f>IFERROR(__xludf.DUMMYFUNCTION("""COMPUTED_VALUE"""),"ABHINAV K")</f>
        <v>ABHINAV K</v>
      </c>
      <c r="C15" s="35">
        <f>IFERROR(__xludf.DUMMYFUNCTION("""COMPUTED_VALUE"""),9.080420607E9)</f>
        <v>9080420607</v>
      </c>
      <c r="D15" s="35" t="str">
        <f>IFERROR(__xludf.DUMMYFUNCTION("""COMPUTED_VALUE"""),"AI &amp; DS")</f>
        <v>AI &amp; DS</v>
      </c>
      <c r="E15" s="35" t="str">
        <f>IFERROR(__xludf.DUMMYFUNCTION("""COMPUTED_VALUE"""),"III")</f>
        <v>III</v>
      </c>
      <c r="F15" s="35" t="str">
        <f>IFERROR(__xludf.DUMMYFUNCTION("""COMPUTED_VALUE"""),"24CC043")</f>
        <v>24CC043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 t="str">
        <f>IFERROR(__xludf.DUMMYFUNCTION("""COMPUTED_VALUE"""),"Sinister Six ")</f>
        <v>Sinister Six </v>
      </c>
      <c r="B16" s="35" t="str">
        <f>IFERROR(__xludf.DUMMYFUNCTION("""COMPUTED_VALUE"""),"Manikandan D")</f>
        <v>Manikandan D</v>
      </c>
      <c r="C16" s="35">
        <f>IFERROR(__xludf.DUMMYFUNCTION("""COMPUTED_VALUE"""),9.894224443E9)</f>
        <v>9894224443</v>
      </c>
      <c r="D16" s="35" t="str">
        <f>IFERROR(__xludf.DUMMYFUNCTION("""COMPUTED_VALUE"""),"IT")</f>
        <v>IT</v>
      </c>
      <c r="E16" s="35" t="str">
        <f>IFERROR(__xludf.DUMMYFUNCTION("""COMPUTED_VALUE"""),"III")</f>
        <v>III</v>
      </c>
      <c r="F16" s="35" t="str">
        <f>IFERROR(__xludf.DUMMYFUNCTION("""COMPUTED_VALUE"""),"24IT001")</f>
        <v>24IT001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 t="str">
        <f>IFERROR(__xludf.DUMMYFUNCTION("""COMPUTED_VALUE"""),"Code Storm")</f>
        <v>Code Storm</v>
      </c>
      <c r="B17" s="34" t="str">
        <f>IFERROR(__xludf.DUMMYFUNCTION("""COMPUTED_VALUE"""),"JEEVA DHARSHINI P")</f>
        <v>JEEVA DHARSHINI P</v>
      </c>
      <c r="C17" s="34">
        <f>IFERROR(__xludf.DUMMYFUNCTION("""COMPUTED_VALUE"""),9.043063787E9)</f>
        <v>9043063787</v>
      </c>
      <c r="D17" s="34" t="str">
        <f>IFERROR(__xludf.DUMMYFUNCTION("""COMPUTED_VALUE"""),"CSE (CYS)")</f>
        <v>CSE (CYS)</v>
      </c>
      <c r="E17" s="34" t="str">
        <f>IFERROR(__xludf.DUMMYFUNCTION("""COMPUTED_VALUE"""),"III")</f>
        <v>III</v>
      </c>
      <c r="F17" s="34" t="str">
        <f>IFERROR(__xludf.DUMMYFUNCTION("""COMPUTED_VALUE"""),"24IT001")</f>
        <v>24IT001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4" t="str">
        <f>IFERROR(__xludf.DUMMYFUNCTION("""COMPUTED_VALUE"""),"SMART CRAFTERS")</f>
        <v>SMART CRAFTERS</v>
      </c>
      <c r="B18" s="34" t="str">
        <f>IFERROR(__xludf.DUMMYFUNCTION("""COMPUTED_VALUE"""),"JEYASURIYA J ")</f>
        <v>JEYASURIYA J </v>
      </c>
      <c r="C18" s="34">
        <f>IFERROR(__xludf.DUMMYFUNCTION("""COMPUTED_VALUE"""),7.305066479E9)</f>
        <v>7305066479</v>
      </c>
      <c r="D18" s="34" t="str">
        <f>IFERROR(__xludf.DUMMYFUNCTION("""COMPUTED_VALUE"""),"ECE")</f>
        <v>ECE</v>
      </c>
      <c r="E18" s="34" t="str">
        <f>IFERROR(__xludf.DUMMYFUNCTION("""COMPUTED_VALUE"""),"III")</f>
        <v>III</v>
      </c>
      <c r="F18" s="34" t="str">
        <f>IFERROR(__xludf.DUMMYFUNCTION("""COMPUTED_VALUE"""),"24CC043")</f>
        <v>24CC043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 t="str">
        <f>IFERROR(__xludf.DUMMYFUNCTION("""COMPUTED_VALUE"""),"OMNISCIENTOPS")</f>
        <v>OMNISCIENTOPS</v>
      </c>
      <c r="B19" s="35" t="str">
        <f>IFERROR(__xludf.DUMMYFUNCTION("""COMPUTED_VALUE"""),"Kungumapriyaa M")</f>
        <v>Kungumapriyaa M</v>
      </c>
      <c r="C19" s="35">
        <f>IFERROR(__xludf.DUMMYFUNCTION("""COMPUTED_VALUE"""),7.867896369E9)</f>
        <v>7867896369</v>
      </c>
      <c r="D19" s="35" t="str">
        <f>IFERROR(__xludf.DUMMYFUNCTION("""COMPUTED_VALUE"""),"AI &amp; DS")</f>
        <v>AI &amp; DS</v>
      </c>
      <c r="E19" s="35" t="str">
        <f>IFERROR(__xludf.DUMMYFUNCTION("""COMPUTED_VALUE"""),"III")</f>
        <v>III</v>
      </c>
      <c r="F19" s="35" t="str">
        <f>IFERROR(__xludf.DUMMYFUNCTION("""COMPUTED_VALUE"""),"25AD206")</f>
        <v>25AD206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 t="s">
        <v>213</v>
      </c>
      <c r="B21" s="35" t="s">
        <v>214</v>
      </c>
      <c r="C21" s="35" t="s">
        <v>215</v>
      </c>
      <c r="D21" s="35" t="s">
        <v>94</v>
      </c>
      <c r="E21" s="35" t="s">
        <v>23</v>
      </c>
      <c r="F21" s="35" t="s">
        <v>963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 t="s">
        <v>161</v>
      </c>
      <c r="B22" s="35" t="s">
        <v>162</v>
      </c>
      <c r="C22" s="35" t="s">
        <v>163</v>
      </c>
      <c r="D22" s="35" t="s">
        <v>94</v>
      </c>
      <c r="E22" s="35" t="s">
        <v>23</v>
      </c>
      <c r="F22" s="35" t="s">
        <v>963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 t="s">
        <v>132</v>
      </c>
      <c r="B23" s="35" t="s">
        <v>133</v>
      </c>
      <c r="C23" s="35">
        <v>7.873737353E9</v>
      </c>
      <c r="D23" s="35" t="s">
        <v>94</v>
      </c>
      <c r="E23" s="35" t="s">
        <v>31</v>
      </c>
      <c r="F23" s="35" t="s">
        <v>967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 t="s">
        <v>338</v>
      </c>
      <c r="B24" s="35" t="s">
        <v>340</v>
      </c>
      <c r="C24" s="35">
        <v>9.944862206E9</v>
      </c>
      <c r="D24" s="35" t="s">
        <v>178</v>
      </c>
      <c r="E24" s="35" t="s">
        <v>31</v>
      </c>
      <c r="F24" s="35" t="s">
        <v>969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hyperlinks>
    <hyperlink r:id="rId1" ref="B14"/>
  </hyperlinks>
  <drawing r:id="rId2"/>
</worksheet>
</file>